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_mutation_ele_third_review\proof\Nucleosome-Electrostatic-Interaction-main\Nucleosome-Electrostatic-Interaction-main\net_mutation\"/>
    </mc:Choice>
  </mc:AlternateContent>
  <bookViews>
    <workbookView windowWidth="21000" windowHeight="15615" activeTab="1"/>
  </bookViews>
  <sheets>
    <sheet name="HPI" sheetId="2" r:id="rId1"/>
    <sheet name="HHI" sheetId="3" r:id="rId2"/>
    <sheet name="HDI" sheetId="4" r:id="rId3"/>
  </sheets>
  <definedNames>
    <definedName name="_xlnm._FilterDatabase" localSheetId="0" hidden="1">HPI!$A$1:$P$25</definedName>
    <definedName name="_xlnm._FilterDatabase" localSheetId="1" hidden="1">HHI!$A$1:$P$707</definedName>
    <definedName name="_xlnm._FilterDatabase" localSheetId="2" hidden="1">HDI!$A$1:$AI$227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<sst xmlns="http://schemas.openxmlformats.org/spreadsheetml/2006/main" count="13973" uniqueCount="618">
  <si>
    <t>PDB</t>
  </si>
  <si>
    <t>Structure_file</t>
  </si>
  <si>
    <t>Chain</t>
  </si>
  <si>
    <t>Position</t>
  </si>
  <si>
    <t>Wild</t>
  </si>
  <si>
    <t>Mutant</t>
  </si>
  <si>
    <t>ddG(kcal/mol)</t>
  </si>
  <si>
    <t>Type</t>
  </si>
  <si>
    <t>mution_residue_type</t>
  </si>
  <si>
    <t>charge_type</t>
  </si>
  <si>
    <t>mutation_charge_type</t>
  </si>
  <si>
    <t>residue_type</t>
  </si>
  <si>
    <t>residue_type-PDB</t>
  </si>
  <si>
    <t>histone</t>
  </si>
  <si>
    <t>structure-mutation</t>
  </si>
  <si>
    <t>6kiu_out</t>
  </si>
  <si>
    <t>../2_1_download_pdb/6kiu.pdb</t>
  </si>
  <si>
    <t>C</t>
  </si>
  <si>
    <t>D</t>
  </si>
  <si>
    <t>G</t>
  </si>
  <si>
    <t>Destabilizing</t>
  </si>
  <si>
    <t>negative to no charge</t>
  </si>
  <si>
    <t>Type 1</t>
  </si>
  <si>
    <t>a charged residue mutated to a neutral residue</t>
  </si>
  <si>
    <t>charge-altering</t>
  </si>
  <si>
    <t>H2A</t>
  </si>
  <si>
    <t>6kiw_out</t>
  </si>
  <si>
    <t>../2_1_download_pdb/6kiw.pdb</t>
  </si>
  <si>
    <t>B</t>
  </si>
  <si>
    <t>E</t>
  </si>
  <si>
    <t>Q</t>
  </si>
  <si>
    <t>H4</t>
  </si>
  <si>
    <t>A</t>
  </si>
  <si>
    <t>F</t>
  </si>
  <si>
    <t>no charge to no charge</t>
  </si>
  <si>
    <t>Type 4</t>
  </si>
  <si>
    <t>non-charge-altering mutation</t>
  </si>
  <si>
    <t>non-charge-altering</t>
  </si>
  <si>
    <t>H3</t>
  </si>
  <si>
    <t>L</t>
  </si>
  <si>
    <t>K</t>
  </si>
  <si>
    <t>N</t>
  </si>
  <si>
    <t>positive to no charge</t>
  </si>
  <si>
    <t>R</t>
  </si>
  <si>
    <t>positive to positive</t>
  </si>
  <si>
    <t>H2B</t>
  </si>
  <si>
    <t>S</t>
  </si>
  <si>
    <t>T</t>
  </si>
  <si>
    <t>I</t>
  </si>
  <si>
    <t>Y</t>
  </si>
  <si>
    <t>negative to positive</t>
  </si>
  <si>
    <t>Type 3</t>
  </si>
  <si>
    <t>flip the net charge of residues</t>
  </si>
  <si>
    <t>no charge to negative</t>
  </si>
  <si>
    <t>Type 2</t>
  </si>
  <si>
    <t>a neutral residue mutated to a charged residue</t>
  </si>
  <si>
    <t>H</t>
  </si>
  <si>
    <t>no charge to positive</t>
  </si>
  <si>
    <t>P</t>
  </si>
  <si>
    <t>Stabilizing</t>
  </si>
  <si>
    <t>positive to negative</t>
  </si>
  <si>
    <t>V</t>
  </si>
  <si>
    <t>negative to negative</t>
  </si>
  <si>
    <t>M</t>
  </si>
  <si>
    <t>W</t>
  </si>
  <si>
    <t>pdb-chain-structure_mutation</t>
  </si>
  <si>
    <t>histone_residue</t>
  </si>
  <si>
    <t>uniprot_id</t>
  </si>
  <si>
    <t>chain</t>
  </si>
  <si>
    <t>histone_organism</t>
  </si>
  <si>
    <t>histone_uniprot_position</t>
  </si>
  <si>
    <t>align_site</t>
  </si>
  <si>
    <t>canonical_site</t>
  </si>
  <si>
    <t>histone_structure_position</t>
  </si>
  <si>
    <t>residue</t>
  </si>
  <si>
    <t>nucleosome</t>
  </si>
  <si>
    <t>partner</t>
  </si>
  <si>
    <t>wild_residue</t>
  </si>
  <si>
    <t>Whether residue and wild_residue same</t>
  </si>
  <si>
    <t>canonical_residue</t>
  </si>
  <si>
    <t>mutant_residue</t>
  </si>
  <si>
    <t>new_mutation(canonical_site)</t>
  </si>
  <si>
    <t>new_mutation(canonical_site-1)</t>
  </si>
  <si>
    <t>structure_mutation</t>
  </si>
  <si>
    <t>Predict_DDG (kcal/mol)</t>
  </si>
  <si>
    <t>sasa(nucleosome)/sasa(residue)</t>
  </si>
  <si>
    <t>Whether residue in surface</t>
  </si>
  <si>
    <t>6kiu-D-E32A</t>
  </si>
  <si>
    <t>D_36_6kiu</t>
  </si>
  <si>
    <t>p02281</t>
  </si>
  <si>
    <t>Histone H2B 1.1</t>
  </si>
  <si>
    <t>Xenopus laevis</t>
  </si>
  <si>
    <t>6kiu</t>
  </si>
  <si>
    <t>nucleosome:1</t>
  </si>
  <si>
    <t>DNA</t>
  </si>
  <si>
    <t>yes</t>
  </si>
  <si>
    <t>E36A</t>
  </si>
  <si>
    <t>E35A</t>
  </si>
  <si>
    <t>E32A</t>
  </si>
  <si>
    <t>6kiw-D-E32A</t>
  </si>
  <si>
    <t>D_36_6kiw</t>
  </si>
  <si>
    <t>6kiw</t>
  </si>
  <si>
    <t>6kiw-D-R83P</t>
  </si>
  <si>
    <t>D_87_6kiw</t>
  </si>
  <si>
    <t>R87P</t>
  </si>
  <si>
    <t>R86P</t>
  </si>
  <si>
    <t>R83P</t>
  </si>
  <si>
    <t>no</t>
  </si>
  <si>
    <t>6kiu-D-R83P</t>
  </si>
  <si>
    <t>D_87_6kiu</t>
  </si>
  <si>
    <t>6kiu-H-R83P</t>
  </si>
  <si>
    <t>H_87_6kiu</t>
  </si>
  <si>
    <t>6kiw-H-R83P</t>
  </si>
  <si>
    <t>H_87_6kiw</t>
  </si>
  <si>
    <t>6kiw-C-R17P</t>
  </si>
  <si>
    <t>C_18_6kiw</t>
  </si>
  <si>
    <t>p06897</t>
  </si>
  <si>
    <t>Histone H2A type 1</t>
  </si>
  <si>
    <t>R18P</t>
  </si>
  <si>
    <t>R17P</t>
  </si>
  <si>
    <t>6kiu-C-R17P</t>
  </si>
  <si>
    <t>C_18_6kiu</t>
  </si>
  <si>
    <t>6kiw-C-R29P</t>
  </si>
  <si>
    <t>C_30_6kiw</t>
  </si>
  <si>
    <t>R30P</t>
  </si>
  <si>
    <t>R29P</t>
  </si>
  <si>
    <t>6kiw-C-R29Q</t>
  </si>
  <si>
    <t>R30Q</t>
  </si>
  <si>
    <t>R29Q</t>
  </si>
  <si>
    <t>6kiu-C-R29P</t>
  </si>
  <si>
    <t>C_30_6kiu</t>
  </si>
  <si>
    <t>6kiu-C-R29Q</t>
  </si>
  <si>
    <t>6kiu-C-H31Y</t>
  </si>
  <si>
    <t>C_32_6kiu</t>
  </si>
  <si>
    <t>H32Y</t>
  </si>
  <si>
    <t>H31Y</t>
  </si>
  <si>
    <t>6kiw-C-H31Y</t>
  </si>
  <si>
    <t>C_32_6kiw</t>
  </si>
  <si>
    <t>6kiu-C-R35L</t>
  </si>
  <si>
    <t>C_36_6kiu</t>
  </si>
  <si>
    <t>R36L</t>
  </si>
  <si>
    <t>R35L</t>
  </si>
  <si>
    <t>6kiw-C-R35L</t>
  </si>
  <si>
    <t>C_36_6kiw</t>
  </si>
  <si>
    <t>6kiu-C-K75N</t>
  </si>
  <si>
    <t>C_76_6kiu</t>
  </si>
  <si>
    <t>K76N</t>
  </si>
  <si>
    <t>K75N</t>
  </si>
  <si>
    <t>6kiw-C-K75N</t>
  </si>
  <si>
    <t>C_76_6kiw</t>
  </si>
  <si>
    <t>6kiw-C-R77C</t>
  </si>
  <si>
    <t>C_78_6kiw</t>
  </si>
  <si>
    <t>R78C</t>
  </si>
  <si>
    <t>R77C</t>
  </si>
  <si>
    <t>6kiu-C-R77C</t>
  </si>
  <si>
    <t>C_78_6kiu</t>
  </si>
  <si>
    <t>6kiu-G-R17P</t>
  </si>
  <si>
    <t>G_18_6kiu</t>
  </si>
  <si>
    <t>6kiw-G-R17P</t>
  </si>
  <si>
    <t>G_18_6kiw</t>
  </si>
  <si>
    <t>6kiw-G-R29P</t>
  </si>
  <si>
    <t>G_30_6kiw</t>
  </si>
  <si>
    <t>6kiw-G-R29Q</t>
  </si>
  <si>
    <t>6kiu-G-R29P</t>
  </si>
  <si>
    <t>G_30_6kiu</t>
  </si>
  <si>
    <t>6kiu-G-R29Q</t>
  </si>
  <si>
    <t>6kiw-G-H31Y</t>
  </si>
  <si>
    <t>G_32_6kiw</t>
  </si>
  <si>
    <t>6kiu-G-H31Y</t>
  </si>
  <si>
    <t>G_32_6kiu</t>
  </si>
  <si>
    <t>6kiw-G-R35L</t>
  </si>
  <si>
    <t>G_36_6kiw</t>
  </si>
  <si>
    <t>6kiu-G-R35L</t>
  </si>
  <si>
    <t>G_36_6kiu</t>
  </si>
  <si>
    <t>6kiw-G-K75N</t>
  </si>
  <si>
    <t>G_76_6kiw</t>
  </si>
  <si>
    <t>6kiu-G-K75N</t>
  </si>
  <si>
    <t>G_76_6kiu</t>
  </si>
  <si>
    <t>6kiw-G-R77C</t>
  </si>
  <si>
    <t>G_78_6kiw</t>
  </si>
  <si>
    <t>6kiu-G-R77C</t>
  </si>
  <si>
    <t>G_78_6kiu</t>
  </si>
  <si>
    <t>6kiu-B-R39G</t>
  </si>
  <si>
    <t>B_40_6kiu</t>
  </si>
  <si>
    <t>p62799</t>
  </si>
  <si>
    <t>Histone H4</t>
  </si>
  <si>
    <t>R40G</t>
  </si>
  <si>
    <t>R39G</t>
  </si>
  <si>
    <t>6kiu-B-R39C</t>
  </si>
  <si>
    <t>R40C</t>
  </si>
  <si>
    <t>R39C</t>
  </si>
  <si>
    <t>6kiw-B-R39G</t>
  </si>
  <si>
    <t>B_40_6kiw</t>
  </si>
  <si>
    <t>6kiw-B-R39C</t>
  </si>
  <si>
    <t>6kiw-B-R45Q</t>
  </si>
  <si>
    <t>B_46_6kiw</t>
  </si>
  <si>
    <t>R46Q</t>
  </si>
  <si>
    <t>R45Q</t>
  </si>
  <si>
    <t>6kiu-B-R45Q</t>
  </si>
  <si>
    <t>B_46_6kiu</t>
  </si>
  <si>
    <t>6kiu-B-R78C</t>
  </si>
  <si>
    <t>B_79_6kiu</t>
  </si>
  <si>
    <t>R79C</t>
  </si>
  <si>
    <t>6kiw-B-R78C</t>
  </si>
  <si>
    <t>B_79_6kiw</t>
  </si>
  <si>
    <t>6kiu-B-K79N</t>
  </si>
  <si>
    <t>B_80_6kiu</t>
  </si>
  <si>
    <t>K80N</t>
  </si>
  <si>
    <t>K79N</t>
  </si>
  <si>
    <t>6kiw-B-K79N</t>
  </si>
  <si>
    <t>B_80_6kiw</t>
  </si>
  <si>
    <t>6kiw-F-R39G</t>
  </si>
  <si>
    <t>F_40_6kiw</t>
  </si>
  <si>
    <t>6kiw-F-R39C</t>
  </si>
  <si>
    <t>6kiu-F-R39G</t>
  </si>
  <si>
    <t>F_40_6kiu</t>
  </si>
  <si>
    <t>6kiu-F-R39C</t>
  </si>
  <si>
    <t>6kiw-F-R45Q</t>
  </si>
  <si>
    <t>F_46_6kiw</t>
  </si>
  <si>
    <t>6kiu-F-R45Q</t>
  </si>
  <si>
    <t>F_46_6kiu</t>
  </si>
  <si>
    <t>6kiw-F-R78C</t>
  </si>
  <si>
    <t>F_79_6kiw</t>
  </si>
  <si>
    <t>6kiu-F-R78C</t>
  </si>
  <si>
    <t>F_79_6kiu</t>
  </si>
  <si>
    <t>6kiw-F-K79N</t>
  </si>
  <si>
    <t>F_80_6kiw</t>
  </si>
  <si>
    <t>6kiu-F-K79N</t>
  </si>
  <si>
    <t>F_80_6kiu</t>
  </si>
  <si>
    <t>6kiw-A-R116Q</t>
  </si>
  <si>
    <t>A_117_6kiw</t>
  </si>
  <si>
    <t>p84233</t>
  </si>
  <si>
    <t>Histone H3.2</t>
  </si>
  <si>
    <t>R117Q</t>
  </si>
  <si>
    <t>R116Q</t>
  </si>
  <si>
    <t>6kiw-A-R116P</t>
  </si>
  <si>
    <t>R117P</t>
  </si>
  <si>
    <t>R116P</t>
  </si>
  <si>
    <t>6kiu-A-R116Q</t>
  </si>
  <si>
    <t>A_117_6kiu</t>
  </si>
  <si>
    <t>6kiu-A-R116P</t>
  </si>
  <si>
    <t>6kiu-A-H39Y</t>
  </si>
  <si>
    <t>A_40_6kiu</t>
  </si>
  <si>
    <t>H40Y</t>
  </si>
  <si>
    <t>H39Y</t>
  </si>
  <si>
    <t>6kiw-A-H39Y</t>
  </si>
  <si>
    <t>A_40_6kiw</t>
  </si>
  <si>
    <t>6kiw-A-R40G</t>
  </si>
  <si>
    <t>A_41_6kiw</t>
  </si>
  <si>
    <t>R41G</t>
  </si>
  <si>
    <t>6kiw-A-R40C</t>
  </si>
  <si>
    <t>R41C</t>
  </si>
  <si>
    <t>6kiu-A-R40G</t>
  </si>
  <si>
    <t>A_41_6kiu</t>
  </si>
  <si>
    <t>6kiu-A-R40C</t>
  </si>
  <si>
    <t>6kiw-A-R42C</t>
  </si>
  <si>
    <t>A_43_6kiw</t>
  </si>
  <si>
    <t>R43C</t>
  </si>
  <si>
    <t>R42C</t>
  </si>
  <si>
    <t>6kiu-A-R42C</t>
  </si>
  <si>
    <t>A_43_6kiu</t>
  </si>
  <si>
    <t>6kiu-A-K64T</t>
  </si>
  <si>
    <t>A_65_6kiu</t>
  </si>
  <si>
    <t>K65T</t>
  </si>
  <si>
    <t>K64T</t>
  </si>
  <si>
    <t>6kiw-A-K64T</t>
  </si>
  <si>
    <t>A_65_6kiw</t>
  </si>
  <si>
    <t>6kiw-A-R72P</t>
  </si>
  <si>
    <t>A_73_6kiw</t>
  </si>
  <si>
    <t>R73P</t>
  </si>
  <si>
    <t>R72P</t>
  </si>
  <si>
    <t>6kiw-A-R72Q</t>
  </si>
  <si>
    <t>R73Q</t>
  </si>
  <si>
    <t>R72Q</t>
  </si>
  <si>
    <t>6kiu-A-R72P</t>
  </si>
  <si>
    <t>A_73_6kiu</t>
  </si>
  <si>
    <t>6kiu-A-R72Q</t>
  </si>
  <si>
    <t>6kiu-A-D81N</t>
  </si>
  <si>
    <t>A_82_6kiu</t>
  </si>
  <si>
    <t>D82N</t>
  </si>
  <si>
    <t>D81N</t>
  </si>
  <si>
    <t>6kiw-A-D81N</t>
  </si>
  <si>
    <t>A_82_6kiw</t>
  </si>
  <si>
    <t>6kiw-A-R83C</t>
  </si>
  <si>
    <t>A_84_6kiw</t>
  </si>
  <si>
    <t>R84C</t>
  </si>
  <si>
    <t>R83C</t>
  </si>
  <si>
    <t>6kiw-A-R83S</t>
  </si>
  <si>
    <t>R84S</t>
  </si>
  <si>
    <t>R83S</t>
  </si>
  <si>
    <t>6kiu-A-R83C</t>
  </si>
  <si>
    <t>A_84_6kiu</t>
  </si>
  <si>
    <t>6kiu-A-R83S</t>
  </si>
  <si>
    <t>6kiu-E-R116Q</t>
  </si>
  <si>
    <t>E_117_6kiu</t>
  </si>
  <si>
    <t>6kiu-E-R116P</t>
  </si>
  <si>
    <t>6kiw-E-R116Q</t>
  </si>
  <si>
    <t>E_117_6kiw</t>
  </si>
  <si>
    <t>6kiw-E-R116P</t>
  </si>
  <si>
    <t>6kiw-E-H39Y</t>
  </si>
  <si>
    <t>E_40_6kiw</t>
  </si>
  <si>
    <t>6kiu-E-H39Y</t>
  </si>
  <si>
    <t>E_40_6kiu</t>
  </si>
  <si>
    <t>6kiw-E-R40G</t>
  </si>
  <si>
    <t>E_41_6kiw</t>
  </si>
  <si>
    <t>6kiw-E-R40C</t>
  </si>
  <si>
    <t>6kiu-E-R40G</t>
  </si>
  <si>
    <t>E_41_6kiu</t>
  </si>
  <si>
    <t>6kiu-E-R40C</t>
  </si>
  <si>
    <t>6kiw-E-R42C</t>
  </si>
  <si>
    <t>E_43_6kiw</t>
  </si>
  <si>
    <t>6kiu-E-R42C</t>
  </si>
  <si>
    <t>E_43_6kiu</t>
  </si>
  <si>
    <t>6kiw-E-K64T</t>
  </si>
  <si>
    <t>E_65_6kiw</t>
  </si>
  <si>
    <t>6kiu-E-K64T</t>
  </si>
  <si>
    <t>E_65_6kiu</t>
  </si>
  <si>
    <t>6kiw-E-R72P</t>
  </si>
  <si>
    <t>E_73_6kiw</t>
  </si>
  <si>
    <t>6kiw-E-R72Q</t>
  </si>
  <si>
    <t>6kiu-E-R72P</t>
  </si>
  <si>
    <t>E_73_6kiu</t>
  </si>
  <si>
    <t>6kiu-E-R72Q</t>
  </si>
  <si>
    <t>6kiw-E-D81N</t>
  </si>
  <si>
    <t>E_82_6kiw</t>
  </si>
  <si>
    <t>6kiu-E-D81N</t>
  </si>
  <si>
    <t>E_82_6kiu</t>
  </si>
  <si>
    <t>6kiw-E-R83C</t>
  </si>
  <si>
    <t>E_84_6kiw</t>
  </si>
  <si>
    <t>6kiw-E-R83S</t>
  </si>
  <si>
    <t>6kiu-E-R83C</t>
  </si>
  <si>
    <t>E_84_6kiu</t>
  </si>
  <si>
    <t>6kiu-E-R83S</t>
  </si>
  <si>
    <t>6kiu-D-S33R</t>
  </si>
  <si>
    <t>D_37_6kiu</t>
  </si>
  <si>
    <t>S37R</t>
  </si>
  <si>
    <t>S36R</t>
  </si>
  <si>
    <t>S33R</t>
  </si>
  <si>
    <t>6kiw-D-S33R</t>
  </si>
  <si>
    <t>D_37_6kiw</t>
  </si>
  <si>
    <t>6kiw-D-G50D</t>
  </si>
  <si>
    <t>D_54_6kiw</t>
  </si>
  <si>
    <t>G54D</t>
  </si>
  <si>
    <t>G53D</t>
  </si>
  <si>
    <t>G50D</t>
  </si>
  <si>
    <t>6kiu-D-G50D</t>
  </si>
  <si>
    <t>D_54_6kiu</t>
  </si>
  <si>
    <t>6kiw-H-S33R</t>
  </si>
  <si>
    <t>H_37_6kiw</t>
  </si>
  <si>
    <t>6kiu-H-S33R</t>
  </si>
  <si>
    <t>H_37_6kiu</t>
  </si>
  <si>
    <t>6kiu-H-G50D</t>
  </si>
  <si>
    <t>H_54_6kiu</t>
  </si>
  <si>
    <t>6kiw-H-G50D</t>
  </si>
  <si>
    <t>H_54_6kiw</t>
  </si>
  <si>
    <t>6kiu-A-G44D</t>
  </si>
  <si>
    <t>A_45_6kiu</t>
  </si>
  <si>
    <t>G45D</t>
  </si>
  <si>
    <t>G44D</t>
  </si>
  <si>
    <t>6kiw-A-G44D</t>
  </si>
  <si>
    <t>A_45_6kiw</t>
  </si>
  <si>
    <t>6kiu-A-A47E</t>
  </si>
  <si>
    <t>A_48_6kiu</t>
  </si>
  <si>
    <t>A48E</t>
  </si>
  <si>
    <t>A47E</t>
  </si>
  <si>
    <t>6kiw-A-A47E</t>
  </si>
  <si>
    <t>A_48_6kiw</t>
  </si>
  <si>
    <t>6kiw-E-G44D</t>
  </si>
  <si>
    <t>E_45_6kiw</t>
  </si>
  <si>
    <t>6kiu-E-G44D</t>
  </si>
  <si>
    <t>E_45_6kiu</t>
  </si>
  <si>
    <t>6kiw-E-A47E</t>
  </si>
  <si>
    <t>E_48_6kiw</t>
  </si>
  <si>
    <t>6kiu-E-A47E</t>
  </si>
  <si>
    <t>E_48_6kiu</t>
  </si>
  <si>
    <t>6kiu-A-D81H</t>
  </si>
  <si>
    <t>D82H</t>
  </si>
  <si>
    <t>D81H</t>
  </si>
  <si>
    <t>6kiw-A-D81H</t>
  </si>
  <si>
    <t>6kiw-E-D81H</t>
  </si>
  <si>
    <t>6kiu-E-D81H</t>
  </si>
  <si>
    <t>6kiu-D-S33N</t>
  </si>
  <si>
    <t>S37N</t>
  </si>
  <si>
    <t>S36N</t>
  </si>
  <si>
    <t>S33N</t>
  </si>
  <si>
    <t>6kiw-D-S33N</t>
  </si>
  <si>
    <t>6kiw-D-Y39C</t>
  </si>
  <si>
    <t>D_43_6kiw</t>
  </si>
  <si>
    <t>Y43C</t>
  </si>
  <si>
    <t>Y42C</t>
  </si>
  <si>
    <t>Y39C</t>
  </si>
  <si>
    <t>6kiu-D-Y39C</t>
  </si>
  <si>
    <t>D_43_6kiu</t>
  </si>
  <si>
    <t>6kiw-D-G50A</t>
  </si>
  <si>
    <t>G54A</t>
  </si>
  <si>
    <t>G53A</t>
  </si>
  <si>
    <t>G50A</t>
  </si>
  <si>
    <t>6kiw-D-G50C</t>
  </si>
  <si>
    <t>G54C</t>
  </si>
  <si>
    <t>G53C</t>
  </si>
  <si>
    <t>G50C</t>
  </si>
  <si>
    <t>6kiu-D-G50A</t>
  </si>
  <si>
    <t>6kiu-D-G50C</t>
  </si>
  <si>
    <t>6kiw-D-S52L</t>
  </si>
  <si>
    <t>D_56_6kiw</t>
  </si>
  <si>
    <t>S56L</t>
  </si>
  <si>
    <t>S55L</t>
  </si>
  <si>
    <t>S52L</t>
  </si>
  <si>
    <t>6kiu-D-S52L</t>
  </si>
  <si>
    <t>D_56_6kiu</t>
  </si>
  <si>
    <t>6kiw-D-S84W</t>
  </si>
  <si>
    <t>D_88_6kiw</t>
  </si>
  <si>
    <t>S88W</t>
  </si>
  <si>
    <t>S87W</t>
  </si>
  <si>
    <t>S84W</t>
  </si>
  <si>
    <t>6kiu-D-S84W</t>
  </si>
  <si>
    <t>D_88_6kiu</t>
  </si>
  <si>
    <t>6kiw-D-T85I</t>
  </si>
  <si>
    <t>D_89_6kiw</t>
  </si>
  <si>
    <t>T89I</t>
  </si>
  <si>
    <t>T88I</t>
  </si>
  <si>
    <t>T85I</t>
  </si>
  <si>
    <t>6kiu-D-T85I</t>
  </si>
  <si>
    <t>D_89_6kiu</t>
  </si>
  <si>
    <t>6kiw-H-S33N</t>
  </si>
  <si>
    <t>6kiu-H-S33N</t>
  </si>
  <si>
    <t>6kiu-H-Y39C</t>
  </si>
  <si>
    <t>H_43_6kiu</t>
  </si>
  <si>
    <t>6kiw-H-Y39C</t>
  </si>
  <si>
    <t>H_43_6kiw</t>
  </si>
  <si>
    <t>6kiu-H-G50A</t>
  </si>
  <si>
    <t>6kiu-H-G50C</t>
  </si>
  <si>
    <t>6kiw-H-G50A</t>
  </si>
  <si>
    <t>6kiw-H-G50C</t>
  </si>
  <si>
    <t>6kiu-H-S52L</t>
  </si>
  <si>
    <t>H_56_6kiu</t>
  </si>
  <si>
    <t>6kiw-H-S52L</t>
  </si>
  <si>
    <t>H_56_6kiw</t>
  </si>
  <si>
    <t>6kiu-H-S84W</t>
  </si>
  <si>
    <t>H_88_6kiu</t>
  </si>
  <si>
    <t>6kiw-H-S84W</t>
  </si>
  <si>
    <t>H_88_6kiw</t>
  </si>
  <si>
    <t>6kiu-H-T85I</t>
  </si>
  <si>
    <t>H_89_6kiu</t>
  </si>
  <si>
    <t>6kiw-H-T85I</t>
  </si>
  <si>
    <t>H_89_6kiw</t>
  </si>
  <si>
    <t>6kiw-C-A12T</t>
  </si>
  <si>
    <t>C_13_6kiw</t>
  </si>
  <si>
    <t>A13T</t>
  </si>
  <si>
    <t>A12T</t>
  </si>
  <si>
    <t>6kiu-C-A12T</t>
  </si>
  <si>
    <t>C_13_6kiu</t>
  </si>
  <si>
    <t>6kiw-C-G28S</t>
  </si>
  <si>
    <t>C_29_6kiw</t>
  </si>
  <si>
    <t>G29S</t>
  </si>
  <si>
    <t>G28S</t>
  </si>
  <si>
    <t>6kiu-C-G28S</t>
  </si>
  <si>
    <t>C_29_6kiu</t>
  </si>
  <si>
    <t>6kiu-C-V43L</t>
  </si>
  <si>
    <t>C_44_6kiu</t>
  </si>
  <si>
    <t>V44L</t>
  </si>
  <si>
    <t>V43L</t>
  </si>
  <si>
    <t>6kiw-C-V43L</t>
  </si>
  <si>
    <t>C_44_6kiw</t>
  </si>
  <si>
    <t>6kiu-G-G28S</t>
  </si>
  <si>
    <t>G_29_6kiu</t>
  </si>
  <si>
    <t>6kiw-G-G28S</t>
  </si>
  <si>
    <t>G_29_6kiw</t>
  </si>
  <si>
    <t>6kiw-G-V43L</t>
  </si>
  <si>
    <t>G_44_6kiw</t>
  </si>
  <si>
    <t>6kiu-G-V43L</t>
  </si>
  <si>
    <t>G_44_6kiu</t>
  </si>
  <si>
    <t>6kiu-B-G48A</t>
  </si>
  <si>
    <t>B_49_6kiu</t>
  </si>
  <si>
    <t>G49A</t>
  </si>
  <si>
    <t>G48A</t>
  </si>
  <si>
    <t>6kiw-B-G48A</t>
  </si>
  <si>
    <t>B_49_6kiw</t>
  </si>
  <si>
    <t>6kiu-B-T80A</t>
  </si>
  <si>
    <t>B_81_6kiu</t>
  </si>
  <si>
    <t>T81A</t>
  </si>
  <si>
    <t>T80A</t>
  </si>
  <si>
    <t>6kiw-B-T80A</t>
  </si>
  <si>
    <t>B_81_6kiw</t>
  </si>
  <si>
    <t>6kiw-F-G48A</t>
  </si>
  <si>
    <t>F_49_6kiw</t>
  </si>
  <si>
    <t>6kiu-F-G48A</t>
  </si>
  <si>
    <t>F_49_6kiu</t>
  </si>
  <si>
    <t>6kiw-F-T80A</t>
  </si>
  <si>
    <t>F_81_6kiw</t>
  </si>
  <si>
    <t>6kiu-F-T80A</t>
  </si>
  <si>
    <t>F_81_6kiu</t>
  </si>
  <si>
    <t>6kiw-A-V117M</t>
  </si>
  <si>
    <t>A_118_6kiw</t>
  </si>
  <si>
    <t>V118M</t>
  </si>
  <si>
    <t>V117M</t>
  </si>
  <si>
    <t>6kiw-A-V117G</t>
  </si>
  <si>
    <t>V118G</t>
  </si>
  <si>
    <t>V117G</t>
  </si>
  <si>
    <t>6kiu-A-V117M</t>
  </si>
  <si>
    <t>A_118_6kiu</t>
  </si>
  <si>
    <t>6kiu-A-V117G</t>
  </si>
  <si>
    <t>6kiw-A-M120I</t>
  </si>
  <si>
    <t>A_121_6kiw</t>
  </si>
  <si>
    <t>M121I</t>
  </si>
  <si>
    <t>M120I</t>
  </si>
  <si>
    <t>6kiu-A-M120I</t>
  </si>
  <si>
    <t>A_121_6kiu</t>
  </si>
  <si>
    <t>6kiu-A-G44V</t>
  </si>
  <si>
    <t>G45V</t>
  </si>
  <si>
    <t>G44V</t>
  </si>
  <si>
    <t>6kiw-A-G44V</t>
  </si>
  <si>
    <t>6kiu-A-V46M</t>
  </si>
  <si>
    <t>A_47_6kiu</t>
  </si>
  <si>
    <t>V47M</t>
  </si>
  <si>
    <t>V46M</t>
  </si>
  <si>
    <t>6kiw-A-V46M</t>
  </si>
  <si>
    <t>A_47_6kiw</t>
  </si>
  <si>
    <t>6kiu-A-A47S</t>
  </si>
  <si>
    <t>A48S</t>
  </si>
  <si>
    <t>A47S</t>
  </si>
  <si>
    <t>6kiu-A-A47T</t>
  </si>
  <si>
    <t>A48T</t>
  </si>
  <si>
    <t>A47T</t>
  </si>
  <si>
    <t>6kiw-A-A47S</t>
  </si>
  <si>
    <t>6kiw-A-A47T</t>
  </si>
  <si>
    <t>6kiu-A-R49H</t>
  </si>
  <si>
    <t>A_50_6kiu</t>
  </si>
  <si>
    <t>R50H</t>
  </si>
  <si>
    <t>R49H</t>
  </si>
  <si>
    <t>6kiw-A-R49H</t>
  </si>
  <si>
    <t>A_50_6kiw</t>
  </si>
  <si>
    <t>6kiw-A-R63H</t>
  </si>
  <si>
    <t>A_64_6kiw</t>
  </si>
  <si>
    <t>R64H</t>
  </si>
  <si>
    <t>R63H</t>
  </si>
  <si>
    <t>6kiu-A-R63H</t>
  </si>
  <si>
    <t>A_64_6kiu</t>
  </si>
  <si>
    <t>6kiu-A-P66S</t>
  </si>
  <si>
    <t>A_67_6kiu</t>
  </si>
  <si>
    <t>P67S</t>
  </si>
  <si>
    <t>P66S</t>
  </si>
  <si>
    <t>6kiw-A-P66S</t>
  </si>
  <si>
    <t>A_67_6kiw</t>
  </si>
  <si>
    <t>6kiw-A-Q68L</t>
  </si>
  <si>
    <t>A_69_6kiw</t>
  </si>
  <si>
    <t>Q69L</t>
  </si>
  <si>
    <t>Q68L</t>
  </si>
  <si>
    <t>6kiu-A-Q68L</t>
  </si>
  <si>
    <t>A_69_6kiu</t>
  </si>
  <si>
    <t>6kiw-A-L82F</t>
  </si>
  <si>
    <t>A_83_6kiw</t>
  </si>
  <si>
    <t>L83F</t>
  </si>
  <si>
    <t>L82F</t>
  </si>
  <si>
    <t>6kiu-A-L82F</t>
  </si>
  <si>
    <t>A_83_6kiu</t>
  </si>
  <si>
    <t>6kiw-A-F84L</t>
  </si>
  <si>
    <t>A_85_6kiw</t>
  </si>
  <si>
    <t>F85L</t>
  </si>
  <si>
    <t>F84L</t>
  </si>
  <si>
    <t>6kiu-A-F84L</t>
  </si>
  <si>
    <t>A_85_6kiu</t>
  </si>
  <si>
    <t>6kiw-A-S86N</t>
  </si>
  <si>
    <t>A_87_6kiw</t>
  </si>
  <si>
    <t>S87N</t>
  </si>
  <si>
    <t>S86N</t>
  </si>
  <si>
    <t>6kiw-A-S86T</t>
  </si>
  <si>
    <t>S87T</t>
  </si>
  <si>
    <t>S86T</t>
  </si>
  <si>
    <t>6kiu-A-S86N</t>
  </si>
  <si>
    <t>A_87_6kiu</t>
  </si>
  <si>
    <t>6kiu-A-S86T</t>
  </si>
  <si>
    <t>6kiw-E-V117M</t>
  </si>
  <si>
    <t>E_118_6kiw</t>
  </si>
  <si>
    <t>6kiw-E-V117G</t>
  </si>
  <si>
    <t>6kiu-E-V117M</t>
  </si>
  <si>
    <t>E_118_6kiu</t>
  </si>
  <si>
    <t>6kiu-E-V117G</t>
  </si>
  <si>
    <t>6kiu-E-M120I</t>
  </si>
  <si>
    <t>E_121_6kiu</t>
  </si>
  <si>
    <t>6kiw-E-M120I</t>
  </si>
  <si>
    <t>E_121_6kiw</t>
  </si>
  <si>
    <t>6kiw-E-G44V</t>
  </si>
  <si>
    <t>6kiu-E-G44V</t>
  </si>
  <si>
    <t>6kiw-E-V46M</t>
  </si>
  <si>
    <t>E_47_6kiw</t>
  </si>
  <si>
    <t>6kiu-E-V46M</t>
  </si>
  <si>
    <t>E_47_6kiu</t>
  </si>
  <si>
    <t>6kiw-E-A47S</t>
  </si>
  <si>
    <t>6kiw-E-A47T</t>
  </si>
  <si>
    <t>6kiu-E-A47S</t>
  </si>
  <si>
    <t>6kiu-E-A47T</t>
  </si>
  <si>
    <t>6kiw-E-R49H</t>
  </si>
  <si>
    <t>E_50_6kiw</t>
  </si>
  <si>
    <t>6kiu-E-R49H</t>
  </si>
  <si>
    <t>E_50_6kiu</t>
  </si>
  <si>
    <t>6kiw-E-R63H</t>
  </si>
  <si>
    <t>E_64_6kiw</t>
  </si>
  <si>
    <t>6kiu-E-R63H</t>
  </si>
  <si>
    <t>E_64_6kiu</t>
  </si>
  <si>
    <t>6kiw-E-P66S</t>
  </si>
  <si>
    <t>E_67_6kiw</t>
  </si>
  <si>
    <t>6kiu-E-P66S</t>
  </si>
  <si>
    <t>E_67_6kiu</t>
  </si>
  <si>
    <t>6kiu-E-L82F</t>
  </si>
  <si>
    <t>E_83_6kiu</t>
  </si>
  <si>
    <t>6kiw-E-L82F</t>
  </si>
  <si>
    <t>E_83_6kiw</t>
  </si>
  <si>
    <t>6kiu-E-F84L</t>
  </si>
  <si>
    <t>E_85_6kiu</t>
  </si>
  <si>
    <t>6kiw-E-F84L</t>
  </si>
  <si>
    <t>E_85_6kiw</t>
  </si>
  <si>
    <t>6kiu-E-S86N</t>
  </si>
  <si>
    <t>E_87_6kiu</t>
  </si>
  <si>
    <t>6kiu-E-S86T</t>
  </si>
  <si>
    <t>6kiw-E-S86N</t>
  </si>
  <si>
    <t>E_87_6kiw</t>
  </si>
  <si>
    <t>6kiw-E-S86T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</si>
</sst>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P1" sqref="P1"/>
    </sheetView>
  </sheetViews>
  <sheetFormatPr defaultColWidth="8.8" defaultRowHeight="13.5"/>
  <cols>
    <col min="1" max="1" width="12" customWidth="1"/>
    <col min="13" max="13" width="22.6" customWidth="1"/>
    <col min="14" max="14" width="10.1" customWidth="1"/>
    <col min="15" max="16" width="8.8" style="2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0</v>
      </c>
      <c r="O1" s="2" t="s">
        <v>13</v>
      </c>
      <c r="P1" s="2" t="s">
        <v>14</v>
      </c>
    </row>
    <row r="2" spans="1:16">
      <c r="A2" s="1" t="s">
        <v>15</v>
      </c>
      <c r="B2" s="1" t="s">
        <v>16</v>
      </c>
      <c r="C2" s="1" t="s">
        <v>17</v>
      </c>
      <c r="D2" s="1">
        <v>72</v>
      </c>
      <c r="E2" s="1" t="s">
        <v>18</v>
      </c>
      <c r="F2" s="1" t="s">
        <v>19</v>
      </c>
      <c r="G2" s="1">
        <v>1.55</v>
      </c>
      <c r="H2" s="1" t="s">
        <v>20</v>
      </c>
      <c r="I2" t="s">
        <v>21</v>
      </c>
      <c r="J2" t="s">
        <v>22</v>
      </c>
      <c r="K2" t="s">
        <v>23</v>
      </c>
      <c r="L2" t="s">
        <v>24</v>
      </c>
      <c r="M2" t="str">
        <f t="shared" ref="M2:M25" si="0">L2&amp;"-"&amp;LEFT(A2,4)</f>
        <v>charge-altering-6kiu</v>
      </c>
      <c r="N2" t="str">
        <f t="shared" ref="N2:N25" si="1">LEFT(A2,4)</f>
        <v>6kiu</v>
      </c>
      <c r="O2" s="2" t="s">
        <v>25</v>
      </c>
      <c r="P2" s="2" t="str">
        <f t="shared" ref="P2:P25" si="2">C2&amp;"-"&amp;E2&amp;D2&amp;F2</f>
        <v>C-D72G</v>
      </c>
    </row>
    <row r="3" spans="1:16">
      <c r="A3" s="1" t="s">
        <v>26</v>
      </c>
      <c r="B3" s="1" t="s">
        <v>27</v>
      </c>
      <c r="C3" s="1" t="s">
        <v>17</v>
      </c>
      <c r="D3" s="1">
        <v>72</v>
      </c>
      <c r="E3" s="1" t="s">
        <v>18</v>
      </c>
      <c r="F3" s="1" t="s">
        <v>19</v>
      </c>
      <c r="G3" s="1">
        <v>1.18</v>
      </c>
      <c r="H3" s="1" t="s">
        <v>20</v>
      </c>
      <c r="I3" t="s">
        <v>21</v>
      </c>
      <c r="J3" t="s">
        <v>22</v>
      </c>
      <c r="K3" t="s">
        <v>23</v>
      </c>
      <c r="L3" t="s">
        <v>24</v>
      </c>
      <c r="M3" t="str">
        <f t="shared" si="0"/>
        <v>charge-altering-6kiw</v>
      </c>
      <c r="N3" t="str">
        <f t="shared" si="1"/>
        <v>6kiw</v>
      </c>
      <c r="O3" s="2" t="s">
        <v>25</v>
      </c>
      <c r="P3" s="2" t="str">
        <f t="shared" si="2"/>
        <v>C-D72G</v>
      </c>
    </row>
    <row r="4" spans="1:16">
      <c r="A4" s="1" t="s">
        <v>15</v>
      </c>
      <c r="B4" s="1" t="s">
        <v>16</v>
      </c>
      <c r="C4" s="1" t="s">
        <v>28</v>
      </c>
      <c r="D4" s="1">
        <v>74</v>
      </c>
      <c r="E4" s="1" t="s">
        <v>29</v>
      </c>
      <c r="F4" s="1" t="s">
        <v>30</v>
      </c>
      <c r="G4" s="1">
        <v>1.24</v>
      </c>
      <c r="H4" s="1" t="s">
        <v>20</v>
      </c>
      <c r="I4" t="s">
        <v>21</v>
      </c>
      <c r="J4" t="s">
        <v>22</v>
      </c>
      <c r="K4" t="s">
        <v>23</v>
      </c>
      <c r="L4" t="s">
        <v>24</v>
      </c>
      <c r="M4" t="str">
        <f t="shared" si="0"/>
        <v>charge-altering-6kiu</v>
      </c>
      <c r="N4" t="str">
        <f t="shared" si="1"/>
        <v>6kiu</v>
      </c>
      <c r="O4" s="2" t="s">
        <v>31</v>
      </c>
      <c r="P4" s="2" t="str">
        <f t="shared" si="2"/>
        <v>B-E74Q</v>
      </c>
    </row>
    <row r="5" spans="1:16">
      <c r="A5" s="1" t="s">
        <v>26</v>
      </c>
      <c r="B5" s="1" t="s">
        <v>27</v>
      </c>
      <c r="C5" s="1" t="s">
        <v>28</v>
      </c>
      <c r="D5" s="1">
        <v>74</v>
      </c>
      <c r="E5" s="1" t="s">
        <v>29</v>
      </c>
      <c r="F5" s="1" t="s">
        <v>30</v>
      </c>
      <c r="G5" s="1">
        <v>1.21</v>
      </c>
      <c r="H5" s="1" t="s">
        <v>20</v>
      </c>
      <c r="I5" t="s">
        <v>21</v>
      </c>
      <c r="J5" t="s">
        <v>22</v>
      </c>
      <c r="K5" t="s">
        <v>23</v>
      </c>
      <c r="L5" t="s">
        <v>24</v>
      </c>
      <c r="M5" t="str">
        <f t="shared" si="0"/>
        <v>charge-altering-6kiw</v>
      </c>
      <c r="N5" t="str">
        <f t="shared" si="1"/>
        <v>6kiw</v>
      </c>
      <c r="O5" s="2" t="s">
        <v>31</v>
      </c>
      <c r="P5" s="2" t="str">
        <f t="shared" si="2"/>
        <v>B-E74Q</v>
      </c>
    </row>
    <row r="6" spans="1:16">
      <c r="A6" s="1" t="s">
        <v>15</v>
      </c>
      <c r="B6" s="1" t="s">
        <v>16</v>
      </c>
      <c r="C6" s="1" t="s">
        <v>32</v>
      </c>
      <c r="D6" s="1">
        <v>78</v>
      </c>
      <c r="E6" s="1" t="s">
        <v>33</v>
      </c>
      <c r="F6" s="1" t="s">
        <v>17</v>
      </c>
      <c r="G6" s="1">
        <v>1.92</v>
      </c>
      <c r="H6" s="1" t="s">
        <v>20</v>
      </c>
      <c r="I6" t="s">
        <v>34</v>
      </c>
      <c r="J6" t="s">
        <v>35</v>
      </c>
      <c r="K6" t="s">
        <v>36</v>
      </c>
      <c r="L6" t="s">
        <v>37</v>
      </c>
      <c r="M6" t="str">
        <f t="shared" si="0"/>
        <v>non-charge-altering-6kiu</v>
      </c>
      <c r="N6" t="str">
        <f t="shared" si="1"/>
        <v>6kiu</v>
      </c>
      <c r="O6" s="2" t="s">
        <v>38</v>
      </c>
      <c r="P6" s="2" t="str">
        <f t="shared" si="2"/>
        <v>A-F78C</v>
      </c>
    </row>
    <row r="7" spans="1:16">
      <c r="A7" s="1" t="s">
        <v>26</v>
      </c>
      <c r="B7" s="1" t="s">
        <v>27</v>
      </c>
      <c r="C7" s="1" t="s">
        <v>32</v>
      </c>
      <c r="D7" s="1">
        <v>78</v>
      </c>
      <c r="E7" s="1" t="s">
        <v>33</v>
      </c>
      <c r="F7" s="1" t="s">
        <v>17</v>
      </c>
      <c r="G7" s="1">
        <v>1.92</v>
      </c>
      <c r="H7" s="1" t="s">
        <v>20</v>
      </c>
      <c r="I7" t="s">
        <v>34</v>
      </c>
      <c r="J7" t="s">
        <v>35</v>
      </c>
      <c r="K7" t="s">
        <v>36</v>
      </c>
      <c r="L7" t="s">
        <v>37</v>
      </c>
      <c r="M7" t="str">
        <f t="shared" si="0"/>
        <v>non-charge-altering-6kiw</v>
      </c>
      <c r="N7" t="str">
        <f t="shared" si="1"/>
        <v>6kiw</v>
      </c>
      <c r="O7" s="2" t="s">
        <v>38</v>
      </c>
      <c r="P7" s="2" t="str">
        <f t="shared" si="2"/>
        <v>A-F78C</v>
      </c>
    </row>
    <row r="8" spans="1:16">
      <c r="A8" s="1" t="s">
        <v>15</v>
      </c>
      <c r="B8" s="1" t="s">
        <v>16</v>
      </c>
      <c r="C8" s="1" t="s">
        <v>32</v>
      </c>
      <c r="D8" s="1">
        <v>78</v>
      </c>
      <c r="E8" s="1" t="s">
        <v>33</v>
      </c>
      <c r="F8" s="1" t="s">
        <v>39</v>
      </c>
      <c r="G8" s="1">
        <v>1.75</v>
      </c>
      <c r="H8" s="1" t="s">
        <v>20</v>
      </c>
      <c r="I8" t="s">
        <v>34</v>
      </c>
      <c r="J8" t="s">
        <v>35</v>
      </c>
      <c r="K8" t="s">
        <v>36</v>
      </c>
      <c r="L8" t="s">
        <v>37</v>
      </c>
      <c r="M8" t="str">
        <f t="shared" si="0"/>
        <v>non-charge-altering-6kiu</v>
      </c>
      <c r="N8" t="str">
        <f t="shared" si="1"/>
        <v>6kiu</v>
      </c>
      <c r="O8" s="2" t="s">
        <v>38</v>
      </c>
      <c r="P8" s="2" t="str">
        <f t="shared" si="2"/>
        <v>A-F78L</v>
      </c>
    </row>
    <row r="9" spans="1:16">
      <c r="A9" s="1" t="s">
        <v>26</v>
      </c>
      <c r="B9" s="1" t="s">
        <v>27</v>
      </c>
      <c r="C9" s="1" t="s">
        <v>32</v>
      </c>
      <c r="D9" s="1">
        <v>78</v>
      </c>
      <c r="E9" s="1" t="s">
        <v>33</v>
      </c>
      <c r="F9" s="1" t="s">
        <v>39</v>
      </c>
      <c r="G9" s="1">
        <v>1.77</v>
      </c>
      <c r="H9" s="1" t="s">
        <v>20</v>
      </c>
      <c r="I9" t="s">
        <v>34</v>
      </c>
      <c r="J9" t="s">
        <v>35</v>
      </c>
      <c r="K9" t="s">
        <v>36</v>
      </c>
      <c r="L9" t="s">
        <v>37</v>
      </c>
      <c r="M9" t="str">
        <f t="shared" si="0"/>
        <v>non-charge-altering-6kiw</v>
      </c>
      <c r="N9" t="str">
        <f t="shared" si="1"/>
        <v>6kiw</v>
      </c>
      <c r="O9" s="2" t="s">
        <v>38</v>
      </c>
      <c r="P9" s="2" t="str">
        <f t="shared" si="2"/>
        <v>A-F78L</v>
      </c>
    </row>
    <row r="10" spans="1:16">
      <c r="A10" s="1" t="s">
        <v>15</v>
      </c>
      <c r="B10" s="1" t="s">
        <v>16</v>
      </c>
      <c r="C10" s="1" t="s">
        <v>32</v>
      </c>
      <c r="D10" s="1">
        <v>79</v>
      </c>
      <c r="E10" s="1" t="s">
        <v>40</v>
      </c>
      <c r="F10" s="1" t="s">
        <v>41</v>
      </c>
      <c r="G10" s="1">
        <v>1.63</v>
      </c>
      <c r="H10" s="1" t="s">
        <v>20</v>
      </c>
      <c r="I10" t="s">
        <v>42</v>
      </c>
      <c r="J10" t="s">
        <v>22</v>
      </c>
      <c r="K10" t="s">
        <v>23</v>
      </c>
      <c r="L10" t="s">
        <v>24</v>
      </c>
      <c r="M10" t="str">
        <f t="shared" si="0"/>
        <v>charge-altering-6kiu</v>
      </c>
      <c r="N10" t="str">
        <f t="shared" si="1"/>
        <v>6kiu</v>
      </c>
      <c r="O10" s="2" t="s">
        <v>38</v>
      </c>
      <c r="P10" s="2" t="str">
        <f t="shared" si="2"/>
        <v>A-K79N</v>
      </c>
    </row>
    <row r="11" spans="1:16">
      <c r="A11" s="1" t="s">
        <v>26</v>
      </c>
      <c r="B11" s="1" t="s">
        <v>27</v>
      </c>
      <c r="C11" s="1" t="s">
        <v>32</v>
      </c>
      <c r="D11" s="1">
        <v>79</v>
      </c>
      <c r="E11" s="1" t="s">
        <v>40</v>
      </c>
      <c r="F11" s="1" t="s">
        <v>41</v>
      </c>
      <c r="G11" s="1">
        <v>1.4</v>
      </c>
      <c r="H11" s="1" t="s">
        <v>20</v>
      </c>
      <c r="I11" t="s">
        <v>42</v>
      </c>
      <c r="J11" t="s">
        <v>22</v>
      </c>
      <c r="K11" t="s">
        <v>23</v>
      </c>
      <c r="L11" t="s">
        <v>24</v>
      </c>
      <c r="M11" t="str">
        <f t="shared" si="0"/>
        <v>charge-altering-6kiw</v>
      </c>
      <c r="N11" t="str">
        <f t="shared" si="1"/>
        <v>6kiw</v>
      </c>
      <c r="O11" s="2" t="s">
        <v>38</v>
      </c>
      <c r="P11" s="2" t="str">
        <f t="shared" si="2"/>
        <v>A-K79N</v>
      </c>
    </row>
    <row r="12" spans="1:16">
      <c r="A12" s="1" t="s">
        <v>15</v>
      </c>
      <c r="B12" s="1" t="s">
        <v>16</v>
      </c>
      <c r="C12" s="1" t="s">
        <v>18</v>
      </c>
      <c r="D12" s="1">
        <v>89</v>
      </c>
      <c r="E12" s="1" t="s">
        <v>43</v>
      </c>
      <c r="F12" s="1" t="s">
        <v>40</v>
      </c>
      <c r="G12" s="1">
        <v>0.97</v>
      </c>
      <c r="H12" s="1" t="s">
        <v>20</v>
      </c>
      <c r="I12" t="s">
        <v>44</v>
      </c>
      <c r="J12" t="s">
        <v>35</v>
      </c>
      <c r="K12" t="s">
        <v>36</v>
      </c>
      <c r="L12" t="s">
        <v>37</v>
      </c>
      <c r="M12" t="str">
        <f t="shared" si="0"/>
        <v>non-charge-altering-6kiu</v>
      </c>
      <c r="N12" t="str">
        <f t="shared" si="1"/>
        <v>6kiu</v>
      </c>
      <c r="O12" s="2" t="s">
        <v>45</v>
      </c>
      <c r="P12" s="2" t="str">
        <f t="shared" si="2"/>
        <v>D-R89K</v>
      </c>
    </row>
    <row r="13" spans="1:16">
      <c r="A13" s="1" t="s">
        <v>26</v>
      </c>
      <c r="B13" s="1" t="s">
        <v>27</v>
      </c>
      <c r="C13" s="1" t="s">
        <v>18</v>
      </c>
      <c r="D13" s="1">
        <v>89</v>
      </c>
      <c r="E13" s="1" t="s">
        <v>43</v>
      </c>
      <c r="F13" s="1" t="s">
        <v>40</v>
      </c>
      <c r="G13" s="1">
        <v>0.57</v>
      </c>
      <c r="H13" s="1" t="s">
        <v>20</v>
      </c>
      <c r="I13" t="s">
        <v>44</v>
      </c>
      <c r="J13" t="s">
        <v>35</v>
      </c>
      <c r="K13" t="s">
        <v>36</v>
      </c>
      <c r="L13" t="s">
        <v>37</v>
      </c>
      <c r="M13" t="str">
        <f t="shared" si="0"/>
        <v>non-charge-altering-6kiw</v>
      </c>
      <c r="N13" t="str">
        <f t="shared" si="1"/>
        <v>6kiw</v>
      </c>
      <c r="O13" s="2" t="s">
        <v>45</v>
      </c>
      <c r="P13" s="2" t="str">
        <f t="shared" si="2"/>
        <v>D-R89K</v>
      </c>
    </row>
    <row r="14" spans="1:16">
      <c r="A14" s="1" t="s">
        <v>15</v>
      </c>
      <c r="B14" s="1" t="s">
        <v>16</v>
      </c>
      <c r="C14" s="1" t="s">
        <v>18</v>
      </c>
      <c r="D14" s="1">
        <v>120</v>
      </c>
      <c r="E14" s="1" t="s">
        <v>46</v>
      </c>
      <c r="F14" s="1" t="s">
        <v>41</v>
      </c>
      <c r="G14" s="1">
        <v>0.32</v>
      </c>
      <c r="H14" s="1" t="s">
        <v>20</v>
      </c>
      <c r="I14" t="s">
        <v>34</v>
      </c>
      <c r="J14" t="s">
        <v>35</v>
      </c>
      <c r="K14" t="s">
        <v>36</v>
      </c>
      <c r="L14" t="s">
        <v>37</v>
      </c>
      <c r="M14" t="str">
        <f t="shared" si="0"/>
        <v>non-charge-altering-6kiu</v>
      </c>
      <c r="N14" t="str">
        <f t="shared" si="1"/>
        <v>6kiu</v>
      </c>
      <c r="O14" s="2" t="s">
        <v>45</v>
      </c>
      <c r="P14" s="2" t="str">
        <f t="shared" si="2"/>
        <v>D-S120N</v>
      </c>
    </row>
    <row r="15" spans="1:16">
      <c r="A15" s="1" t="s">
        <v>26</v>
      </c>
      <c r="B15" s="1" t="s">
        <v>27</v>
      </c>
      <c r="C15" s="1" t="s">
        <v>18</v>
      </c>
      <c r="D15" s="1">
        <v>120</v>
      </c>
      <c r="E15" s="1" t="s">
        <v>46</v>
      </c>
      <c r="F15" s="1" t="s">
        <v>41</v>
      </c>
      <c r="G15" s="1">
        <v>0.19</v>
      </c>
      <c r="H15" s="1" t="s">
        <v>20</v>
      </c>
      <c r="I15" t="s">
        <v>34</v>
      </c>
      <c r="J15" t="s">
        <v>35</v>
      </c>
      <c r="K15" t="s">
        <v>36</v>
      </c>
      <c r="L15" t="s">
        <v>37</v>
      </c>
      <c r="M15" t="str">
        <f t="shared" si="0"/>
        <v>non-charge-altering-6kiw</v>
      </c>
      <c r="N15" t="str">
        <f t="shared" si="1"/>
        <v>6kiw</v>
      </c>
      <c r="O15" s="2" t="s">
        <v>45</v>
      </c>
      <c r="P15" s="2" t="str">
        <f t="shared" si="2"/>
        <v>D-S120N</v>
      </c>
    </row>
    <row r="16" spans="1:16">
      <c r="A16" s="1" t="s">
        <v>15</v>
      </c>
      <c r="B16" s="1" t="s">
        <v>16</v>
      </c>
      <c r="C16" s="1" t="s">
        <v>18</v>
      </c>
      <c r="D16" s="1">
        <v>112</v>
      </c>
      <c r="E16" s="1" t="s">
        <v>47</v>
      </c>
      <c r="F16" s="1" t="s">
        <v>46</v>
      </c>
      <c r="G16" s="1">
        <v>1.09</v>
      </c>
      <c r="H16" s="1" t="s">
        <v>20</v>
      </c>
      <c r="I16" t="s">
        <v>34</v>
      </c>
      <c r="J16" t="s">
        <v>35</v>
      </c>
      <c r="K16" t="s">
        <v>36</v>
      </c>
      <c r="L16" t="s">
        <v>37</v>
      </c>
      <c r="M16" t="str">
        <f t="shared" si="0"/>
        <v>non-charge-altering-6kiu</v>
      </c>
      <c r="N16" t="str">
        <f t="shared" si="1"/>
        <v>6kiu</v>
      </c>
      <c r="O16" s="2" t="s">
        <v>45</v>
      </c>
      <c r="P16" s="2" t="str">
        <f t="shared" si="2"/>
        <v>D-T112S</v>
      </c>
    </row>
    <row r="17" spans="1:16">
      <c r="A17" s="1" t="s">
        <v>26</v>
      </c>
      <c r="B17" s="1" t="s">
        <v>27</v>
      </c>
      <c r="C17" s="1" t="s">
        <v>18</v>
      </c>
      <c r="D17" s="1">
        <v>112</v>
      </c>
      <c r="E17" s="1" t="s">
        <v>47</v>
      </c>
      <c r="F17" s="1" t="s">
        <v>46</v>
      </c>
      <c r="G17" s="1">
        <v>1.3</v>
      </c>
      <c r="H17" s="1" t="s">
        <v>20</v>
      </c>
      <c r="I17" t="s">
        <v>34</v>
      </c>
      <c r="J17" t="s">
        <v>35</v>
      </c>
      <c r="K17" t="s">
        <v>36</v>
      </c>
      <c r="L17" t="s">
        <v>37</v>
      </c>
      <c r="M17" t="str">
        <f t="shared" si="0"/>
        <v>non-charge-altering-6kiw</v>
      </c>
      <c r="N17" t="str">
        <f t="shared" si="1"/>
        <v>6kiw</v>
      </c>
      <c r="O17" s="2" t="s">
        <v>45</v>
      </c>
      <c r="P17" s="2" t="str">
        <f t="shared" si="2"/>
        <v>D-T112S</v>
      </c>
    </row>
    <row r="18" spans="1:16">
      <c r="A18" s="1" t="s">
        <v>15</v>
      </c>
      <c r="B18" s="1" t="s">
        <v>16</v>
      </c>
      <c r="C18" s="1" t="s">
        <v>18</v>
      </c>
      <c r="D18" s="1">
        <v>116</v>
      </c>
      <c r="E18" s="1" t="s">
        <v>47</v>
      </c>
      <c r="F18" s="1" t="s">
        <v>48</v>
      </c>
      <c r="G18" s="1">
        <v>0.5</v>
      </c>
      <c r="H18" s="1" t="s">
        <v>20</v>
      </c>
      <c r="I18" t="s">
        <v>34</v>
      </c>
      <c r="J18" t="s">
        <v>35</v>
      </c>
      <c r="K18" t="s">
        <v>36</v>
      </c>
      <c r="L18" t="s">
        <v>37</v>
      </c>
      <c r="M18" t="str">
        <f t="shared" si="0"/>
        <v>non-charge-altering-6kiu</v>
      </c>
      <c r="N18" t="str">
        <f t="shared" si="1"/>
        <v>6kiu</v>
      </c>
      <c r="O18" s="2" t="s">
        <v>45</v>
      </c>
      <c r="P18" s="2" t="str">
        <f t="shared" si="2"/>
        <v>D-T116I</v>
      </c>
    </row>
    <row r="19" spans="1:16">
      <c r="A19" s="1" t="s">
        <v>26</v>
      </c>
      <c r="B19" s="1" t="s">
        <v>27</v>
      </c>
      <c r="C19" s="1" t="s">
        <v>18</v>
      </c>
      <c r="D19" s="1">
        <v>116</v>
      </c>
      <c r="E19" s="1" t="s">
        <v>47</v>
      </c>
      <c r="F19" s="1" t="s">
        <v>48</v>
      </c>
      <c r="G19" s="1">
        <v>1.04</v>
      </c>
      <c r="H19" s="1" t="s">
        <v>20</v>
      </c>
      <c r="I19" t="s">
        <v>34</v>
      </c>
      <c r="J19" t="s">
        <v>35</v>
      </c>
      <c r="K19" t="s">
        <v>36</v>
      </c>
      <c r="L19" t="s">
        <v>37</v>
      </c>
      <c r="M19" t="str">
        <f t="shared" si="0"/>
        <v>non-charge-altering-6kiw</v>
      </c>
      <c r="N19" t="str">
        <f t="shared" si="1"/>
        <v>6kiw</v>
      </c>
      <c r="O19" s="2" t="s">
        <v>45</v>
      </c>
      <c r="P19" s="2" t="str">
        <f t="shared" si="2"/>
        <v>D-T116I</v>
      </c>
    </row>
    <row r="20" spans="1:16">
      <c r="A20" s="1" t="s">
        <v>15</v>
      </c>
      <c r="B20" s="1" t="s">
        <v>16</v>
      </c>
      <c r="C20" s="1" t="s">
        <v>32</v>
      </c>
      <c r="D20" s="1">
        <v>80</v>
      </c>
      <c r="E20" s="1" t="s">
        <v>47</v>
      </c>
      <c r="F20" s="1" t="s">
        <v>32</v>
      </c>
      <c r="G20" s="1">
        <v>1.01</v>
      </c>
      <c r="H20" s="1" t="s">
        <v>20</v>
      </c>
      <c r="I20" t="s">
        <v>34</v>
      </c>
      <c r="J20" t="s">
        <v>35</v>
      </c>
      <c r="K20" t="s">
        <v>36</v>
      </c>
      <c r="L20" t="s">
        <v>37</v>
      </c>
      <c r="M20" t="str">
        <f t="shared" si="0"/>
        <v>non-charge-altering-6kiu</v>
      </c>
      <c r="N20" t="str">
        <f t="shared" si="1"/>
        <v>6kiu</v>
      </c>
      <c r="O20" s="2" t="s">
        <v>38</v>
      </c>
      <c r="P20" s="2" t="str">
        <f t="shared" si="2"/>
        <v>A-T80A</v>
      </c>
    </row>
    <row r="21" spans="1:16">
      <c r="A21" s="1" t="s">
        <v>26</v>
      </c>
      <c r="B21" s="1" t="s">
        <v>27</v>
      </c>
      <c r="C21" s="1" t="s">
        <v>32</v>
      </c>
      <c r="D21" s="1">
        <v>80</v>
      </c>
      <c r="E21" s="1" t="s">
        <v>47</v>
      </c>
      <c r="F21" s="1" t="s">
        <v>32</v>
      </c>
      <c r="G21" s="1">
        <v>1.08</v>
      </c>
      <c r="H21" s="1" t="s">
        <v>20</v>
      </c>
      <c r="I21" t="s">
        <v>34</v>
      </c>
      <c r="J21" t="s">
        <v>35</v>
      </c>
      <c r="K21" t="s">
        <v>36</v>
      </c>
      <c r="L21" t="s">
        <v>37</v>
      </c>
      <c r="M21" t="str">
        <f t="shared" si="0"/>
        <v>non-charge-altering-6kiw</v>
      </c>
      <c r="N21" t="str">
        <f t="shared" si="1"/>
        <v>6kiw</v>
      </c>
      <c r="O21" s="2" t="s">
        <v>38</v>
      </c>
      <c r="P21" s="2" t="str">
        <f t="shared" si="2"/>
        <v>A-T80A</v>
      </c>
    </row>
    <row r="22" spans="1:16">
      <c r="A22" s="1" t="s">
        <v>15</v>
      </c>
      <c r="B22" s="1" t="s">
        <v>16</v>
      </c>
      <c r="C22" s="1" t="s">
        <v>17</v>
      </c>
      <c r="D22" s="1">
        <v>50</v>
      </c>
      <c r="E22" s="1" t="s">
        <v>49</v>
      </c>
      <c r="F22" s="1" t="s">
        <v>33</v>
      </c>
      <c r="G22" s="1">
        <v>1.1</v>
      </c>
      <c r="H22" s="1" t="s">
        <v>20</v>
      </c>
      <c r="I22" t="s">
        <v>34</v>
      </c>
      <c r="J22" t="s">
        <v>35</v>
      </c>
      <c r="K22" t="s">
        <v>36</v>
      </c>
      <c r="L22" t="s">
        <v>37</v>
      </c>
      <c r="M22" t="str">
        <f t="shared" si="0"/>
        <v>non-charge-altering-6kiu</v>
      </c>
      <c r="N22" t="str">
        <f t="shared" si="1"/>
        <v>6kiu</v>
      </c>
      <c r="O22" s="2" t="s">
        <v>25</v>
      </c>
      <c r="P22" s="2" t="str">
        <f t="shared" si="2"/>
        <v>C-Y50F</v>
      </c>
    </row>
    <row r="23" spans="1:16">
      <c r="A23" s="1" t="s">
        <v>26</v>
      </c>
      <c r="B23" s="1" t="s">
        <v>27</v>
      </c>
      <c r="C23" s="1" t="s">
        <v>17</v>
      </c>
      <c r="D23" s="1">
        <v>50</v>
      </c>
      <c r="E23" s="1" t="s">
        <v>49</v>
      </c>
      <c r="F23" s="1" t="s">
        <v>33</v>
      </c>
      <c r="G23" s="1">
        <v>1.05</v>
      </c>
      <c r="H23" s="1" t="s">
        <v>20</v>
      </c>
      <c r="I23" t="s">
        <v>34</v>
      </c>
      <c r="J23" t="s">
        <v>35</v>
      </c>
      <c r="K23" t="s">
        <v>36</v>
      </c>
      <c r="L23" t="s">
        <v>37</v>
      </c>
      <c r="M23" t="str">
        <f t="shared" si="0"/>
        <v>non-charge-altering-6kiw</v>
      </c>
      <c r="N23" t="str">
        <f t="shared" si="1"/>
        <v>6kiw</v>
      </c>
      <c r="O23" s="2" t="s">
        <v>25</v>
      </c>
      <c r="P23" s="2" t="str">
        <f t="shared" si="2"/>
        <v>C-Y50F</v>
      </c>
    </row>
    <row r="24" spans="1:16">
      <c r="A24" s="1" t="s">
        <v>15</v>
      </c>
      <c r="B24" s="1" t="s">
        <v>16</v>
      </c>
      <c r="C24" s="1" t="s">
        <v>17</v>
      </c>
      <c r="D24" s="1">
        <v>50</v>
      </c>
      <c r="E24" s="1" t="s">
        <v>49</v>
      </c>
      <c r="F24" s="1" t="s">
        <v>41</v>
      </c>
      <c r="G24" s="1">
        <v>2.56</v>
      </c>
      <c r="H24" s="1" t="s">
        <v>20</v>
      </c>
      <c r="I24" t="s">
        <v>34</v>
      </c>
      <c r="J24" t="s">
        <v>35</v>
      </c>
      <c r="K24" t="s">
        <v>36</v>
      </c>
      <c r="L24" t="s">
        <v>37</v>
      </c>
      <c r="M24" t="str">
        <f t="shared" si="0"/>
        <v>non-charge-altering-6kiu</v>
      </c>
      <c r="N24" t="str">
        <f t="shared" si="1"/>
        <v>6kiu</v>
      </c>
      <c r="O24" s="2" t="s">
        <v>25</v>
      </c>
      <c r="P24" s="2" t="str">
        <f t="shared" si="2"/>
        <v>C-Y50N</v>
      </c>
    </row>
    <row r="25" spans="1:16">
      <c r="A25" s="1" t="s">
        <v>26</v>
      </c>
      <c r="B25" s="1" t="s">
        <v>27</v>
      </c>
      <c r="C25" s="1" t="s">
        <v>17</v>
      </c>
      <c r="D25" s="1">
        <v>50</v>
      </c>
      <c r="E25" s="1" t="s">
        <v>49</v>
      </c>
      <c r="F25" s="1" t="s">
        <v>41</v>
      </c>
      <c r="G25" s="1">
        <v>2.31</v>
      </c>
      <c r="H25" s="1" t="s">
        <v>20</v>
      </c>
      <c r="I25" t="s">
        <v>34</v>
      </c>
      <c r="J25" t="s">
        <v>35</v>
      </c>
      <c r="K25" t="s">
        <v>36</v>
      </c>
      <c r="L25" t="s">
        <v>37</v>
      </c>
      <c r="M25" t="str">
        <f t="shared" si="0"/>
        <v>non-charge-altering-6kiw</v>
      </c>
      <c r="N25" t="str">
        <f t="shared" si="1"/>
        <v>6kiw</v>
      </c>
      <c r="O25" s="2" t="s">
        <v>25</v>
      </c>
      <c r="P25" s="2" t="str">
        <f t="shared" si="2"/>
        <v>C-Y50N</v>
      </c>
    </row>
  </sheetData>
  <autoFilter xmlns:etc="http://www.wps.cn/officeDocument/2017/etCustomData" ref="A1:P25" etc:filterBottomFollowUsedRange="0">
    <sortState ref="A1:P25">
      <sortCondition ref="P1"/>
    </sortState>
    <extLst/>
  </autoFilter>
  <conditionalFormatting sqref="O1:P1 O26:P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7"/>
  <sheetViews>
    <sheetView tabSelected="1" workbookViewId="0">
      <selection activeCell="A708" sqref="A708:A1048576"/>
    </sheetView>
  </sheetViews>
  <sheetFormatPr defaultColWidth="8.8" defaultRowHeight="13.5"/>
  <cols>
    <col min="12" max="12" width="18.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0</v>
      </c>
      <c r="O1" s="2" t="s">
        <v>13</v>
      </c>
      <c r="P1" s="2" t="s">
        <v>14</v>
      </c>
    </row>
    <row r="2" spans="1:16">
      <c r="A2" s="1" t="s">
        <v>15</v>
      </c>
      <c r="B2" s="1" t="s">
        <v>16</v>
      </c>
      <c r="C2" s="1" t="s">
        <v>17</v>
      </c>
      <c r="D2" s="1">
        <v>56</v>
      </c>
      <c r="E2" s="1" t="s">
        <v>29</v>
      </c>
      <c r="F2" s="1" t="s">
        <v>30</v>
      </c>
      <c r="G2" s="1">
        <v>1.2</v>
      </c>
      <c r="H2" s="1" t="s">
        <v>20</v>
      </c>
      <c r="I2" t="s">
        <v>21</v>
      </c>
      <c r="J2" t="s">
        <v>22</v>
      </c>
      <c r="K2" t="s">
        <v>23</v>
      </c>
      <c r="L2" t="s">
        <v>24</v>
      </c>
      <c r="M2" t="str">
        <f t="shared" ref="M2:M65" si="0">L2&amp;"-"&amp;LEFT(A2,4)</f>
        <v>charge-altering-6kiu</v>
      </c>
      <c r="N2" t="str">
        <f t="shared" ref="N2:N65" si="1">LEFT(A2,4)</f>
        <v>6kiu</v>
      </c>
      <c r="O2" s="2" t="s">
        <v>25</v>
      </c>
      <c r="P2" s="2" t="str">
        <f t="shared" ref="P2:P65" si="2">C2&amp;"-"&amp;E2&amp;D2&amp;F2</f>
        <v>C-E56Q</v>
      </c>
    </row>
    <row r="3" spans="1:16">
      <c r="A3" s="1" t="s">
        <v>15</v>
      </c>
      <c r="B3" s="1" t="s">
        <v>16</v>
      </c>
      <c r="C3" s="1" t="s">
        <v>17</v>
      </c>
      <c r="D3" s="1">
        <v>61</v>
      </c>
      <c r="E3" s="1" t="s">
        <v>29</v>
      </c>
      <c r="F3" s="1" t="s">
        <v>40</v>
      </c>
      <c r="G3" s="1">
        <v>0.75</v>
      </c>
      <c r="H3" s="1" t="s">
        <v>20</v>
      </c>
      <c r="I3" t="s">
        <v>50</v>
      </c>
      <c r="J3" t="s">
        <v>51</v>
      </c>
      <c r="K3" t="s">
        <v>52</v>
      </c>
      <c r="L3" t="s">
        <v>24</v>
      </c>
      <c r="M3" t="str">
        <f t="shared" si="0"/>
        <v>charge-altering-6kiu</v>
      </c>
      <c r="N3" t="str">
        <f t="shared" si="1"/>
        <v>6kiu</v>
      </c>
      <c r="O3" s="2" t="s">
        <v>25</v>
      </c>
      <c r="P3" s="2" t="str">
        <f t="shared" si="2"/>
        <v>C-E61K</v>
      </c>
    </row>
    <row r="4" spans="1:16">
      <c r="A4" s="1" t="s">
        <v>15</v>
      </c>
      <c r="B4" s="1" t="s">
        <v>16</v>
      </c>
      <c r="C4" s="1" t="s">
        <v>17</v>
      </c>
      <c r="D4" s="1">
        <v>92</v>
      </c>
      <c r="E4" s="1" t="s">
        <v>29</v>
      </c>
      <c r="F4" s="1" t="s">
        <v>40</v>
      </c>
      <c r="G4" s="1">
        <v>1.49</v>
      </c>
      <c r="H4" s="1" t="s">
        <v>20</v>
      </c>
      <c r="I4" t="s">
        <v>50</v>
      </c>
      <c r="J4" t="s">
        <v>51</v>
      </c>
      <c r="K4" t="s">
        <v>52</v>
      </c>
      <c r="L4" t="s">
        <v>24</v>
      </c>
      <c r="M4" t="str">
        <f t="shared" si="0"/>
        <v>charge-altering-6kiu</v>
      </c>
      <c r="N4" t="str">
        <f t="shared" si="1"/>
        <v>6kiu</v>
      </c>
      <c r="O4" s="2" t="s">
        <v>25</v>
      </c>
      <c r="P4" s="2" t="str">
        <f t="shared" si="2"/>
        <v>C-E92K</v>
      </c>
    </row>
    <row r="5" spans="1:16">
      <c r="A5" s="1" t="s">
        <v>15</v>
      </c>
      <c r="B5" s="1" t="s">
        <v>16</v>
      </c>
      <c r="C5" s="1" t="s">
        <v>17</v>
      </c>
      <c r="D5" s="1">
        <v>106</v>
      </c>
      <c r="E5" s="1" t="s">
        <v>19</v>
      </c>
      <c r="F5" s="1" t="s">
        <v>18</v>
      </c>
      <c r="G5" s="1">
        <v>0.72</v>
      </c>
      <c r="H5" s="1" t="s">
        <v>20</v>
      </c>
      <c r="I5" t="s">
        <v>53</v>
      </c>
      <c r="J5" t="s">
        <v>54</v>
      </c>
      <c r="K5" t="s">
        <v>55</v>
      </c>
      <c r="L5" t="s">
        <v>24</v>
      </c>
      <c r="M5" t="str">
        <f t="shared" si="0"/>
        <v>charge-altering-6kiu</v>
      </c>
      <c r="N5" t="str">
        <f t="shared" si="1"/>
        <v>6kiu</v>
      </c>
      <c r="O5" s="2" t="s">
        <v>25</v>
      </c>
      <c r="P5" s="2" t="str">
        <f t="shared" si="2"/>
        <v>C-G106D</v>
      </c>
    </row>
    <row r="6" spans="1:16">
      <c r="A6" s="1" t="s">
        <v>15</v>
      </c>
      <c r="B6" s="1" t="s">
        <v>16</v>
      </c>
      <c r="C6" s="1" t="s">
        <v>17</v>
      </c>
      <c r="D6" s="1">
        <v>95</v>
      </c>
      <c r="E6" s="1" t="s">
        <v>40</v>
      </c>
      <c r="F6" s="1" t="s">
        <v>47</v>
      </c>
      <c r="G6" s="1">
        <v>0.9</v>
      </c>
      <c r="H6" s="1" t="s">
        <v>20</v>
      </c>
      <c r="I6" t="s">
        <v>42</v>
      </c>
      <c r="J6" t="s">
        <v>22</v>
      </c>
      <c r="K6" t="s">
        <v>23</v>
      </c>
      <c r="L6" t="s">
        <v>24</v>
      </c>
      <c r="M6" t="str">
        <f t="shared" si="0"/>
        <v>charge-altering-6kiu</v>
      </c>
      <c r="N6" t="str">
        <f t="shared" si="1"/>
        <v>6kiu</v>
      </c>
      <c r="O6" s="2" t="s">
        <v>25</v>
      </c>
      <c r="P6" s="2" t="str">
        <f t="shared" si="2"/>
        <v>C-K95T</v>
      </c>
    </row>
    <row r="7" spans="1:16">
      <c r="A7" s="1" t="s">
        <v>15</v>
      </c>
      <c r="B7" s="1" t="s">
        <v>16</v>
      </c>
      <c r="C7" s="1" t="s">
        <v>17</v>
      </c>
      <c r="D7" s="1">
        <v>115</v>
      </c>
      <c r="E7" s="1" t="s">
        <v>39</v>
      </c>
      <c r="F7" s="1" t="s">
        <v>56</v>
      </c>
      <c r="G7" s="1">
        <v>1.62</v>
      </c>
      <c r="H7" s="1" t="s">
        <v>20</v>
      </c>
      <c r="I7" t="s">
        <v>57</v>
      </c>
      <c r="J7" t="s">
        <v>54</v>
      </c>
      <c r="K7" t="s">
        <v>55</v>
      </c>
      <c r="L7" t="s">
        <v>24</v>
      </c>
      <c r="M7" t="str">
        <f t="shared" si="0"/>
        <v>charge-altering-6kiu</v>
      </c>
      <c r="N7" t="str">
        <f t="shared" si="1"/>
        <v>6kiu</v>
      </c>
      <c r="O7" s="2" t="s">
        <v>25</v>
      </c>
      <c r="P7" s="2" t="str">
        <f t="shared" si="2"/>
        <v>C-L115H</v>
      </c>
    </row>
    <row r="8" spans="1:16">
      <c r="A8" s="1" t="s">
        <v>15</v>
      </c>
      <c r="B8" s="1" t="s">
        <v>16</v>
      </c>
      <c r="C8" s="1" t="s">
        <v>17</v>
      </c>
      <c r="D8" s="1">
        <v>104</v>
      </c>
      <c r="E8" s="1" t="s">
        <v>30</v>
      </c>
      <c r="F8" s="1" t="s">
        <v>56</v>
      </c>
      <c r="G8" s="1">
        <v>1.1</v>
      </c>
      <c r="H8" s="1" t="s">
        <v>20</v>
      </c>
      <c r="I8" t="s">
        <v>57</v>
      </c>
      <c r="J8" t="s">
        <v>54</v>
      </c>
      <c r="K8" t="s">
        <v>55</v>
      </c>
      <c r="L8" t="s">
        <v>24</v>
      </c>
      <c r="M8" t="str">
        <f t="shared" si="0"/>
        <v>charge-altering-6kiu</v>
      </c>
      <c r="N8" t="str">
        <f t="shared" si="1"/>
        <v>6kiu</v>
      </c>
      <c r="O8" s="2" t="s">
        <v>25</v>
      </c>
      <c r="P8" s="2" t="str">
        <f t="shared" si="2"/>
        <v>C-Q104H</v>
      </c>
    </row>
    <row r="9" spans="1:16">
      <c r="A9" s="1" t="s">
        <v>15</v>
      </c>
      <c r="B9" s="1" t="s">
        <v>16</v>
      </c>
      <c r="C9" s="1" t="s">
        <v>17</v>
      </c>
      <c r="D9" s="1">
        <v>17</v>
      </c>
      <c r="E9" s="1" t="s">
        <v>43</v>
      </c>
      <c r="F9" s="1" t="s">
        <v>58</v>
      </c>
      <c r="G9" s="1">
        <v>2.18</v>
      </c>
      <c r="H9" s="1" t="s">
        <v>20</v>
      </c>
      <c r="I9" t="s">
        <v>42</v>
      </c>
      <c r="J9" t="s">
        <v>22</v>
      </c>
      <c r="K9" t="s">
        <v>23</v>
      </c>
      <c r="L9" t="s">
        <v>24</v>
      </c>
      <c r="M9" t="str">
        <f t="shared" si="0"/>
        <v>charge-altering-6kiu</v>
      </c>
      <c r="N9" t="str">
        <f t="shared" si="1"/>
        <v>6kiu</v>
      </c>
      <c r="O9" s="2" t="s">
        <v>25</v>
      </c>
      <c r="P9" s="2" t="str">
        <f t="shared" si="2"/>
        <v>C-R17P</v>
      </c>
    </row>
    <row r="10" spans="1:16">
      <c r="A10" s="1" t="s">
        <v>15</v>
      </c>
      <c r="B10" s="1" t="s">
        <v>16</v>
      </c>
      <c r="C10" s="1" t="s">
        <v>17</v>
      </c>
      <c r="D10" s="1">
        <v>29</v>
      </c>
      <c r="E10" s="1" t="s">
        <v>43</v>
      </c>
      <c r="F10" s="1" t="s">
        <v>58</v>
      </c>
      <c r="G10" s="1">
        <v>2.47</v>
      </c>
      <c r="H10" s="1" t="s">
        <v>20</v>
      </c>
      <c r="I10" t="s">
        <v>42</v>
      </c>
      <c r="J10" t="s">
        <v>22</v>
      </c>
      <c r="K10" t="s">
        <v>23</v>
      </c>
      <c r="L10" t="s">
        <v>24</v>
      </c>
      <c r="M10" t="str">
        <f t="shared" si="0"/>
        <v>charge-altering-6kiu</v>
      </c>
      <c r="N10" t="str">
        <f t="shared" si="1"/>
        <v>6kiu</v>
      </c>
      <c r="O10" s="2" t="s">
        <v>25</v>
      </c>
      <c r="P10" s="2" t="str">
        <f t="shared" si="2"/>
        <v>C-R29P</v>
      </c>
    </row>
    <row r="11" spans="1:16">
      <c r="A11" s="1" t="s">
        <v>15</v>
      </c>
      <c r="B11" s="1" t="s">
        <v>16</v>
      </c>
      <c r="C11" s="1" t="s">
        <v>17</v>
      </c>
      <c r="D11" s="1">
        <v>29</v>
      </c>
      <c r="E11" s="1" t="s">
        <v>43</v>
      </c>
      <c r="F11" s="1" t="s">
        <v>30</v>
      </c>
      <c r="G11" s="1">
        <v>0.94</v>
      </c>
      <c r="H11" s="1" t="s">
        <v>20</v>
      </c>
      <c r="I11" t="s">
        <v>42</v>
      </c>
      <c r="J11" t="s">
        <v>22</v>
      </c>
      <c r="K11" t="s">
        <v>23</v>
      </c>
      <c r="L11" t="s">
        <v>24</v>
      </c>
      <c r="M11" t="str">
        <f t="shared" si="0"/>
        <v>charge-altering-6kiu</v>
      </c>
      <c r="N11" t="str">
        <f t="shared" si="1"/>
        <v>6kiu</v>
      </c>
      <c r="O11" s="2" t="s">
        <v>25</v>
      </c>
      <c r="P11" s="2" t="str">
        <f t="shared" si="2"/>
        <v>C-R29Q</v>
      </c>
    </row>
    <row r="12" spans="1:16">
      <c r="A12" s="1" t="s">
        <v>15</v>
      </c>
      <c r="B12" s="1" t="s">
        <v>16</v>
      </c>
      <c r="C12" s="1" t="s">
        <v>17</v>
      </c>
      <c r="D12" s="1">
        <v>77</v>
      </c>
      <c r="E12" s="1" t="s">
        <v>43</v>
      </c>
      <c r="F12" s="1" t="s">
        <v>17</v>
      </c>
      <c r="G12" s="1">
        <v>1.37</v>
      </c>
      <c r="H12" s="1" t="s">
        <v>20</v>
      </c>
      <c r="I12" t="s">
        <v>42</v>
      </c>
      <c r="J12" t="s">
        <v>22</v>
      </c>
      <c r="K12" t="s">
        <v>23</v>
      </c>
      <c r="L12" t="s">
        <v>24</v>
      </c>
      <c r="M12" t="str">
        <f t="shared" si="0"/>
        <v>charge-altering-6kiu</v>
      </c>
      <c r="N12" t="str">
        <f t="shared" si="1"/>
        <v>6kiu</v>
      </c>
      <c r="O12" s="2" t="s">
        <v>25</v>
      </c>
      <c r="P12" s="2" t="str">
        <f t="shared" si="2"/>
        <v>C-R77C</v>
      </c>
    </row>
    <row r="13" spans="1:16">
      <c r="A13" s="1" t="s">
        <v>15</v>
      </c>
      <c r="B13" s="1" t="s">
        <v>16</v>
      </c>
      <c r="C13" s="1" t="s">
        <v>19</v>
      </c>
      <c r="D13" s="1">
        <v>56</v>
      </c>
      <c r="E13" s="1" t="s">
        <v>29</v>
      </c>
      <c r="F13" s="1" t="s">
        <v>30</v>
      </c>
      <c r="G13" s="1">
        <v>1.2</v>
      </c>
      <c r="H13" s="1" t="s">
        <v>20</v>
      </c>
      <c r="I13" t="s">
        <v>21</v>
      </c>
      <c r="J13" t="s">
        <v>22</v>
      </c>
      <c r="K13" t="s">
        <v>23</v>
      </c>
      <c r="L13" t="s">
        <v>24</v>
      </c>
      <c r="M13" t="str">
        <f t="shared" si="0"/>
        <v>charge-altering-6kiu</v>
      </c>
      <c r="N13" t="str">
        <f t="shared" si="1"/>
        <v>6kiu</v>
      </c>
      <c r="O13" s="2" t="s">
        <v>25</v>
      </c>
      <c r="P13" s="2" t="str">
        <f t="shared" si="2"/>
        <v>G-E56Q</v>
      </c>
    </row>
    <row r="14" spans="1:16">
      <c r="A14" s="1" t="s">
        <v>15</v>
      </c>
      <c r="B14" s="1" t="s">
        <v>16</v>
      </c>
      <c r="C14" s="1" t="s">
        <v>19</v>
      </c>
      <c r="D14" s="1">
        <v>61</v>
      </c>
      <c r="E14" s="1" t="s">
        <v>29</v>
      </c>
      <c r="F14" s="1" t="s">
        <v>40</v>
      </c>
      <c r="G14" s="1">
        <v>0.77</v>
      </c>
      <c r="H14" s="1" t="s">
        <v>20</v>
      </c>
      <c r="I14" t="s">
        <v>50</v>
      </c>
      <c r="J14" t="s">
        <v>51</v>
      </c>
      <c r="K14" t="s">
        <v>52</v>
      </c>
      <c r="L14" t="s">
        <v>24</v>
      </c>
      <c r="M14" t="str">
        <f t="shared" si="0"/>
        <v>charge-altering-6kiu</v>
      </c>
      <c r="N14" t="str">
        <f t="shared" si="1"/>
        <v>6kiu</v>
      </c>
      <c r="O14" s="2" t="s">
        <v>25</v>
      </c>
      <c r="P14" s="2" t="str">
        <f t="shared" si="2"/>
        <v>G-E61K</v>
      </c>
    </row>
    <row r="15" spans="1:16">
      <c r="A15" s="1" t="s">
        <v>15</v>
      </c>
      <c r="B15" s="1" t="s">
        <v>16</v>
      </c>
      <c r="C15" s="1" t="s">
        <v>19</v>
      </c>
      <c r="D15" s="1">
        <v>92</v>
      </c>
      <c r="E15" s="1" t="s">
        <v>29</v>
      </c>
      <c r="F15" s="1" t="s">
        <v>40</v>
      </c>
      <c r="G15" s="1">
        <v>1.52</v>
      </c>
      <c r="H15" s="1" t="s">
        <v>20</v>
      </c>
      <c r="I15" t="s">
        <v>50</v>
      </c>
      <c r="J15" t="s">
        <v>51</v>
      </c>
      <c r="K15" t="s">
        <v>52</v>
      </c>
      <c r="L15" t="s">
        <v>24</v>
      </c>
      <c r="M15" t="str">
        <f t="shared" si="0"/>
        <v>charge-altering-6kiu</v>
      </c>
      <c r="N15" t="str">
        <f t="shared" si="1"/>
        <v>6kiu</v>
      </c>
      <c r="O15" s="2" t="s">
        <v>25</v>
      </c>
      <c r="P15" s="2" t="str">
        <f t="shared" si="2"/>
        <v>G-E92K</v>
      </c>
    </row>
    <row r="16" spans="1:16">
      <c r="A16" s="1" t="s">
        <v>15</v>
      </c>
      <c r="B16" s="1" t="s">
        <v>16</v>
      </c>
      <c r="C16" s="1" t="s">
        <v>19</v>
      </c>
      <c r="D16" s="1">
        <v>106</v>
      </c>
      <c r="E16" s="1" t="s">
        <v>19</v>
      </c>
      <c r="F16" s="1" t="s">
        <v>18</v>
      </c>
      <c r="G16" s="1">
        <v>0.72</v>
      </c>
      <c r="H16" s="1" t="s">
        <v>20</v>
      </c>
      <c r="I16" t="s">
        <v>53</v>
      </c>
      <c r="J16" t="s">
        <v>54</v>
      </c>
      <c r="K16" t="s">
        <v>55</v>
      </c>
      <c r="L16" t="s">
        <v>24</v>
      </c>
      <c r="M16" t="str">
        <f t="shared" si="0"/>
        <v>charge-altering-6kiu</v>
      </c>
      <c r="N16" t="str">
        <f t="shared" si="1"/>
        <v>6kiu</v>
      </c>
      <c r="O16" s="2" t="s">
        <v>25</v>
      </c>
      <c r="P16" s="2" t="str">
        <f t="shared" si="2"/>
        <v>G-G106D</v>
      </c>
    </row>
    <row r="17" spans="1:16">
      <c r="A17" s="1" t="s">
        <v>15</v>
      </c>
      <c r="B17" s="1" t="s">
        <v>16</v>
      </c>
      <c r="C17" s="1" t="s">
        <v>19</v>
      </c>
      <c r="D17" s="1">
        <v>37</v>
      </c>
      <c r="E17" s="1" t="s">
        <v>19</v>
      </c>
      <c r="F17" s="1" t="s">
        <v>18</v>
      </c>
      <c r="G17" s="1">
        <v>0.7</v>
      </c>
      <c r="H17" s="1" t="s">
        <v>20</v>
      </c>
      <c r="I17" t="s">
        <v>53</v>
      </c>
      <c r="J17" t="s">
        <v>54</v>
      </c>
      <c r="K17" t="s">
        <v>55</v>
      </c>
      <c r="L17" t="s">
        <v>24</v>
      </c>
      <c r="M17" t="str">
        <f t="shared" si="0"/>
        <v>charge-altering-6kiu</v>
      </c>
      <c r="N17" t="str">
        <f t="shared" si="1"/>
        <v>6kiu</v>
      </c>
      <c r="O17" s="2" t="s">
        <v>25</v>
      </c>
      <c r="P17" s="2" t="str">
        <f t="shared" si="2"/>
        <v>G-G37D</v>
      </c>
    </row>
    <row r="18" spans="1:16">
      <c r="A18" s="1" t="s">
        <v>15</v>
      </c>
      <c r="B18" s="1" t="s">
        <v>16</v>
      </c>
      <c r="C18" s="1" t="s">
        <v>19</v>
      </c>
      <c r="D18" s="1">
        <v>95</v>
      </c>
      <c r="E18" s="1" t="s">
        <v>40</v>
      </c>
      <c r="F18" s="1" t="s">
        <v>47</v>
      </c>
      <c r="G18" s="1">
        <v>0.9</v>
      </c>
      <c r="H18" s="1" t="s">
        <v>20</v>
      </c>
      <c r="I18" t="s">
        <v>42</v>
      </c>
      <c r="J18" t="s">
        <v>22</v>
      </c>
      <c r="K18" t="s">
        <v>23</v>
      </c>
      <c r="L18" t="s">
        <v>24</v>
      </c>
      <c r="M18" t="str">
        <f t="shared" si="0"/>
        <v>charge-altering-6kiu</v>
      </c>
      <c r="N18" t="str">
        <f t="shared" si="1"/>
        <v>6kiu</v>
      </c>
      <c r="O18" s="2" t="s">
        <v>25</v>
      </c>
      <c r="P18" s="2" t="str">
        <f t="shared" si="2"/>
        <v>G-K95T</v>
      </c>
    </row>
    <row r="19" spans="1:16">
      <c r="A19" s="1" t="s">
        <v>15</v>
      </c>
      <c r="B19" s="1" t="s">
        <v>16</v>
      </c>
      <c r="C19" s="1" t="s">
        <v>19</v>
      </c>
      <c r="D19" s="1">
        <v>115</v>
      </c>
      <c r="E19" s="1" t="s">
        <v>39</v>
      </c>
      <c r="F19" s="1" t="s">
        <v>56</v>
      </c>
      <c r="G19" s="1">
        <v>1.62</v>
      </c>
      <c r="H19" s="1" t="s">
        <v>20</v>
      </c>
      <c r="I19" t="s">
        <v>57</v>
      </c>
      <c r="J19" t="s">
        <v>54</v>
      </c>
      <c r="K19" t="s">
        <v>55</v>
      </c>
      <c r="L19" t="s">
        <v>24</v>
      </c>
      <c r="M19" t="str">
        <f t="shared" si="0"/>
        <v>charge-altering-6kiu</v>
      </c>
      <c r="N19" t="str">
        <f t="shared" si="1"/>
        <v>6kiu</v>
      </c>
      <c r="O19" s="2" t="s">
        <v>25</v>
      </c>
      <c r="P19" s="2" t="str">
        <f t="shared" si="2"/>
        <v>G-L115H</v>
      </c>
    </row>
    <row r="20" spans="1:16">
      <c r="A20" s="1" t="s">
        <v>15</v>
      </c>
      <c r="B20" s="1" t="s">
        <v>16</v>
      </c>
      <c r="C20" s="1" t="s">
        <v>19</v>
      </c>
      <c r="D20" s="1">
        <v>104</v>
      </c>
      <c r="E20" s="1" t="s">
        <v>30</v>
      </c>
      <c r="F20" s="1" t="s">
        <v>56</v>
      </c>
      <c r="G20" s="1">
        <v>0.93</v>
      </c>
      <c r="H20" s="1" t="s">
        <v>20</v>
      </c>
      <c r="I20" t="s">
        <v>57</v>
      </c>
      <c r="J20" t="s">
        <v>54</v>
      </c>
      <c r="K20" t="s">
        <v>55</v>
      </c>
      <c r="L20" t="s">
        <v>24</v>
      </c>
      <c r="M20" t="str">
        <f t="shared" si="0"/>
        <v>charge-altering-6kiu</v>
      </c>
      <c r="N20" t="str">
        <f t="shared" si="1"/>
        <v>6kiu</v>
      </c>
      <c r="O20" s="2" t="s">
        <v>25</v>
      </c>
      <c r="P20" s="2" t="str">
        <f t="shared" si="2"/>
        <v>G-Q104H</v>
      </c>
    </row>
    <row r="21" spans="1:16">
      <c r="A21" s="1" t="s">
        <v>15</v>
      </c>
      <c r="B21" s="1" t="s">
        <v>16</v>
      </c>
      <c r="C21" s="1" t="s">
        <v>19</v>
      </c>
      <c r="D21" s="1">
        <v>17</v>
      </c>
      <c r="E21" s="1" t="s">
        <v>43</v>
      </c>
      <c r="F21" s="1" t="s">
        <v>58</v>
      </c>
      <c r="G21" s="1">
        <v>2.18</v>
      </c>
      <c r="H21" s="1" t="s">
        <v>20</v>
      </c>
      <c r="I21" t="s">
        <v>42</v>
      </c>
      <c r="J21" t="s">
        <v>22</v>
      </c>
      <c r="K21" t="s">
        <v>23</v>
      </c>
      <c r="L21" t="s">
        <v>24</v>
      </c>
      <c r="M21" t="str">
        <f t="shared" si="0"/>
        <v>charge-altering-6kiu</v>
      </c>
      <c r="N21" t="str">
        <f t="shared" si="1"/>
        <v>6kiu</v>
      </c>
      <c r="O21" s="2" t="s">
        <v>25</v>
      </c>
      <c r="P21" s="2" t="str">
        <f t="shared" si="2"/>
        <v>G-R17P</v>
      </c>
    </row>
    <row r="22" spans="1:16">
      <c r="A22" s="1" t="s">
        <v>15</v>
      </c>
      <c r="B22" s="1" t="s">
        <v>16</v>
      </c>
      <c r="C22" s="1" t="s">
        <v>19</v>
      </c>
      <c r="D22" s="1">
        <v>29</v>
      </c>
      <c r="E22" s="1" t="s">
        <v>43</v>
      </c>
      <c r="F22" s="1" t="s">
        <v>58</v>
      </c>
      <c r="G22" s="1">
        <v>2.47</v>
      </c>
      <c r="H22" s="1" t="s">
        <v>20</v>
      </c>
      <c r="I22" t="s">
        <v>42</v>
      </c>
      <c r="J22" t="s">
        <v>22</v>
      </c>
      <c r="K22" t="s">
        <v>23</v>
      </c>
      <c r="L22" t="s">
        <v>24</v>
      </c>
      <c r="M22" t="str">
        <f t="shared" si="0"/>
        <v>charge-altering-6kiu</v>
      </c>
      <c r="N22" t="str">
        <f t="shared" si="1"/>
        <v>6kiu</v>
      </c>
      <c r="O22" s="2" t="s">
        <v>25</v>
      </c>
      <c r="P22" s="2" t="str">
        <f t="shared" si="2"/>
        <v>G-R29P</v>
      </c>
    </row>
    <row r="23" spans="1:16">
      <c r="A23" s="1" t="s">
        <v>15</v>
      </c>
      <c r="B23" s="1" t="s">
        <v>16</v>
      </c>
      <c r="C23" s="1" t="s">
        <v>19</v>
      </c>
      <c r="D23" s="1">
        <v>29</v>
      </c>
      <c r="E23" s="1" t="s">
        <v>43</v>
      </c>
      <c r="F23" s="1" t="s">
        <v>30</v>
      </c>
      <c r="G23" s="1">
        <v>0.94</v>
      </c>
      <c r="H23" s="1" t="s">
        <v>20</v>
      </c>
      <c r="I23" t="s">
        <v>42</v>
      </c>
      <c r="J23" t="s">
        <v>22</v>
      </c>
      <c r="K23" t="s">
        <v>23</v>
      </c>
      <c r="L23" t="s">
        <v>24</v>
      </c>
      <c r="M23" t="str">
        <f t="shared" si="0"/>
        <v>charge-altering-6kiu</v>
      </c>
      <c r="N23" t="str">
        <f t="shared" si="1"/>
        <v>6kiu</v>
      </c>
      <c r="O23" s="2" t="s">
        <v>25</v>
      </c>
      <c r="P23" s="2" t="str">
        <f t="shared" si="2"/>
        <v>G-R29Q</v>
      </c>
    </row>
    <row r="24" spans="1:16">
      <c r="A24" s="1" t="s">
        <v>15</v>
      </c>
      <c r="B24" s="1" t="s">
        <v>16</v>
      </c>
      <c r="C24" s="1" t="s">
        <v>19</v>
      </c>
      <c r="D24" s="1">
        <v>77</v>
      </c>
      <c r="E24" s="1" t="s">
        <v>43</v>
      </c>
      <c r="F24" s="1" t="s">
        <v>17</v>
      </c>
      <c r="G24" s="1">
        <v>1.37</v>
      </c>
      <c r="H24" s="1" t="s">
        <v>20</v>
      </c>
      <c r="I24" t="s">
        <v>42</v>
      </c>
      <c r="J24" t="s">
        <v>22</v>
      </c>
      <c r="K24" t="s">
        <v>23</v>
      </c>
      <c r="L24" t="s">
        <v>24</v>
      </c>
      <c r="M24" t="str">
        <f t="shared" si="0"/>
        <v>charge-altering-6kiu</v>
      </c>
      <c r="N24" t="str">
        <f t="shared" si="1"/>
        <v>6kiu</v>
      </c>
      <c r="O24" s="2" t="s">
        <v>25</v>
      </c>
      <c r="P24" s="2" t="str">
        <f t="shared" si="2"/>
        <v>G-R77C</v>
      </c>
    </row>
    <row r="25" spans="1:16">
      <c r="A25" s="1" t="s">
        <v>15</v>
      </c>
      <c r="B25" s="1" t="s">
        <v>16</v>
      </c>
      <c r="C25" s="1" t="s">
        <v>18</v>
      </c>
      <c r="D25" s="1">
        <v>48</v>
      </c>
      <c r="E25" s="1" t="s">
        <v>18</v>
      </c>
      <c r="F25" s="1" t="s">
        <v>41</v>
      </c>
      <c r="G25" s="1">
        <v>1.34</v>
      </c>
      <c r="H25" s="1" t="s">
        <v>20</v>
      </c>
      <c r="I25" t="s">
        <v>21</v>
      </c>
      <c r="J25" t="s">
        <v>22</v>
      </c>
      <c r="K25" t="s">
        <v>23</v>
      </c>
      <c r="L25" t="s">
        <v>24</v>
      </c>
      <c r="M25" t="str">
        <f t="shared" si="0"/>
        <v>charge-altering-6kiu</v>
      </c>
      <c r="N25" t="str">
        <f t="shared" si="1"/>
        <v>6kiu</v>
      </c>
      <c r="O25" s="2" t="s">
        <v>45</v>
      </c>
      <c r="P25" s="2" t="str">
        <f t="shared" si="2"/>
        <v>D-D48N</v>
      </c>
    </row>
    <row r="26" spans="1:16">
      <c r="A26" s="1" t="s">
        <v>15</v>
      </c>
      <c r="B26" s="1" t="s">
        <v>16</v>
      </c>
      <c r="C26" s="1" t="s">
        <v>18</v>
      </c>
      <c r="D26" s="1">
        <v>110</v>
      </c>
      <c r="E26" s="1" t="s">
        <v>29</v>
      </c>
      <c r="F26" s="1" t="s">
        <v>40</v>
      </c>
      <c r="G26" s="1">
        <v>1.24</v>
      </c>
      <c r="H26" s="1" t="s">
        <v>20</v>
      </c>
      <c r="I26" t="s">
        <v>50</v>
      </c>
      <c r="J26" t="s">
        <v>51</v>
      </c>
      <c r="K26" t="s">
        <v>52</v>
      </c>
      <c r="L26" t="s">
        <v>24</v>
      </c>
      <c r="M26" t="str">
        <f t="shared" si="0"/>
        <v>charge-altering-6kiu</v>
      </c>
      <c r="N26" t="str">
        <f t="shared" si="1"/>
        <v>6kiu</v>
      </c>
      <c r="O26" s="2" t="s">
        <v>45</v>
      </c>
      <c r="P26" s="2" t="str">
        <f t="shared" si="2"/>
        <v>D-E110K</v>
      </c>
    </row>
    <row r="27" spans="1:16">
      <c r="A27" s="1" t="s">
        <v>15</v>
      </c>
      <c r="B27" s="1" t="s">
        <v>16</v>
      </c>
      <c r="C27" s="1" t="s">
        <v>18</v>
      </c>
      <c r="D27" s="1">
        <v>110</v>
      </c>
      <c r="E27" s="1" t="s">
        <v>29</v>
      </c>
      <c r="F27" s="1" t="s">
        <v>30</v>
      </c>
      <c r="G27" s="1">
        <v>1.31</v>
      </c>
      <c r="H27" s="1" t="s">
        <v>20</v>
      </c>
      <c r="I27" t="s">
        <v>21</v>
      </c>
      <c r="J27" t="s">
        <v>22</v>
      </c>
      <c r="K27" t="s">
        <v>23</v>
      </c>
      <c r="L27" t="s">
        <v>24</v>
      </c>
      <c r="M27" t="str">
        <f t="shared" si="0"/>
        <v>charge-altering-6kiu</v>
      </c>
      <c r="N27" t="str">
        <f t="shared" si="1"/>
        <v>6kiu</v>
      </c>
      <c r="O27" s="2" t="s">
        <v>45</v>
      </c>
      <c r="P27" s="2" t="str">
        <f t="shared" si="2"/>
        <v>D-E110Q</v>
      </c>
    </row>
    <row r="28" spans="1:16">
      <c r="A28" s="1" t="s">
        <v>15</v>
      </c>
      <c r="B28" s="1" t="s">
        <v>16</v>
      </c>
      <c r="C28" s="1" t="s">
        <v>18</v>
      </c>
      <c r="D28" s="1">
        <v>32</v>
      </c>
      <c r="E28" s="1" t="s">
        <v>29</v>
      </c>
      <c r="F28" s="1" t="s">
        <v>32</v>
      </c>
      <c r="G28" s="1">
        <v>0.73</v>
      </c>
      <c r="H28" s="1" t="s">
        <v>20</v>
      </c>
      <c r="I28" t="s">
        <v>21</v>
      </c>
      <c r="J28" t="s">
        <v>22</v>
      </c>
      <c r="K28" t="s">
        <v>23</v>
      </c>
      <c r="L28" t="s">
        <v>24</v>
      </c>
      <c r="M28" t="str">
        <f t="shared" si="0"/>
        <v>charge-altering-6kiu</v>
      </c>
      <c r="N28" t="str">
        <f t="shared" si="1"/>
        <v>6kiu</v>
      </c>
      <c r="O28" s="2" t="s">
        <v>45</v>
      </c>
      <c r="P28" s="2" t="str">
        <f t="shared" si="2"/>
        <v>D-E32A</v>
      </c>
    </row>
    <row r="29" spans="1:16">
      <c r="A29" s="1" t="s">
        <v>15</v>
      </c>
      <c r="B29" s="1" t="s">
        <v>16</v>
      </c>
      <c r="C29" s="1" t="s">
        <v>18</v>
      </c>
      <c r="D29" s="1">
        <v>68</v>
      </c>
      <c r="E29" s="1" t="s">
        <v>29</v>
      </c>
      <c r="F29" s="1" t="s">
        <v>30</v>
      </c>
      <c r="G29" s="1">
        <v>0.64</v>
      </c>
      <c r="H29" s="1" t="s">
        <v>20</v>
      </c>
      <c r="I29" t="s">
        <v>21</v>
      </c>
      <c r="J29" t="s">
        <v>22</v>
      </c>
      <c r="K29" t="s">
        <v>23</v>
      </c>
      <c r="L29" t="s">
        <v>24</v>
      </c>
      <c r="M29" t="str">
        <f t="shared" si="0"/>
        <v>charge-altering-6kiu</v>
      </c>
      <c r="N29" t="str">
        <f t="shared" si="1"/>
        <v>6kiu</v>
      </c>
      <c r="O29" s="2" t="s">
        <v>45</v>
      </c>
      <c r="P29" s="2" t="str">
        <f t="shared" si="2"/>
        <v>D-E68Q</v>
      </c>
    </row>
    <row r="30" spans="1:16">
      <c r="A30" s="1" t="s">
        <v>15</v>
      </c>
      <c r="B30" s="1" t="s">
        <v>16</v>
      </c>
      <c r="C30" s="1" t="s">
        <v>18</v>
      </c>
      <c r="D30" s="1">
        <v>73</v>
      </c>
      <c r="E30" s="1" t="s">
        <v>29</v>
      </c>
      <c r="F30" s="1" t="s">
        <v>40</v>
      </c>
      <c r="G30" s="1">
        <v>0.98</v>
      </c>
      <c r="H30" s="1" t="s">
        <v>20</v>
      </c>
      <c r="I30" t="s">
        <v>50</v>
      </c>
      <c r="J30" t="s">
        <v>51</v>
      </c>
      <c r="K30" t="s">
        <v>52</v>
      </c>
      <c r="L30" t="s">
        <v>24</v>
      </c>
      <c r="M30" t="str">
        <f t="shared" si="0"/>
        <v>charge-altering-6kiu</v>
      </c>
      <c r="N30" t="str">
        <f t="shared" si="1"/>
        <v>6kiu</v>
      </c>
      <c r="O30" s="2" t="s">
        <v>45</v>
      </c>
      <c r="P30" s="2" t="str">
        <f t="shared" si="2"/>
        <v>D-E73K</v>
      </c>
    </row>
    <row r="31" spans="1:16">
      <c r="A31" s="1" t="s">
        <v>15</v>
      </c>
      <c r="B31" s="1" t="s">
        <v>16</v>
      </c>
      <c r="C31" s="1" t="s">
        <v>18</v>
      </c>
      <c r="D31" s="1">
        <v>73</v>
      </c>
      <c r="E31" s="1" t="s">
        <v>29</v>
      </c>
      <c r="F31" s="1" t="s">
        <v>30</v>
      </c>
      <c r="G31" s="1">
        <v>1.02</v>
      </c>
      <c r="H31" s="1" t="s">
        <v>20</v>
      </c>
      <c r="I31" t="s">
        <v>21</v>
      </c>
      <c r="J31" t="s">
        <v>22</v>
      </c>
      <c r="K31" t="s">
        <v>23</v>
      </c>
      <c r="L31" t="s">
        <v>24</v>
      </c>
      <c r="M31" t="str">
        <f t="shared" si="0"/>
        <v>charge-altering-6kiu</v>
      </c>
      <c r="N31" t="str">
        <f t="shared" si="1"/>
        <v>6kiu</v>
      </c>
      <c r="O31" s="2" t="s">
        <v>45</v>
      </c>
      <c r="P31" s="2" t="str">
        <f t="shared" si="2"/>
        <v>D-E73Q</v>
      </c>
    </row>
    <row r="32" spans="1:16">
      <c r="A32" s="1" t="s">
        <v>15</v>
      </c>
      <c r="B32" s="1" t="s">
        <v>16</v>
      </c>
      <c r="C32" s="1" t="s">
        <v>18</v>
      </c>
      <c r="D32" s="1">
        <v>50</v>
      </c>
      <c r="E32" s="1" t="s">
        <v>19</v>
      </c>
      <c r="F32" s="1" t="s">
        <v>18</v>
      </c>
      <c r="G32" s="1">
        <v>0.54</v>
      </c>
      <c r="H32" s="1" t="s">
        <v>20</v>
      </c>
      <c r="I32" t="s">
        <v>53</v>
      </c>
      <c r="J32" t="s">
        <v>54</v>
      </c>
      <c r="K32" t="s">
        <v>55</v>
      </c>
      <c r="L32" t="s">
        <v>24</v>
      </c>
      <c r="M32" t="str">
        <f t="shared" si="0"/>
        <v>charge-altering-6kiu</v>
      </c>
      <c r="N32" t="str">
        <f t="shared" si="1"/>
        <v>6kiu</v>
      </c>
      <c r="O32" s="2" t="s">
        <v>45</v>
      </c>
      <c r="P32" s="2" t="str">
        <f t="shared" si="2"/>
        <v>D-G50D</v>
      </c>
    </row>
    <row r="33" spans="1:16">
      <c r="A33" s="1" t="s">
        <v>15</v>
      </c>
      <c r="B33" s="1" t="s">
        <v>16</v>
      </c>
      <c r="C33" s="1" t="s">
        <v>18</v>
      </c>
      <c r="D33" s="1">
        <v>46</v>
      </c>
      <c r="E33" s="1" t="s">
        <v>56</v>
      </c>
      <c r="F33" s="1" t="s">
        <v>49</v>
      </c>
      <c r="G33" s="1">
        <v>0.59</v>
      </c>
      <c r="H33" s="1" t="s">
        <v>20</v>
      </c>
      <c r="I33" t="s">
        <v>42</v>
      </c>
      <c r="J33" t="s">
        <v>22</v>
      </c>
      <c r="K33" t="s">
        <v>23</v>
      </c>
      <c r="L33" t="s">
        <v>24</v>
      </c>
      <c r="M33" t="str">
        <f t="shared" si="0"/>
        <v>charge-altering-6kiu</v>
      </c>
      <c r="N33" t="str">
        <f t="shared" si="1"/>
        <v>6kiu</v>
      </c>
      <c r="O33" s="2" t="s">
        <v>45</v>
      </c>
      <c r="P33" s="2" t="str">
        <f t="shared" si="2"/>
        <v>D-H46Y</v>
      </c>
    </row>
    <row r="34" spans="1:16">
      <c r="A34" s="1" t="s">
        <v>15</v>
      </c>
      <c r="B34" s="1" t="s">
        <v>16</v>
      </c>
      <c r="C34" s="1" t="s">
        <v>18</v>
      </c>
      <c r="D34" s="1">
        <v>44</v>
      </c>
      <c r="E34" s="1" t="s">
        <v>30</v>
      </c>
      <c r="F34" s="1" t="s">
        <v>29</v>
      </c>
      <c r="G34" s="1">
        <v>0.57</v>
      </c>
      <c r="H34" s="1" t="s">
        <v>20</v>
      </c>
      <c r="I34" t="s">
        <v>53</v>
      </c>
      <c r="J34" t="s">
        <v>54</v>
      </c>
      <c r="K34" t="s">
        <v>55</v>
      </c>
      <c r="L34" t="s">
        <v>24</v>
      </c>
      <c r="M34" t="str">
        <f t="shared" si="0"/>
        <v>charge-altering-6kiu</v>
      </c>
      <c r="N34" t="str">
        <f t="shared" si="1"/>
        <v>6kiu</v>
      </c>
      <c r="O34" s="2" t="s">
        <v>45</v>
      </c>
      <c r="P34" s="2" t="str">
        <f t="shared" si="2"/>
        <v>D-Q44E</v>
      </c>
    </row>
    <row r="35" spans="1:16">
      <c r="A35" s="1" t="s">
        <v>15</v>
      </c>
      <c r="B35" s="1" t="s">
        <v>16</v>
      </c>
      <c r="C35" s="1" t="s">
        <v>18</v>
      </c>
      <c r="D35" s="1">
        <v>44</v>
      </c>
      <c r="E35" s="1" t="s">
        <v>30</v>
      </c>
      <c r="F35" s="1" t="s">
        <v>56</v>
      </c>
      <c r="G35" s="1">
        <v>0.68</v>
      </c>
      <c r="H35" s="1" t="s">
        <v>20</v>
      </c>
      <c r="I35" t="s">
        <v>57</v>
      </c>
      <c r="J35" t="s">
        <v>54</v>
      </c>
      <c r="K35" t="s">
        <v>55</v>
      </c>
      <c r="L35" t="s">
        <v>24</v>
      </c>
      <c r="M35" t="str">
        <f t="shared" si="0"/>
        <v>charge-altering-6kiu</v>
      </c>
      <c r="N35" t="str">
        <f t="shared" si="1"/>
        <v>6kiu</v>
      </c>
      <c r="O35" s="2" t="s">
        <v>45</v>
      </c>
      <c r="P35" s="2" t="str">
        <f t="shared" si="2"/>
        <v>D-Q44H</v>
      </c>
    </row>
    <row r="36" spans="1:16">
      <c r="A36" s="1" t="s">
        <v>15</v>
      </c>
      <c r="B36" s="1" t="s">
        <v>16</v>
      </c>
      <c r="C36" s="1" t="s">
        <v>18</v>
      </c>
      <c r="D36" s="1">
        <v>33</v>
      </c>
      <c r="E36" s="1" t="s">
        <v>46</v>
      </c>
      <c r="F36" s="1" t="s">
        <v>43</v>
      </c>
      <c r="G36" s="1">
        <v>0.01</v>
      </c>
      <c r="H36" s="1" t="s">
        <v>20</v>
      </c>
      <c r="I36" t="s">
        <v>57</v>
      </c>
      <c r="J36" t="s">
        <v>54</v>
      </c>
      <c r="K36" t="s">
        <v>55</v>
      </c>
      <c r="L36" t="s">
        <v>24</v>
      </c>
      <c r="M36" t="str">
        <f t="shared" si="0"/>
        <v>charge-altering-6kiu</v>
      </c>
      <c r="N36" t="str">
        <f t="shared" si="1"/>
        <v>6kiu</v>
      </c>
      <c r="O36" s="2" t="s">
        <v>45</v>
      </c>
      <c r="P36" s="2" t="str">
        <f t="shared" si="2"/>
        <v>D-S33R</v>
      </c>
    </row>
    <row r="37" spans="1:16">
      <c r="A37" s="1" t="s">
        <v>15</v>
      </c>
      <c r="B37" s="1" t="s">
        <v>16</v>
      </c>
      <c r="C37" s="1" t="s">
        <v>56</v>
      </c>
      <c r="D37" s="1">
        <v>48</v>
      </c>
      <c r="E37" s="1" t="s">
        <v>18</v>
      </c>
      <c r="F37" s="1" t="s">
        <v>41</v>
      </c>
      <c r="G37" s="1">
        <v>1.34</v>
      </c>
      <c r="H37" s="1" t="s">
        <v>20</v>
      </c>
      <c r="I37" t="s">
        <v>21</v>
      </c>
      <c r="J37" t="s">
        <v>22</v>
      </c>
      <c r="K37" t="s">
        <v>23</v>
      </c>
      <c r="L37" t="s">
        <v>24</v>
      </c>
      <c r="M37" t="str">
        <f t="shared" si="0"/>
        <v>charge-altering-6kiu</v>
      </c>
      <c r="N37" t="str">
        <f t="shared" si="1"/>
        <v>6kiu</v>
      </c>
      <c r="O37" s="2" t="s">
        <v>45</v>
      </c>
      <c r="P37" s="2" t="str">
        <f t="shared" si="2"/>
        <v>H-D48N</v>
      </c>
    </row>
    <row r="38" spans="1:16">
      <c r="A38" s="1" t="s">
        <v>15</v>
      </c>
      <c r="B38" s="1" t="s">
        <v>16</v>
      </c>
      <c r="C38" s="1" t="s">
        <v>56</v>
      </c>
      <c r="D38" s="1">
        <v>110</v>
      </c>
      <c r="E38" s="1" t="s">
        <v>29</v>
      </c>
      <c r="F38" s="1" t="s">
        <v>40</v>
      </c>
      <c r="G38" s="1">
        <v>1.13</v>
      </c>
      <c r="H38" s="1" t="s">
        <v>20</v>
      </c>
      <c r="I38" t="s">
        <v>50</v>
      </c>
      <c r="J38" t="s">
        <v>51</v>
      </c>
      <c r="K38" t="s">
        <v>52</v>
      </c>
      <c r="L38" t="s">
        <v>24</v>
      </c>
      <c r="M38" t="str">
        <f t="shared" si="0"/>
        <v>charge-altering-6kiu</v>
      </c>
      <c r="N38" t="str">
        <f t="shared" si="1"/>
        <v>6kiu</v>
      </c>
      <c r="O38" s="2" t="s">
        <v>45</v>
      </c>
      <c r="P38" s="2" t="str">
        <f t="shared" si="2"/>
        <v>H-E110K</v>
      </c>
    </row>
    <row r="39" spans="1:16">
      <c r="A39" s="1" t="s">
        <v>15</v>
      </c>
      <c r="B39" s="1" t="s">
        <v>16</v>
      </c>
      <c r="C39" s="1" t="s">
        <v>56</v>
      </c>
      <c r="D39" s="1">
        <v>110</v>
      </c>
      <c r="E39" s="1" t="s">
        <v>29</v>
      </c>
      <c r="F39" s="1" t="s">
        <v>30</v>
      </c>
      <c r="G39" s="1">
        <v>1.13</v>
      </c>
      <c r="H39" s="1" t="s">
        <v>20</v>
      </c>
      <c r="I39" t="s">
        <v>21</v>
      </c>
      <c r="J39" t="s">
        <v>22</v>
      </c>
      <c r="K39" t="s">
        <v>23</v>
      </c>
      <c r="L39" t="s">
        <v>24</v>
      </c>
      <c r="M39" t="str">
        <f t="shared" si="0"/>
        <v>charge-altering-6kiu</v>
      </c>
      <c r="N39" t="str">
        <f t="shared" si="1"/>
        <v>6kiu</v>
      </c>
      <c r="O39" s="2" t="s">
        <v>45</v>
      </c>
      <c r="P39" s="2" t="str">
        <f t="shared" si="2"/>
        <v>H-E110Q</v>
      </c>
    </row>
    <row r="40" spans="1:16">
      <c r="A40" s="1" t="s">
        <v>15</v>
      </c>
      <c r="B40" s="1" t="s">
        <v>16</v>
      </c>
      <c r="C40" s="1" t="s">
        <v>56</v>
      </c>
      <c r="D40" s="1">
        <v>32</v>
      </c>
      <c r="E40" s="1" t="s">
        <v>29</v>
      </c>
      <c r="F40" s="1" t="s">
        <v>32</v>
      </c>
      <c r="G40" s="1">
        <v>0.8</v>
      </c>
      <c r="H40" s="1" t="s">
        <v>20</v>
      </c>
      <c r="I40" t="s">
        <v>21</v>
      </c>
      <c r="J40" t="s">
        <v>22</v>
      </c>
      <c r="K40" t="s">
        <v>23</v>
      </c>
      <c r="L40" t="s">
        <v>24</v>
      </c>
      <c r="M40" t="str">
        <f t="shared" si="0"/>
        <v>charge-altering-6kiu</v>
      </c>
      <c r="N40" t="str">
        <f t="shared" si="1"/>
        <v>6kiu</v>
      </c>
      <c r="O40" s="2" t="s">
        <v>45</v>
      </c>
      <c r="P40" s="2" t="str">
        <f t="shared" si="2"/>
        <v>H-E32A</v>
      </c>
    </row>
    <row r="41" spans="1:16">
      <c r="A41" s="1" t="s">
        <v>15</v>
      </c>
      <c r="B41" s="1" t="s">
        <v>16</v>
      </c>
      <c r="C41" s="1" t="s">
        <v>56</v>
      </c>
      <c r="D41" s="1">
        <v>68</v>
      </c>
      <c r="E41" s="1" t="s">
        <v>29</v>
      </c>
      <c r="F41" s="1" t="s">
        <v>30</v>
      </c>
      <c r="G41" s="1">
        <v>0.7</v>
      </c>
      <c r="H41" s="1" t="s">
        <v>20</v>
      </c>
      <c r="I41" t="s">
        <v>21</v>
      </c>
      <c r="J41" t="s">
        <v>22</v>
      </c>
      <c r="K41" t="s">
        <v>23</v>
      </c>
      <c r="L41" t="s">
        <v>24</v>
      </c>
      <c r="M41" t="str">
        <f t="shared" si="0"/>
        <v>charge-altering-6kiu</v>
      </c>
      <c r="N41" t="str">
        <f t="shared" si="1"/>
        <v>6kiu</v>
      </c>
      <c r="O41" s="2" t="s">
        <v>45</v>
      </c>
      <c r="P41" s="2" t="str">
        <f t="shared" si="2"/>
        <v>H-E68Q</v>
      </c>
    </row>
    <row r="42" spans="1:16">
      <c r="A42" s="1" t="s">
        <v>15</v>
      </c>
      <c r="B42" s="1" t="s">
        <v>16</v>
      </c>
      <c r="C42" s="1" t="s">
        <v>56</v>
      </c>
      <c r="D42" s="1">
        <v>73</v>
      </c>
      <c r="E42" s="1" t="s">
        <v>29</v>
      </c>
      <c r="F42" s="1" t="s">
        <v>40</v>
      </c>
      <c r="G42" s="1">
        <v>0.98</v>
      </c>
      <c r="H42" s="1" t="s">
        <v>20</v>
      </c>
      <c r="I42" t="s">
        <v>50</v>
      </c>
      <c r="J42" t="s">
        <v>51</v>
      </c>
      <c r="K42" t="s">
        <v>52</v>
      </c>
      <c r="L42" t="s">
        <v>24</v>
      </c>
      <c r="M42" t="str">
        <f t="shared" si="0"/>
        <v>charge-altering-6kiu</v>
      </c>
      <c r="N42" t="str">
        <f t="shared" si="1"/>
        <v>6kiu</v>
      </c>
      <c r="O42" s="2" t="s">
        <v>45</v>
      </c>
      <c r="P42" s="2" t="str">
        <f t="shared" si="2"/>
        <v>H-E73K</v>
      </c>
    </row>
    <row r="43" spans="1:16">
      <c r="A43" s="1" t="s">
        <v>15</v>
      </c>
      <c r="B43" s="1" t="s">
        <v>16</v>
      </c>
      <c r="C43" s="1" t="s">
        <v>56</v>
      </c>
      <c r="D43" s="1">
        <v>73</v>
      </c>
      <c r="E43" s="1" t="s">
        <v>29</v>
      </c>
      <c r="F43" s="1" t="s">
        <v>30</v>
      </c>
      <c r="G43" s="1">
        <v>1.02</v>
      </c>
      <c r="H43" s="1" t="s">
        <v>20</v>
      </c>
      <c r="I43" t="s">
        <v>21</v>
      </c>
      <c r="J43" t="s">
        <v>22</v>
      </c>
      <c r="K43" t="s">
        <v>23</v>
      </c>
      <c r="L43" t="s">
        <v>24</v>
      </c>
      <c r="M43" t="str">
        <f t="shared" si="0"/>
        <v>charge-altering-6kiu</v>
      </c>
      <c r="N43" t="str">
        <f t="shared" si="1"/>
        <v>6kiu</v>
      </c>
      <c r="O43" s="2" t="s">
        <v>45</v>
      </c>
      <c r="P43" s="2" t="str">
        <f t="shared" si="2"/>
        <v>H-E73Q</v>
      </c>
    </row>
    <row r="44" spans="1:16">
      <c r="A44" s="1" t="s">
        <v>15</v>
      </c>
      <c r="B44" s="1" t="s">
        <v>16</v>
      </c>
      <c r="C44" s="1" t="s">
        <v>56</v>
      </c>
      <c r="D44" s="1">
        <v>50</v>
      </c>
      <c r="E44" s="1" t="s">
        <v>19</v>
      </c>
      <c r="F44" s="1" t="s">
        <v>18</v>
      </c>
      <c r="G44" s="1">
        <v>0.54</v>
      </c>
      <c r="H44" s="1" t="s">
        <v>20</v>
      </c>
      <c r="I44" t="s">
        <v>53</v>
      </c>
      <c r="J44" t="s">
        <v>54</v>
      </c>
      <c r="K44" t="s">
        <v>55</v>
      </c>
      <c r="L44" t="s">
        <v>24</v>
      </c>
      <c r="M44" t="str">
        <f t="shared" si="0"/>
        <v>charge-altering-6kiu</v>
      </c>
      <c r="N44" t="str">
        <f t="shared" si="1"/>
        <v>6kiu</v>
      </c>
      <c r="O44" s="2" t="s">
        <v>45</v>
      </c>
      <c r="P44" s="2" t="str">
        <f t="shared" si="2"/>
        <v>H-G50D</v>
      </c>
    </row>
    <row r="45" spans="1:16">
      <c r="A45" s="1" t="s">
        <v>15</v>
      </c>
      <c r="B45" s="1" t="s">
        <v>16</v>
      </c>
      <c r="C45" s="1" t="s">
        <v>56</v>
      </c>
      <c r="D45" s="1">
        <v>46</v>
      </c>
      <c r="E45" s="1" t="s">
        <v>56</v>
      </c>
      <c r="F45" s="1" t="s">
        <v>49</v>
      </c>
      <c r="G45" s="1">
        <v>0.59</v>
      </c>
      <c r="H45" s="1" t="s">
        <v>20</v>
      </c>
      <c r="I45" t="s">
        <v>42</v>
      </c>
      <c r="J45" t="s">
        <v>22</v>
      </c>
      <c r="K45" t="s">
        <v>23</v>
      </c>
      <c r="L45" t="s">
        <v>24</v>
      </c>
      <c r="M45" t="str">
        <f t="shared" si="0"/>
        <v>charge-altering-6kiu</v>
      </c>
      <c r="N45" t="str">
        <f t="shared" si="1"/>
        <v>6kiu</v>
      </c>
      <c r="O45" s="2" t="s">
        <v>45</v>
      </c>
      <c r="P45" s="2" t="str">
        <f t="shared" si="2"/>
        <v>H-H46Y</v>
      </c>
    </row>
    <row r="46" spans="1:16">
      <c r="A46" s="1" t="s">
        <v>15</v>
      </c>
      <c r="B46" s="1" t="s">
        <v>16</v>
      </c>
      <c r="C46" s="1" t="s">
        <v>56</v>
      </c>
      <c r="D46" s="1">
        <v>44</v>
      </c>
      <c r="E46" s="1" t="s">
        <v>30</v>
      </c>
      <c r="F46" s="1" t="s">
        <v>29</v>
      </c>
      <c r="G46" s="1">
        <v>0.73</v>
      </c>
      <c r="H46" s="1" t="s">
        <v>20</v>
      </c>
      <c r="I46" t="s">
        <v>53</v>
      </c>
      <c r="J46" t="s">
        <v>54</v>
      </c>
      <c r="K46" t="s">
        <v>55</v>
      </c>
      <c r="L46" t="s">
        <v>24</v>
      </c>
      <c r="M46" t="str">
        <f t="shared" si="0"/>
        <v>charge-altering-6kiu</v>
      </c>
      <c r="N46" t="str">
        <f t="shared" si="1"/>
        <v>6kiu</v>
      </c>
      <c r="O46" s="2" t="s">
        <v>45</v>
      </c>
      <c r="P46" s="2" t="str">
        <f t="shared" si="2"/>
        <v>H-Q44E</v>
      </c>
    </row>
    <row r="47" spans="1:16">
      <c r="A47" s="1" t="s">
        <v>15</v>
      </c>
      <c r="B47" s="1" t="s">
        <v>16</v>
      </c>
      <c r="C47" s="1" t="s">
        <v>56</v>
      </c>
      <c r="D47" s="1">
        <v>44</v>
      </c>
      <c r="E47" s="1" t="s">
        <v>30</v>
      </c>
      <c r="F47" s="1" t="s">
        <v>56</v>
      </c>
      <c r="G47" s="1">
        <v>0.79</v>
      </c>
      <c r="H47" s="1" t="s">
        <v>20</v>
      </c>
      <c r="I47" t="s">
        <v>57</v>
      </c>
      <c r="J47" t="s">
        <v>54</v>
      </c>
      <c r="K47" t="s">
        <v>55</v>
      </c>
      <c r="L47" t="s">
        <v>24</v>
      </c>
      <c r="M47" t="str">
        <f t="shared" si="0"/>
        <v>charge-altering-6kiu</v>
      </c>
      <c r="N47" t="str">
        <f t="shared" si="1"/>
        <v>6kiu</v>
      </c>
      <c r="O47" s="2" t="s">
        <v>45</v>
      </c>
      <c r="P47" s="2" t="str">
        <f t="shared" si="2"/>
        <v>H-Q44H</v>
      </c>
    </row>
    <row r="48" spans="1:16">
      <c r="A48" s="1" t="s">
        <v>15</v>
      </c>
      <c r="B48" s="1" t="s">
        <v>16</v>
      </c>
      <c r="C48" s="1" t="s">
        <v>56</v>
      </c>
      <c r="D48" s="1">
        <v>33</v>
      </c>
      <c r="E48" s="1" t="s">
        <v>46</v>
      </c>
      <c r="F48" s="1" t="s">
        <v>43</v>
      </c>
      <c r="G48" s="1">
        <v>0.01</v>
      </c>
      <c r="H48" s="1" t="s">
        <v>20</v>
      </c>
      <c r="I48" t="s">
        <v>57</v>
      </c>
      <c r="J48" t="s">
        <v>54</v>
      </c>
      <c r="K48" t="s">
        <v>55</v>
      </c>
      <c r="L48" t="s">
        <v>24</v>
      </c>
      <c r="M48" t="str">
        <f t="shared" si="0"/>
        <v>charge-altering-6kiu</v>
      </c>
      <c r="N48" t="str">
        <f t="shared" si="1"/>
        <v>6kiu</v>
      </c>
      <c r="O48" s="2" t="s">
        <v>45</v>
      </c>
      <c r="P48" s="2" t="str">
        <f t="shared" si="2"/>
        <v>H-S33R</v>
      </c>
    </row>
    <row r="49" spans="1:16">
      <c r="A49" s="1" t="s">
        <v>15</v>
      </c>
      <c r="B49" s="1" t="s">
        <v>16</v>
      </c>
      <c r="C49" s="1" t="s">
        <v>32</v>
      </c>
      <c r="D49" s="1">
        <v>47</v>
      </c>
      <c r="E49" s="1" t="s">
        <v>32</v>
      </c>
      <c r="F49" s="1" t="s">
        <v>29</v>
      </c>
      <c r="G49" s="1">
        <v>-0.01</v>
      </c>
      <c r="H49" s="1" t="s">
        <v>59</v>
      </c>
      <c r="I49" t="s">
        <v>53</v>
      </c>
      <c r="J49" t="s">
        <v>54</v>
      </c>
      <c r="K49" t="s">
        <v>55</v>
      </c>
      <c r="L49" t="s">
        <v>24</v>
      </c>
      <c r="M49" t="str">
        <f t="shared" si="0"/>
        <v>charge-altering-6kiu</v>
      </c>
      <c r="N49" t="str">
        <f t="shared" si="1"/>
        <v>6kiu</v>
      </c>
      <c r="O49" s="2" t="s">
        <v>38</v>
      </c>
      <c r="P49" s="2" t="str">
        <f t="shared" si="2"/>
        <v>A-A47E</v>
      </c>
    </row>
    <row r="50" spans="1:16">
      <c r="A50" s="1" t="s">
        <v>15</v>
      </c>
      <c r="B50" s="1" t="s">
        <v>16</v>
      </c>
      <c r="C50" s="1" t="s">
        <v>32</v>
      </c>
      <c r="D50" s="1">
        <v>88</v>
      </c>
      <c r="E50" s="1" t="s">
        <v>32</v>
      </c>
      <c r="F50" s="1" t="s">
        <v>29</v>
      </c>
      <c r="G50" s="1">
        <v>0.86</v>
      </c>
      <c r="H50" s="1" t="s">
        <v>20</v>
      </c>
      <c r="I50" t="s">
        <v>53</v>
      </c>
      <c r="J50" t="s">
        <v>54</v>
      </c>
      <c r="K50" t="s">
        <v>55</v>
      </c>
      <c r="L50" t="s">
        <v>24</v>
      </c>
      <c r="M50" t="str">
        <f t="shared" si="0"/>
        <v>charge-altering-6kiu</v>
      </c>
      <c r="N50" t="str">
        <f t="shared" si="1"/>
        <v>6kiu</v>
      </c>
      <c r="O50" s="2" t="s">
        <v>38</v>
      </c>
      <c r="P50" s="2" t="str">
        <f t="shared" si="2"/>
        <v>A-A88E</v>
      </c>
    </row>
    <row r="51" spans="1:16">
      <c r="A51" s="1" t="s">
        <v>15</v>
      </c>
      <c r="B51" s="1" t="s">
        <v>16</v>
      </c>
      <c r="C51" s="1" t="s">
        <v>32</v>
      </c>
      <c r="D51" s="1">
        <v>106</v>
      </c>
      <c r="E51" s="1" t="s">
        <v>18</v>
      </c>
      <c r="F51" s="1" t="s">
        <v>41</v>
      </c>
      <c r="G51" s="1">
        <v>1.09</v>
      </c>
      <c r="H51" s="1" t="s">
        <v>20</v>
      </c>
      <c r="I51" t="s">
        <v>21</v>
      </c>
      <c r="J51" t="s">
        <v>22</v>
      </c>
      <c r="K51" t="s">
        <v>23</v>
      </c>
      <c r="L51" t="s">
        <v>24</v>
      </c>
      <c r="M51" t="str">
        <f t="shared" si="0"/>
        <v>charge-altering-6kiu</v>
      </c>
      <c r="N51" t="str">
        <f t="shared" si="1"/>
        <v>6kiu</v>
      </c>
      <c r="O51" s="2" t="s">
        <v>38</v>
      </c>
      <c r="P51" s="2" t="str">
        <f t="shared" si="2"/>
        <v>A-D106N</v>
      </c>
    </row>
    <row r="52" spans="1:16">
      <c r="A52" s="1" t="s">
        <v>15</v>
      </c>
      <c r="B52" s="1" t="s">
        <v>16</v>
      </c>
      <c r="C52" s="1" t="s">
        <v>32</v>
      </c>
      <c r="D52" s="1">
        <v>106</v>
      </c>
      <c r="E52" s="1" t="s">
        <v>18</v>
      </c>
      <c r="F52" s="1" t="s">
        <v>49</v>
      </c>
      <c r="G52" s="1">
        <v>0.75</v>
      </c>
      <c r="H52" s="1" t="s">
        <v>20</v>
      </c>
      <c r="I52" t="s">
        <v>21</v>
      </c>
      <c r="J52" t="s">
        <v>22</v>
      </c>
      <c r="K52" t="s">
        <v>23</v>
      </c>
      <c r="L52" t="s">
        <v>24</v>
      </c>
      <c r="M52" t="str">
        <f t="shared" si="0"/>
        <v>charge-altering-6kiu</v>
      </c>
      <c r="N52" t="str">
        <f t="shared" si="1"/>
        <v>6kiu</v>
      </c>
      <c r="O52" s="2" t="s">
        <v>38</v>
      </c>
      <c r="P52" s="2" t="str">
        <f t="shared" si="2"/>
        <v>A-D106Y</v>
      </c>
    </row>
    <row r="53" spans="1:16">
      <c r="A53" s="1" t="s">
        <v>15</v>
      </c>
      <c r="B53" s="1" t="s">
        <v>16</v>
      </c>
      <c r="C53" s="1" t="s">
        <v>32</v>
      </c>
      <c r="D53" s="1">
        <v>123</v>
      </c>
      <c r="E53" s="1" t="s">
        <v>18</v>
      </c>
      <c r="F53" s="1" t="s">
        <v>56</v>
      </c>
      <c r="G53" s="1">
        <v>0.75</v>
      </c>
      <c r="H53" s="1" t="s">
        <v>20</v>
      </c>
      <c r="I53" t="s">
        <v>50</v>
      </c>
      <c r="J53" t="s">
        <v>51</v>
      </c>
      <c r="K53" t="s">
        <v>52</v>
      </c>
      <c r="L53" t="s">
        <v>24</v>
      </c>
      <c r="M53" t="str">
        <f t="shared" si="0"/>
        <v>charge-altering-6kiu</v>
      </c>
      <c r="N53" t="str">
        <f t="shared" si="1"/>
        <v>6kiu</v>
      </c>
      <c r="O53" s="2" t="s">
        <v>38</v>
      </c>
      <c r="P53" s="2" t="str">
        <f t="shared" si="2"/>
        <v>A-D123H</v>
      </c>
    </row>
    <row r="54" spans="1:16">
      <c r="A54" s="1" t="s">
        <v>15</v>
      </c>
      <c r="B54" s="1" t="s">
        <v>16</v>
      </c>
      <c r="C54" s="1" t="s">
        <v>32</v>
      </c>
      <c r="D54" s="1">
        <v>81</v>
      </c>
      <c r="E54" s="1" t="s">
        <v>18</v>
      </c>
      <c r="F54" s="1" t="s">
        <v>56</v>
      </c>
      <c r="G54" s="1">
        <v>0.7</v>
      </c>
      <c r="H54" s="1" t="s">
        <v>20</v>
      </c>
      <c r="I54" t="s">
        <v>50</v>
      </c>
      <c r="J54" t="s">
        <v>51</v>
      </c>
      <c r="K54" t="s">
        <v>52</v>
      </c>
      <c r="L54" t="s">
        <v>24</v>
      </c>
      <c r="M54" t="str">
        <f t="shared" si="0"/>
        <v>charge-altering-6kiu</v>
      </c>
      <c r="N54" t="str">
        <f t="shared" si="1"/>
        <v>6kiu</v>
      </c>
      <c r="O54" s="2" t="s">
        <v>38</v>
      </c>
      <c r="P54" s="2" t="str">
        <f t="shared" si="2"/>
        <v>A-D81H</v>
      </c>
    </row>
    <row r="55" spans="1:16">
      <c r="A55" s="1" t="s">
        <v>15</v>
      </c>
      <c r="B55" s="1" t="s">
        <v>16</v>
      </c>
      <c r="C55" s="1" t="s">
        <v>32</v>
      </c>
      <c r="D55" s="1">
        <v>81</v>
      </c>
      <c r="E55" s="1" t="s">
        <v>18</v>
      </c>
      <c r="F55" s="1" t="s">
        <v>41</v>
      </c>
      <c r="G55" s="1">
        <v>0.84</v>
      </c>
      <c r="H55" s="1" t="s">
        <v>20</v>
      </c>
      <c r="I55" t="s">
        <v>21</v>
      </c>
      <c r="J55" t="s">
        <v>22</v>
      </c>
      <c r="K55" t="s">
        <v>23</v>
      </c>
      <c r="L55" t="s">
        <v>24</v>
      </c>
      <c r="M55" t="str">
        <f t="shared" si="0"/>
        <v>charge-altering-6kiu</v>
      </c>
      <c r="N55" t="str">
        <f t="shared" si="1"/>
        <v>6kiu</v>
      </c>
      <c r="O55" s="2" t="s">
        <v>38</v>
      </c>
      <c r="P55" s="2" t="str">
        <f t="shared" si="2"/>
        <v>A-D81N</v>
      </c>
    </row>
    <row r="56" spans="1:16">
      <c r="A56" s="1" t="s">
        <v>15</v>
      </c>
      <c r="B56" s="1" t="s">
        <v>16</v>
      </c>
      <c r="C56" s="1" t="s">
        <v>32</v>
      </c>
      <c r="D56" s="1">
        <v>105</v>
      </c>
      <c r="E56" s="1" t="s">
        <v>29</v>
      </c>
      <c r="F56" s="1" t="s">
        <v>40</v>
      </c>
      <c r="G56" s="1">
        <v>1.31</v>
      </c>
      <c r="H56" s="1" t="s">
        <v>20</v>
      </c>
      <c r="I56" t="s">
        <v>50</v>
      </c>
      <c r="J56" t="s">
        <v>51</v>
      </c>
      <c r="K56" t="s">
        <v>52</v>
      </c>
      <c r="L56" t="s">
        <v>24</v>
      </c>
      <c r="M56" t="str">
        <f t="shared" si="0"/>
        <v>charge-altering-6kiu</v>
      </c>
      <c r="N56" t="str">
        <f t="shared" si="1"/>
        <v>6kiu</v>
      </c>
      <c r="O56" s="2" t="s">
        <v>38</v>
      </c>
      <c r="P56" s="2" t="str">
        <f t="shared" si="2"/>
        <v>A-E105K</v>
      </c>
    </row>
    <row r="57" spans="1:16">
      <c r="A57" s="1" t="s">
        <v>15</v>
      </c>
      <c r="B57" s="1" t="s">
        <v>16</v>
      </c>
      <c r="C57" s="1" t="s">
        <v>32</v>
      </c>
      <c r="D57" s="1">
        <v>105</v>
      </c>
      <c r="E57" s="1" t="s">
        <v>29</v>
      </c>
      <c r="F57" s="1" t="s">
        <v>30</v>
      </c>
      <c r="G57" s="1">
        <v>1.31</v>
      </c>
      <c r="H57" s="1" t="s">
        <v>20</v>
      </c>
      <c r="I57" t="s">
        <v>21</v>
      </c>
      <c r="J57" t="s">
        <v>22</v>
      </c>
      <c r="K57" t="s">
        <v>23</v>
      </c>
      <c r="L57" t="s">
        <v>24</v>
      </c>
      <c r="M57" t="str">
        <f t="shared" si="0"/>
        <v>charge-altering-6kiu</v>
      </c>
      <c r="N57" t="str">
        <f t="shared" si="1"/>
        <v>6kiu</v>
      </c>
      <c r="O57" s="2" t="s">
        <v>38</v>
      </c>
      <c r="P57" s="2" t="str">
        <f t="shared" si="2"/>
        <v>A-E105Q</v>
      </c>
    </row>
    <row r="58" spans="1:16">
      <c r="A58" s="1" t="s">
        <v>15</v>
      </c>
      <c r="B58" s="1" t="s">
        <v>16</v>
      </c>
      <c r="C58" s="1" t="s">
        <v>32</v>
      </c>
      <c r="D58" s="1">
        <v>133</v>
      </c>
      <c r="E58" s="1" t="s">
        <v>29</v>
      </c>
      <c r="F58" s="1" t="s">
        <v>40</v>
      </c>
      <c r="G58" s="1">
        <v>0.8</v>
      </c>
      <c r="H58" s="1" t="s">
        <v>20</v>
      </c>
      <c r="I58" t="s">
        <v>50</v>
      </c>
      <c r="J58" t="s">
        <v>51</v>
      </c>
      <c r="K58" t="s">
        <v>52</v>
      </c>
      <c r="L58" t="s">
        <v>24</v>
      </c>
      <c r="M58" t="str">
        <f t="shared" si="0"/>
        <v>charge-altering-6kiu</v>
      </c>
      <c r="N58" t="str">
        <f t="shared" si="1"/>
        <v>6kiu</v>
      </c>
      <c r="O58" s="2" t="s">
        <v>38</v>
      </c>
      <c r="P58" s="2" t="str">
        <f t="shared" si="2"/>
        <v>A-E133K</v>
      </c>
    </row>
    <row r="59" spans="1:16">
      <c r="A59" s="1" t="s">
        <v>15</v>
      </c>
      <c r="B59" s="1" t="s">
        <v>16</v>
      </c>
      <c r="C59" s="1" t="s">
        <v>32</v>
      </c>
      <c r="D59" s="1">
        <v>133</v>
      </c>
      <c r="E59" s="1" t="s">
        <v>29</v>
      </c>
      <c r="F59" s="1" t="s">
        <v>30</v>
      </c>
      <c r="G59" s="1">
        <v>0.79</v>
      </c>
      <c r="H59" s="1" t="s">
        <v>20</v>
      </c>
      <c r="I59" t="s">
        <v>21</v>
      </c>
      <c r="J59" t="s">
        <v>22</v>
      </c>
      <c r="K59" t="s">
        <v>23</v>
      </c>
      <c r="L59" t="s">
        <v>24</v>
      </c>
      <c r="M59" t="str">
        <f t="shared" si="0"/>
        <v>charge-altering-6kiu</v>
      </c>
      <c r="N59" t="str">
        <f t="shared" si="1"/>
        <v>6kiu</v>
      </c>
      <c r="O59" s="2" t="s">
        <v>38</v>
      </c>
      <c r="P59" s="2" t="str">
        <f t="shared" si="2"/>
        <v>A-E133Q</v>
      </c>
    </row>
    <row r="60" spans="1:16">
      <c r="A60" s="1" t="s">
        <v>15</v>
      </c>
      <c r="B60" s="1" t="s">
        <v>16</v>
      </c>
      <c r="C60" s="1" t="s">
        <v>32</v>
      </c>
      <c r="D60" s="1">
        <v>50</v>
      </c>
      <c r="E60" s="1" t="s">
        <v>29</v>
      </c>
      <c r="F60" s="1" t="s">
        <v>40</v>
      </c>
      <c r="G60" s="1">
        <v>1.44</v>
      </c>
      <c r="H60" s="1" t="s">
        <v>20</v>
      </c>
      <c r="I60" t="s">
        <v>50</v>
      </c>
      <c r="J60" t="s">
        <v>51</v>
      </c>
      <c r="K60" t="s">
        <v>52</v>
      </c>
      <c r="L60" t="s">
        <v>24</v>
      </c>
      <c r="M60" t="str">
        <f t="shared" si="0"/>
        <v>charge-altering-6kiu</v>
      </c>
      <c r="N60" t="str">
        <f t="shared" si="1"/>
        <v>6kiu</v>
      </c>
      <c r="O60" s="2" t="s">
        <v>38</v>
      </c>
      <c r="P60" s="2" t="str">
        <f t="shared" si="2"/>
        <v>A-E50K</v>
      </c>
    </row>
    <row r="61" spans="1:16">
      <c r="A61" s="1" t="s">
        <v>15</v>
      </c>
      <c r="B61" s="1" t="s">
        <v>16</v>
      </c>
      <c r="C61" s="1" t="s">
        <v>32</v>
      </c>
      <c r="D61" s="1">
        <v>50</v>
      </c>
      <c r="E61" s="1" t="s">
        <v>29</v>
      </c>
      <c r="F61" s="1" t="s">
        <v>30</v>
      </c>
      <c r="G61" s="1">
        <v>1.22</v>
      </c>
      <c r="H61" s="1" t="s">
        <v>20</v>
      </c>
      <c r="I61" t="s">
        <v>21</v>
      </c>
      <c r="J61" t="s">
        <v>22</v>
      </c>
      <c r="K61" t="s">
        <v>23</v>
      </c>
      <c r="L61" t="s">
        <v>24</v>
      </c>
      <c r="M61" t="str">
        <f t="shared" si="0"/>
        <v>charge-altering-6kiu</v>
      </c>
      <c r="N61" t="str">
        <f t="shared" si="1"/>
        <v>6kiu</v>
      </c>
      <c r="O61" s="2" t="s">
        <v>38</v>
      </c>
      <c r="P61" s="2" t="str">
        <f t="shared" si="2"/>
        <v>A-E50Q</v>
      </c>
    </row>
    <row r="62" spans="1:16">
      <c r="A62" s="1" t="s">
        <v>15</v>
      </c>
      <c r="B62" s="1" t="s">
        <v>16</v>
      </c>
      <c r="C62" s="1" t="s">
        <v>32</v>
      </c>
      <c r="D62" s="1">
        <v>73</v>
      </c>
      <c r="E62" s="1" t="s">
        <v>29</v>
      </c>
      <c r="F62" s="1" t="s">
        <v>40</v>
      </c>
      <c r="G62" s="1">
        <v>1.06</v>
      </c>
      <c r="H62" s="1" t="s">
        <v>20</v>
      </c>
      <c r="I62" t="s">
        <v>50</v>
      </c>
      <c r="J62" t="s">
        <v>51</v>
      </c>
      <c r="K62" t="s">
        <v>52</v>
      </c>
      <c r="L62" t="s">
        <v>24</v>
      </c>
      <c r="M62" t="str">
        <f t="shared" si="0"/>
        <v>charge-altering-6kiu</v>
      </c>
      <c r="N62" t="str">
        <f t="shared" si="1"/>
        <v>6kiu</v>
      </c>
      <c r="O62" s="2" t="s">
        <v>38</v>
      </c>
      <c r="P62" s="2" t="str">
        <f t="shared" si="2"/>
        <v>A-E73K</v>
      </c>
    </row>
    <row r="63" spans="1:16">
      <c r="A63" s="1" t="s">
        <v>15</v>
      </c>
      <c r="B63" s="1" t="s">
        <v>16</v>
      </c>
      <c r="C63" s="1" t="s">
        <v>32</v>
      </c>
      <c r="D63" s="1">
        <v>73</v>
      </c>
      <c r="E63" s="1" t="s">
        <v>29</v>
      </c>
      <c r="F63" s="1" t="s">
        <v>30</v>
      </c>
      <c r="G63" s="1">
        <v>0.94</v>
      </c>
      <c r="H63" s="1" t="s">
        <v>20</v>
      </c>
      <c r="I63" t="s">
        <v>21</v>
      </c>
      <c r="J63" t="s">
        <v>22</v>
      </c>
      <c r="K63" t="s">
        <v>23</v>
      </c>
      <c r="L63" t="s">
        <v>24</v>
      </c>
      <c r="M63" t="str">
        <f t="shared" si="0"/>
        <v>charge-altering-6kiu</v>
      </c>
      <c r="N63" t="str">
        <f t="shared" si="1"/>
        <v>6kiu</v>
      </c>
      <c r="O63" s="2" t="s">
        <v>38</v>
      </c>
      <c r="P63" s="2" t="str">
        <f t="shared" si="2"/>
        <v>A-E73Q</v>
      </c>
    </row>
    <row r="64" spans="1:16">
      <c r="A64" s="1" t="s">
        <v>15</v>
      </c>
      <c r="B64" s="1" t="s">
        <v>16</v>
      </c>
      <c r="C64" s="1" t="s">
        <v>32</v>
      </c>
      <c r="D64" s="1">
        <v>94</v>
      </c>
      <c r="E64" s="1" t="s">
        <v>29</v>
      </c>
      <c r="F64" s="1" t="s">
        <v>40</v>
      </c>
      <c r="G64" s="1">
        <v>1.42</v>
      </c>
      <c r="H64" s="1" t="s">
        <v>20</v>
      </c>
      <c r="I64" t="s">
        <v>50</v>
      </c>
      <c r="J64" t="s">
        <v>51</v>
      </c>
      <c r="K64" t="s">
        <v>52</v>
      </c>
      <c r="L64" t="s">
        <v>24</v>
      </c>
      <c r="M64" t="str">
        <f t="shared" si="0"/>
        <v>charge-altering-6kiu</v>
      </c>
      <c r="N64" t="str">
        <f t="shared" si="1"/>
        <v>6kiu</v>
      </c>
      <c r="O64" s="2" t="s">
        <v>38</v>
      </c>
      <c r="P64" s="2" t="str">
        <f t="shared" si="2"/>
        <v>A-E94K</v>
      </c>
    </row>
    <row r="65" spans="1:16">
      <c r="A65" s="1" t="s">
        <v>15</v>
      </c>
      <c r="B65" s="1" t="s">
        <v>16</v>
      </c>
      <c r="C65" s="1" t="s">
        <v>32</v>
      </c>
      <c r="D65" s="1">
        <v>94</v>
      </c>
      <c r="E65" s="1" t="s">
        <v>29</v>
      </c>
      <c r="F65" s="1" t="s">
        <v>30</v>
      </c>
      <c r="G65" s="1">
        <v>1.38</v>
      </c>
      <c r="H65" s="1" t="s">
        <v>20</v>
      </c>
      <c r="I65" t="s">
        <v>21</v>
      </c>
      <c r="J65" t="s">
        <v>22</v>
      </c>
      <c r="K65" t="s">
        <v>23</v>
      </c>
      <c r="L65" t="s">
        <v>24</v>
      </c>
      <c r="M65" t="str">
        <f t="shared" si="0"/>
        <v>charge-altering-6kiu</v>
      </c>
      <c r="N65" t="str">
        <f t="shared" si="1"/>
        <v>6kiu</v>
      </c>
      <c r="O65" s="2" t="s">
        <v>38</v>
      </c>
      <c r="P65" s="2" t="str">
        <f t="shared" si="2"/>
        <v>A-E94Q</v>
      </c>
    </row>
    <row r="66" spans="1:16">
      <c r="A66" s="1" t="s">
        <v>15</v>
      </c>
      <c r="B66" s="1" t="s">
        <v>16</v>
      </c>
      <c r="C66" s="1" t="s">
        <v>32</v>
      </c>
      <c r="D66" s="1">
        <v>97</v>
      </c>
      <c r="E66" s="1" t="s">
        <v>29</v>
      </c>
      <c r="F66" s="1" t="s">
        <v>40</v>
      </c>
      <c r="G66" s="1">
        <v>0.94</v>
      </c>
      <c r="H66" s="1" t="s">
        <v>20</v>
      </c>
      <c r="I66" t="s">
        <v>50</v>
      </c>
      <c r="J66" t="s">
        <v>51</v>
      </c>
      <c r="K66" t="s">
        <v>52</v>
      </c>
      <c r="L66" t="s">
        <v>24</v>
      </c>
      <c r="M66" t="str">
        <f t="shared" ref="M66:M129" si="3">L66&amp;"-"&amp;LEFT(A66,4)</f>
        <v>charge-altering-6kiu</v>
      </c>
      <c r="N66" t="str">
        <f t="shared" ref="N66:N129" si="4">LEFT(A66,4)</f>
        <v>6kiu</v>
      </c>
      <c r="O66" s="2" t="s">
        <v>38</v>
      </c>
      <c r="P66" s="2" t="str">
        <f t="shared" ref="P66:P129" si="5">C66&amp;"-"&amp;E66&amp;D66&amp;F66</f>
        <v>A-E97K</v>
      </c>
    </row>
    <row r="67" spans="1:16">
      <c r="A67" s="1" t="s">
        <v>15</v>
      </c>
      <c r="B67" s="1" t="s">
        <v>16</v>
      </c>
      <c r="C67" s="1" t="s">
        <v>32</v>
      </c>
      <c r="D67" s="1">
        <v>97</v>
      </c>
      <c r="E67" s="1" t="s">
        <v>29</v>
      </c>
      <c r="F67" s="1" t="s">
        <v>30</v>
      </c>
      <c r="G67" s="1">
        <v>1.08</v>
      </c>
      <c r="H67" s="1" t="s">
        <v>20</v>
      </c>
      <c r="I67" t="s">
        <v>21</v>
      </c>
      <c r="J67" t="s">
        <v>22</v>
      </c>
      <c r="K67" t="s">
        <v>23</v>
      </c>
      <c r="L67" t="s">
        <v>24</v>
      </c>
      <c r="M67" t="str">
        <f t="shared" si="3"/>
        <v>charge-altering-6kiu</v>
      </c>
      <c r="N67" t="str">
        <f t="shared" si="4"/>
        <v>6kiu</v>
      </c>
      <c r="O67" s="2" t="s">
        <v>38</v>
      </c>
      <c r="P67" s="2" t="str">
        <f t="shared" si="5"/>
        <v>A-E97Q</v>
      </c>
    </row>
    <row r="68" spans="1:16">
      <c r="A68" s="1" t="s">
        <v>15</v>
      </c>
      <c r="B68" s="1" t="s">
        <v>16</v>
      </c>
      <c r="C68" s="1" t="s">
        <v>32</v>
      </c>
      <c r="D68" s="1">
        <v>44</v>
      </c>
      <c r="E68" s="1" t="s">
        <v>19</v>
      </c>
      <c r="F68" s="1" t="s">
        <v>18</v>
      </c>
      <c r="G68" s="1">
        <v>0.47</v>
      </c>
      <c r="H68" s="1" t="s">
        <v>20</v>
      </c>
      <c r="I68" t="s">
        <v>53</v>
      </c>
      <c r="J68" t="s">
        <v>54</v>
      </c>
      <c r="K68" t="s">
        <v>55</v>
      </c>
      <c r="L68" t="s">
        <v>24</v>
      </c>
      <c r="M68" t="str">
        <f t="shared" si="3"/>
        <v>charge-altering-6kiu</v>
      </c>
      <c r="N68" t="str">
        <f t="shared" si="4"/>
        <v>6kiu</v>
      </c>
      <c r="O68" s="2" t="s">
        <v>38</v>
      </c>
      <c r="P68" s="2" t="str">
        <f t="shared" si="5"/>
        <v>A-G44D</v>
      </c>
    </row>
    <row r="69" spans="1:16">
      <c r="A69" s="1" t="s">
        <v>15</v>
      </c>
      <c r="B69" s="1" t="s">
        <v>16</v>
      </c>
      <c r="C69" s="1" t="s">
        <v>32</v>
      </c>
      <c r="D69" s="1">
        <v>113</v>
      </c>
      <c r="E69" s="1" t="s">
        <v>56</v>
      </c>
      <c r="F69" s="1" t="s">
        <v>41</v>
      </c>
      <c r="G69" s="1">
        <v>1.06</v>
      </c>
      <c r="H69" s="1" t="s">
        <v>20</v>
      </c>
      <c r="I69" t="s">
        <v>42</v>
      </c>
      <c r="J69" t="s">
        <v>22</v>
      </c>
      <c r="K69" t="s">
        <v>23</v>
      </c>
      <c r="L69" t="s">
        <v>24</v>
      </c>
      <c r="M69" t="str">
        <f t="shared" si="3"/>
        <v>charge-altering-6kiu</v>
      </c>
      <c r="N69" t="str">
        <f t="shared" si="4"/>
        <v>6kiu</v>
      </c>
      <c r="O69" s="2" t="s">
        <v>38</v>
      </c>
      <c r="P69" s="2" t="str">
        <f t="shared" si="5"/>
        <v>A-H113N</v>
      </c>
    </row>
    <row r="70" spans="1:16">
      <c r="A70" s="1" t="s">
        <v>15</v>
      </c>
      <c r="B70" s="1" t="s">
        <v>16</v>
      </c>
      <c r="C70" s="1" t="s">
        <v>32</v>
      </c>
      <c r="D70" s="1">
        <v>79</v>
      </c>
      <c r="E70" s="1" t="s">
        <v>40</v>
      </c>
      <c r="F70" s="1" t="s">
        <v>41</v>
      </c>
      <c r="G70" s="1">
        <v>1.63</v>
      </c>
      <c r="H70" s="1" t="s">
        <v>20</v>
      </c>
      <c r="I70" t="s">
        <v>42</v>
      </c>
      <c r="J70" t="s">
        <v>22</v>
      </c>
      <c r="K70" t="s">
        <v>23</v>
      </c>
      <c r="L70" t="s">
        <v>24</v>
      </c>
      <c r="M70" t="str">
        <f t="shared" si="3"/>
        <v>charge-altering-6kiu</v>
      </c>
      <c r="N70" t="str">
        <f t="shared" si="4"/>
        <v>6kiu</v>
      </c>
      <c r="O70" s="2" t="s">
        <v>38</v>
      </c>
      <c r="P70" s="2" t="str">
        <f t="shared" si="5"/>
        <v>A-K79N</v>
      </c>
    </row>
    <row r="71" spans="1:16">
      <c r="A71" s="1" t="s">
        <v>15</v>
      </c>
      <c r="B71" s="1" t="s">
        <v>16</v>
      </c>
      <c r="C71" s="1" t="s">
        <v>32</v>
      </c>
      <c r="D71" s="1">
        <v>108</v>
      </c>
      <c r="E71" s="1" t="s">
        <v>41</v>
      </c>
      <c r="F71" s="1" t="s">
        <v>40</v>
      </c>
      <c r="G71" s="1">
        <v>1.02</v>
      </c>
      <c r="H71" s="1" t="s">
        <v>20</v>
      </c>
      <c r="I71" t="s">
        <v>57</v>
      </c>
      <c r="J71" t="s">
        <v>54</v>
      </c>
      <c r="K71" t="s">
        <v>55</v>
      </c>
      <c r="L71" t="s">
        <v>24</v>
      </c>
      <c r="M71" t="str">
        <f t="shared" si="3"/>
        <v>charge-altering-6kiu</v>
      </c>
      <c r="N71" t="str">
        <f t="shared" si="4"/>
        <v>6kiu</v>
      </c>
      <c r="O71" s="2" t="s">
        <v>38</v>
      </c>
      <c r="P71" s="2" t="str">
        <f t="shared" si="5"/>
        <v>A-N108K</v>
      </c>
    </row>
    <row r="72" spans="1:16">
      <c r="A72" s="1" t="s">
        <v>15</v>
      </c>
      <c r="B72" s="1" t="s">
        <v>16</v>
      </c>
      <c r="C72" s="1" t="s">
        <v>32</v>
      </c>
      <c r="D72" s="1">
        <v>125</v>
      </c>
      <c r="E72" s="1" t="s">
        <v>30</v>
      </c>
      <c r="F72" s="1" t="s">
        <v>56</v>
      </c>
      <c r="G72" s="1">
        <v>0.36</v>
      </c>
      <c r="H72" s="1" t="s">
        <v>20</v>
      </c>
      <c r="I72" t="s">
        <v>57</v>
      </c>
      <c r="J72" t="s">
        <v>54</v>
      </c>
      <c r="K72" t="s">
        <v>55</v>
      </c>
      <c r="L72" t="s">
        <v>24</v>
      </c>
      <c r="M72" t="str">
        <f t="shared" si="3"/>
        <v>charge-altering-6kiu</v>
      </c>
      <c r="N72" t="str">
        <f t="shared" si="4"/>
        <v>6kiu</v>
      </c>
      <c r="O72" s="2" t="s">
        <v>38</v>
      </c>
      <c r="P72" s="2" t="str">
        <f t="shared" si="5"/>
        <v>A-Q125H</v>
      </c>
    </row>
    <row r="73" spans="1:16">
      <c r="A73" s="1" t="s">
        <v>15</v>
      </c>
      <c r="B73" s="1" t="s">
        <v>16</v>
      </c>
      <c r="C73" s="1" t="s">
        <v>32</v>
      </c>
      <c r="D73" s="1">
        <v>125</v>
      </c>
      <c r="E73" s="1" t="s">
        <v>30</v>
      </c>
      <c r="F73" s="1" t="s">
        <v>40</v>
      </c>
      <c r="G73" s="1">
        <v>0.29</v>
      </c>
      <c r="H73" s="1" t="s">
        <v>20</v>
      </c>
      <c r="I73" t="s">
        <v>57</v>
      </c>
      <c r="J73" t="s">
        <v>54</v>
      </c>
      <c r="K73" t="s">
        <v>55</v>
      </c>
      <c r="L73" t="s">
        <v>24</v>
      </c>
      <c r="M73" t="str">
        <f t="shared" si="3"/>
        <v>charge-altering-6kiu</v>
      </c>
      <c r="N73" t="str">
        <f t="shared" si="4"/>
        <v>6kiu</v>
      </c>
      <c r="O73" s="2" t="s">
        <v>38</v>
      </c>
      <c r="P73" s="2" t="str">
        <f t="shared" si="5"/>
        <v>A-Q125K</v>
      </c>
    </row>
    <row r="74" spans="1:16">
      <c r="A74" s="1" t="s">
        <v>15</v>
      </c>
      <c r="B74" s="1" t="s">
        <v>16</v>
      </c>
      <c r="C74" s="1" t="s">
        <v>32</v>
      </c>
      <c r="D74" s="1">
        <v>55</v>
      </c>
      <c r="E74" s="1" t="s">
        <v>30</v>
      </c>
      <c r="F74" s="1" t="s">
        <v>29</v>
      </c>
      <c r="G74" s="1">
        <v>1.5</v>
      </c>
      <c r="H74" s="1" t="s">
        <v>20</v>
      </c>
      <c r="I74" t="s">
        <v>53</v>
      </c>
      <c r="J74" t="s">
        <v>54</v>
      </c>
      <c r="K74" t="s">
        <v>55</v>
      </c>
      <c r="L74" t="s">
        <v>24</v>
      </c>
      <c r="M74" t="str">
        <f t="shared" si="3"/>
        <v>charge-altering-6kiu</v>
      </c>
      <c r="N74" t="str">
        <f t="shared" si="4"/>
        <v>6kiu</v>
      </c>
      <c r="O74" s="2" t="s">
        <v>38</v>
      </c>
      <c r="P74" s="2" t="str">
        <f t="shared" si="5"/>
        <v>A-Q55E</v>
      </c>
    </row>
    <row r="75" spans="1:16">
      <c r="A75" s="1" t="s">
        <v>15</v>
      </c>
      <c r="B75" s="1" t="s">
        <v>16</v>
      </c>
      <c r="C75" s="1" t="s">
        <v>32</v>
      </c>
      <c r="D75" s="1">
        <v>55</v>
      </c>
      <c r="E75" s="1" t="s">
        <v>30</v>
      </c>
      <c r="F75" s="1" t="s">
        <v>56</v>
      </c>
      <c r="G75" s="1">
        <v>1.33</v>
      </c>
      <c r="H75" s="1" t="s">
        <v>20</v>
      </c>
      <c r="I75" t="s">
        <v>57</v>
      </c>
      <c r="J75" t="s">
        <v>54</v>
      </c>
      <c r="K75" t="s">
        <v>55</v>
      </c>
      <c r="L75" t="s">
        <v>24</v>
      </c>
      <c r="M75" t="str">
        <f t="shared" si="3"/>
        <v>charge-altering-6kiu</v>
      </c>
      <c r="N75" t="str">
        <f t="shared" si="4"/>
        <v>6kiu</v>
      </c>
      <c r="O75" s="2" t="s">
        <v>38</v>
      </c>
      <c r="P75" s="2" t="str">
        <f t="shared" si="5"/>
        <v>A-Q55H</v>
      </c>
    </row>
    <row r="76" spans="1:16">
      <c r="A76" s="1" t="s">
        <v>15</v>
      </c>
      <c r="B76" s="1" t="s">
        <v>16</v>
      </c>
      <c r="C76" s="1" t="s">
        <v>32</v>
      </c>
      <c r="D76" s="1">
        <v>116</v>
      </c>
      <c r="E76" s="1" t="s">
        <v>43</v>
      </c>
      <c r="F76" s="1" t="s">
        <v>58</v>
      </c>
      <c r="G76" s="1">
        <v>2.48</v>
      </c>
      <c r="H76" s="1" t="s">
        <v>20</v>
      </c>
      <c r="I76" t="s">
        <v>42</v>
      </c>
      <c r="J76" t="s">
        <v>22</v>
      </c>
      <c r="K76" t="s">
        <v>23</v>
      </c>
      <c r="L76" t="s">
        <v>24</v>
      </c>
      <c r="M76" t="str">
        <f t="shared" si="3"/>
        <v>charge-altering-6kiu</v>
      </c>
      <c r="N76" t="str">
        <f t="shared" si="4"/>
        <v>6kiu</v>
      </c>
      <c r="O76" s="2" t="s">
        <v>38</v>
      </c>
      <c r="P76" s="2" t="str">
        <f t="shared" si="5"/>
        <v>A-R116P</v>
      </c>
    </row>
    <row r="77" spans="1:16">
      <c r="A77" s="1" t="s">
        <v>15</v>
      </c>
      <c r="B77" s="1" t="s">
        <v>16</v>
      </c>
      <c r="C77" s="1" t="s">
        <v>32</v>
      </c>
      <c r="D77" s="1">
        <v>116</v>
      </c>
      <c r="E77" s="1" t="s">
        <v>43</v>
      </c>
      <c r="F77" s="1" t="s">
        <v>30</v>
      </c>
      <c r="G77" s="1">
        <v>1.27</v>
      </c>
      <c r="H77" s="1" t="s">
        <v>20</v>
      </c>
      <c r="I77" t="s">
        <v>42</v>
      </c>
      <c r="J77" t="s">
        <v>22</v>
      </c>
      <c r="K77" t="s">
        <v>23</v>
      </c>
      <c r="L77" t="s">
        <v>24</v>
      </c>
      <c r="M77" t="str">
        <f t="shared" si="3"/>
        <v>charge-altering-6kiu</v>
      </c>
      <c r="N77" t="str">
        <f t="shared" si="4"/>
        <v>6kiu</v>
      </c>
      <c r="O77" s="2" t="s">
        <v>38</v>
      </c>
      <c r="P77" s="2" t="str">
        <f t="shared" si="5"/>
        <v>A-R116Q</v>
      </c>
    </row>
    <row r="78" spans="1:16">
      <c r="A78" s="1" t="s">
        <v>15</v>
      </c>
      <c r="B78" s="1" t="s">
        <v>16</v>
      </c>
      <c r="C78" s="1" t="s">
        <v>32</v>
      </c>
      <c r="D78" s="1">
        <v>129</v>
      </c>
      <c r="E78" s="1" t="s">
        <v>43</v>
      </c>
      <c r="F78" s="1" t="s">
        <v>17</v>
      </c>
      <c r="G78" s="1">
        <v>1.03</v>
      </c>
      <c r="H78" s="1" t="s">
        <v>20</v>
      </c>
      <c r="I78" t="s">
        <v>42</v>
      </c>
      <c r="J78" t="s">
        <v>22</v>
      </c>
      <c r="K78" t="s">
        <v>23</v>
      </c>
      <c r="L78" t="s">
        <v>24</v>
      </c>
      <c r="M78" t="str">
        <f t="shared" si="3"/>
        <v>charge-altering-6kiu</v>
      </c>
      <c r="N78" t="str">
        <f t="shared" si="4"/>
        <v>6kiu</v>
      </c>
      <c r="O78" s="2" t="s">
        <v>38</v>
      </c>
      <c r="P78" s="2" t="str">
        <f t="shared" si="5"/>
        <v>A-R129C</v>
      </c>
    </row>
    <row r="79" spans="1:16">
      <c r="A79" s="1" t="s">
        <v>15</v>
      </c>
      <c r="B79" s="1" t="s">
        <v>16</v>
      </c>
      <c r="C79" s="1" t="s">
        <v>32</v>
      </c>
      <c r="D79" s="1">
        <v>129</v>
      </c>
      <c r="E79" s="1" t="s">
        <v>43</v>
      </c>
      <c r="F79" s="1" t="s">
        <v>30</v>
      </c>
      <c r="G79" s="1">
        <v>1.4</v>
      </c>
      <c r="H79" s="1" t="s">
        <v>20</v>
      </c>
      <c r="I79" t="s">
        <v>42</v>
      </c>
      <c r="J79" t="s">
        <v>22</v>
      </c>
      <c r="K79" t="s">
        <v>23</v>
      </c>
      <c r="L79" t="s">
        <v>24</v>
      </c>
      <c r="M79" t="str">
        <f t="shared" si="3"/>
        <v>charge-altering-6kiu</v>
      </c>
      <c r="N79" t="str">
        <f t="shared" si="4"/>
        <v>6kiu</v>
      </c>
      <c r="O79" s="2" t="s">
        <v>38</v>
      </c>
      <c r="P79" s="2" t="str">
        <f t="shared" si="5"/>
        <v>A-R129Q</v>
      </c>
    </row>
    <row r="80" spans="1:16">
      <c r="A80" s="1" t="s">
        <v>15</v>
      </c>
      <c r="B80" s="1" t="s">
        <v>16</v>
      </c>
      <c r="C80" s="1" t="s">
        <v>32</v>
      </c>
      <c r="D80" s="1">
        <v>131</v>
      </c>
      <c r="E80" s="1" t="s">
        <v>43</v>
      </c>
      <c r="F80" s="1" t="s">
        <v>17</v>
      </c>
      <c r="G80" s="1">
        <v>1.24</v>
      </c>
      <c r="H80" s="1" t="s">
        <v>20</v>
      </c>
      <c r="I80" t="s">
        <v>42</v>
      </c>
      <c r="J80" t="s">
        <v>22</v>
      </c>
      <c r="K80" t="s">
        <v>23</v>
      </c>
      <c r="L80" t="s">
        <v>24</v>
      </c>
      <c r="M80" t="str">
        <f t="shared" si="3"/>
        <v>charge-altering-6kiu</v>
      </c>
      <c r="N80" t="str">
        <f t="shared" si="4"/>
        <v>6kiu</v>
      </c>
      <c r="O80" s="2" t="s">
        <v>38</v>
      </c>
      <c r="P80" s="2" t="str">
        <f t="shared" si="5"/>
        <v>A-R131C</v>
      </c>
    </row>
    <row r="81" spans="1:16">
      <c r="A81" s="1" t="s">
        <v>15</v>
      </c>
      <c r="B81" s="1" t="s">
        <v>16</v>
      </c>
      <c r="C81" s="1" t="s">
        <v>32</v>
      </c>
      <c r="D81" s="1">
        <v>131</v>
      </c>
      <c r="E81" s="1" t="s">
        <v>43</v>
      </c>
      <c r="F81" s="1" t="s">
        <v>19</v>
      </c>
      <c r="G81" s="1">
        <v>1.75</v>
      </c>
      <c r="H81" s="1" t="s">
        <v>20</v>
      </c>
      <c r="I81" t="s">
        <v>42</v>
      </c>
      <c r="J81" t="s">
        <v>22</v>
      </c>
      <c r="K81" t="s">
        <v>23</v>
      </c>
      <c r="L81" t="s">
        <v>24</v>
      </c>
      <c r="M81" t="str">
        <f t="shared" si="3"/>
        <v>charge-altering-6kiu</v>
      </c>
      <c r="N81" t="str">
        <f t="shared" si="4"/>
        <v>6kiu</v>
      </c>
      <c r="O81" s="2" t="s">
        <v>38</v>
      </c>
      <c r="P81" s="2" t="str">
        <f t="shared" si="5"/>
        <v>A-R131G</v>
      </c>
    </row>
    <row r="82" spans="1:16">
      <c r="A82" s="1" t="s">
        <v>15</v>
      </c>
      <c r="B82" s="1" t="s">
        <v>16</v>
      </c>
      <c r="C82" s="1" t="s">
        <v>32</v>
      </c>
      <c r="D82" s="1">
        <v>131</v>
      </c>
      <c r="E82" s="1" t="s">
        <v>43</v>
      </c>
      <c r="F82" s="1" t="s">
        <v>58</v>
      </c>
      <c r="G82" s="1">
        <v>3.01</v>
      </c>
      <c r="H82" s="1" t="s">
        <v>20</v>
      </c>
      <c r="I82" t="s">
        <v>42</v>
      </c>
      <c r="J82" t="s">
        <v>22</v>
      </c>
      <c r="K82" t="s">
        <v>23</v>
      </c>
      <c r="L82" t="s">
        <v>24</v>
      </c>
      <c r="M82" t="str">
        <f t="shared" si="3"/>
        <v>charge-altering-6kiu</v>
      </c>
      <c r="N82" t="str">
        <f t="shared" si="4"/>
        <v>6kiu</v>
      </c>
      <c r="O82" s="2" t="s">
        <v>38</v>
      </c>
      <c r="P82" s="2" t="str">
        <f t="shared" si="5"/>
        <v>A-R131P</v>
      </c>
    </row>
    <row r="83" spans="1:16">
      <c r="A83" s="1" t="s">
        <v>15</v>
      </c>
      <c r="B83" s="1" t="s">
        <v>16</v>
      </c>
      <c r="C83" s="1" t="s">
        <v>32</v>
      </c>
      <c r="D83" s="1">
        <v>52</v>
      </c>
      <c r="E83" s="1" t="s">
        <v>43</v>
      </c>
      <c r="F83" s="1" t="s">
        <v>17</v>
      </c>
      <c r="G83" s="1">
        <v>1.58</v>
      </c>
      <c r="H83" s="1" t="s">
        <v>20</v>
      </c>
      <c r="I83" t="s">
        <v>42</v>
      </c>
      <c r="J83" t="s">
        <v>22</v>
      </c>
      <c r="K83" t="s">
        <v>23</v>
      </c>
      <c r="L83" t="s">
        <v>24</v>
      </c>
      <c r="M83" t="str">
        <f t="shared" si="3"/>
        <v>charge-altering-6kiu</v>
      </c>
      <c r="N83" t="str">
        <f t="shared" si="4"/>
        <v>6kiu</v>
      </c>
      <c r="O83" s="2" t="s">
        <v>38</v>
      </c>
      <c r="P83" s="2" t="str">
        <f t="shared" si="5"/>
        <v>A-R52C</v>
      </c>
    </row>
    <row r="84" spans="1:16">
      <c r="A84" s="1" t="s">
        <v>15</v>
      </c>
      <c r="B84" s="1" t="s">
        <v>16</v>
      </c>
      <c r="C84" s="1" t="s">
        <v>32</v>
      </c>
      <c r="D84" s="1">
        <v>83</v>
      </c>
      <c r="E84" s="1" t="s">
        <v>43</v>
      </c>
      <c r="F84" s="1" t="s">
        <v>17</v>
      </c>
      <c r="G84" s="1">
        <v>1.49</v>
      </c>
      <c r="H84" s="1" t="s">
        <v>20</v>
      </c>
      <c r="I84" t="s">
        <v>42</v>
      </c>
      <c r="J84" t="s">
        <v>22</v>
      </c>
      <c r="K84" t="s">
        <v>23</v>
      </c>
      <c r="L84" t="s">
        <v>24</v>
      </c>
      <c r="M84" t="str">
        <f t="shared" si="3"/>
        <v>charge-altering-6kiu</v>
      </c>
      <c r="N84" t="str">
        <f t="shared" si="4"/>
        <v>6kiu</v>
      </c>
      <c r="O84" s="2" t="s">
        <v>38</v>
      </c>
      <c r="P84" s="2" t="str">
        <f t="shared" si="5"/>
        <v>A-R83C</v>
      </c>
    </row>
    <row r="85" spans="1:16">
      <c r="A85" s="1" t="s">
        <v>15</v>
      </c>
      <c r="B85" s="1" t="s">
        <v>16</v>
      </c>
      <c r="C85" s="1" t="s">
        <v>32</v>
      </c>
      <c r="D85" s="1">
        <v>83</v>
      </c>
      <c r="E85" s="1" t="s">
        <v>43</v>
      </c>
      <c r="F85" s="1" t="s">
        <v>46</v>
      </c>
      <c r="G85" s="1">
        <v>1.37</v>
      </c>
      <c r="H85" s="1" t="s">
        <v>20</v>
      </c>
      <c r="I85" t="s">
        <v>42</v>
      </c>
      <c r="J85" t="s">
        <v>22</v>
      </c>
      <c r="K85" t="s">
        <v>23</v>
      </c>
      <c r="L85" t="s">
        <v>24</v>
      </c>
      <c r="M85" t="str">
        <f t="shared" si="3"/>
        <v>charge-altering-6kiu</v>
      </c>
      <c r="N85" t="str">
        <f t="shared" si="4"/>
        <v>6kiu</v>
      </c>
      <c r="O85" s="2" t="s">
        <v>38</v>
      </c>
      <c r="P85" s="2" t="str">
        <f t="shared" si="5"/>
        <v>A-R83S</v>
      </c>
    </row>
    <row r="86" spans="1:16">
      <c r="A86" s="1" t="s">
        <v>15</v>
      </c>
      <c r="B86" s="1" t="s">
        <v>16</v>
      </c>
      <c r="C86" s="1" t="s">
        <v>29</v>
      </c>
      <c r="D86" s="1">
        <v>47</v>
      </c>
      <c r="E86" s="1" t="s">
        <v>32</v>
      </c>
      <c r="F86" s="1" t="s">
        <v>29</v>
      </c>
      <c r="G86" s="1">
        <v>-0.01</v>
      </c>
      <c r="H86" s="1" t="s">
        <v>59</v>
      </c>
      <c r="I86" t="s">
        <v>53</v>
      </c>
      <c r="J86" t="s">
        <v>54</v>
      </c>
      <c r="K86" t="s">
        <v>55</v>
      </c>
      <c r="L86" t="s">
        <v>24</v>
      </c>
      <c r="M86" t="str">
        <f t="shared" si="3"/>
        <v>charge-altering-6kiu</v>
      </c>
      <c r="N86" t="str">
        <f t="shared" si="4"/>
        <v>6kiu</v>
      </c>
      <c r="O86" s="2" t="s">
        <v>38</v>
      </c>
      <c r="P86" s="2" t="str">
        <f t="shared" si="5"/>
        <v>E-A47E</v>
      </c>
    </row>
    <row r="87" spans="1:16">
      <c r="A87" s="1" t="s">
        <v>15</v>
      </c>
      <c r="B87" s="1" t="s">
        <v>16</v>
      </c>
      <c r="C87" s="1" t="s">
        <v>29</v>
      </c>
      <c r="D87" s="1">
        <v>88</v>
      </c>
      <c r="E87" s="1" t="s">
        <v>32</v>
      </c>
      <c r="F87" s="1" t="s">
        <v>29</v>
      </c>
      <c r="G87" s="1">
        <v>0.94</v>
      </c>
      <c r="H87" s="1" t="s">
        <v>20</v>
      </c>
      <c r="I87" t="s">
        <v>53</v>
      </c>
      <c r="J87" t="s">
        <v>54</v>
      </c>
      <c r="K87" t="s">
        <v>55</v>
      </c>
      <c r="L87" t="s">
        <v>24</v>
      </c>
      <c r="M87" t="str">
        <f t="shared" si="3"/>
        <v>charge-altering-6kiu</v>
      </c>
      <c r="N87" t="str">
        <f t="shared" si="4"/>
        <v>6kiu</v>
      </c>
      <c r="O87" s="2" t="s">
        <v>38</v>
      </c>
      <c r="P87" s="2" t="str">
        <f t="shared" si="5"/>
        <v>E-A88E</v>
      </c>
    </row>
    <row r="88" spans="1:16">
      <c r="A88" s="1" t="s">
        <v>15</v>
      </c>
      <c r="B88" s="1" t="s">
        <v>16</v>
      </c>
      <c r="C88" s="1" t="s">
        <v>29</v>
      </c>
      <c r="D88" s="1">
        <v>106</v>
      </c>
      <c r="E88" s="1" t="s">
        <v>18</v>
      </c>
      <c r="F88" s="1" t="s">
        <v>41</v>
      </c>
      <c r="G88" s="1">
        <v>1.18</v>
      </c>
      <c r="H88" s="1" t="s">
        <v>20</v>
      </c>
      <c r="I88" t="s">
        <v>21</v>
      </c>
      <c r="J88" t="s">
        <v>22</v>
      </c>
      <c r="K88" t="s">
        <v>23</v>
      </c>
      <c r="L88" t="s">
        <v>24</v>
      </c>
      <c r="M88" t="str">
        <f t="shared" si="3"/>
        <v>charge-altering-6kiu</v>
      </c>
      <c r="N88" t="str">
        <f t="shared" si="4"/>
        <v>6kiu</v>
      </c>
      <c r="O88" s="2" t="s">
        <v>38</v>
      </c>
      <c r="P88" s="2" t="str">
        <f t="shared" si="5"/>
        <v>E-D106N</v>
      </c>
    </row>
    <row r="89" spans="1:16">
      <c r="A89" s="1" t="s">
        <v>15</v>
      </c>
      <c r="B89" s="1" t="s">
        <v>16</v>
      </c>
      <c r="C89" s="1" t="s">
        <v>29</v>
      </c>
      <c r="D89" s="1">
        <v>106</v>
      </c>
      <c r="E89" s="1" t="s">
        <v>18</v>
      </c>
      <c r="F89" s="1" t="s">
        <v>49</v>
      </c>
      <c r="G89" s="1">
        <v>0.76</v>
      </c>
      <c r="H89" s="1" t="s">
        <v>20</v>
      </c>
      <c r="I89" t="s">
        <v>21</v>
      </c>
      <c r="J89" t="s">
        <v>22</v>
      </c>
      <c r="K89" t="s">
        <v>23</v>
      </c>
      <c r="L89" t="s">
        <v>24</v>
      </c>
      <c r="M89" t="str">
        <f t="shared" si="3"/>
        <v>charge-altering-6kiu</v>
      </c>
      <c r="N89" t="str">
        <f t="shared" si="4"/>
        <v>6kiu</v>
      </c>
      <c r="O89" s="2" t="s">
        <v>38</v>
      </c>
      <c r="P89" s="2" t="str">
        <f t="shared" si="5"/>
        <v>E-D106Y</v>
      </c>
    </row>
    <row r="90" spans="1:16">
      <c r="A90" s="1" t="s">
        <v>15</v>
      </c>
      <c r="B90" s="1" t="s">
        <v>16</v>
      </c>
      <c r="C90" s="1" t="s">
        <v>29</v>
      </c>
      <c r="D90" s="1">
        <v>123</v>
      </c>
      <c r="E90" s="1" t="s">
        <v>18</v>
      </c>
      <c r="F90" s="1" t="s">
        <v>56</v>
      </c>
      <c r="G90" s="1">
        <v>0.75</v>
      </c>
      <c r="H90" s="1" t="s">
        <v>20</v>
      </c>
      <c r="I90" t="s">
        <v>50</v>
      </c>
      <c r="J90" t="s">
        <v>51</v>
      </c>
      <c r="K90" t="s">
        <v>52</v>
      </c>
      <c r="L90" t="s">
        <v>24</v>
      </c>
      <c r="M90" t="str">
        <f t="shared" si="3"/>
        <v>charge-altering-6kiu</v>
      </c>
      <c r="N90" t="str">
        <f t="shared" si="4"/>
        <v>6kiu</v>
      </c>
      <c r="O90" s="2" t="s">
        <v>38</v>
      </c>
      <c r="P90" s="2" t="str">
        <f t="shared" si="5"/>
        <v>E-D123H</v>
      </c>
    </row>
    <row r="91" spans="1:16">
      <c r="A91" s="1" t="s">
        <v>15</v>
      </c>
      <c r="B91" s="1" t="s">
        <v>16</v>
      </c>
      <c r="C91" s="1" t="s">
        <v>29</v>
      </c>
      <c r="D91" s="1">
        <v>81</v>
      </c>
      <c r="E91" s="1" t="s">
        <v>18</v>
      </c>
      <c r="F91" s="1" t="s">
        <v>56</v>
      </c>
      <c r="G91" s="1">
        <v>0.65</v>
      </c>
      <c r="H91" s="1" t="s">
        <v>20</v>
      </c>
      <c r="I91" t="s">
        <v>50</v>
      </c>
      <c r="J91" t="s">
        <v>51</v>
      </c>
      <c r="K91" t="s">
        <v>52</v>
      </c>
      <c r="L91" t="s">
        <v>24</v>
      </c>
      <c r="M91" t="str">
        <f t="shared" si="3"/>
        <v>charge-altering-6kiu</v>
      </c>
      <c r="N91" t="str">
        <f t="shared" si="4"/>
        <v>6kiu</v>
      </c>
      <c r="O91" s="2" t="s">
        <v>38</v>
      </c>
      <c r="P91" s="2" t="str">
        <f t="shared" si="5"/>
        <v>E-D81H</v>
      </c>
    </row>
    <row r="92" spans="1:16">
      <c r="A92" s="1" t="s">
        <v>15</v>
      </c>
      <c r="B92" s="1" t="s">
        <v>16</v>
      </c>
      <c r="C92" s="1" t="s">
        <v>29</v>
      </c>
      <c r="D92" s="1">
        <v>81</v>
      </c>
      <c r="E92" s="1" t="s">
        <v>18</v>
      </c>
      <c r="F92" s="1" t="s">
        <v>41</v>
      </c>
      <c r="G92" s="1">
        <v>0.92</v>
      </c>
      <c r="H92" s="1" t="s">
        <v>20</v>
      </c>
      <c r="I92" t="s">
        <v>21</v>
      </c>
      <c r="J92" t="s">
        <v>22</v>
      </c>
      <c r="K92" t="s">
        <v>23</v>
      </c>
      <c r="L92" t="s">
        <v>24</v>
      </c>
      <c r="M92" t="str">
        <f t="shared" si="3"/>
        <v>charge-altering-6kiu</v>
      </c>
      <c r="N92" t="str">
        <f t="shared" si="4"/>
        <v>6kiu</v>
      </c>
      <c r="O92" s="2" t="s">
        <v>38</v>
      </c>
      <c r="P92" s="2" t="str">
        <f t="shared" si="5"/>
        <v>E-D81N</v>
      </c>
    </row>
    <row r="93" spans="1:16">
      <c r="A93" s="1" t="s">
        <v>15</v>
      </c>
      <c r="B93" s="1" t="s">
        <v>16</v>
      </c>
      <c r="C93" s="1" t="s">
        <v>29</v>
      </c>
      <c r="D93" s="1">
        <v>105</v>
      </c>
      <c r="E93" s="1" t="s">
        <v>29</v>
      </c>
      <c r="F93" s="1" t="s">
        <v>40</v>
      </c>
      <c r="G93" s="1">
        <v>1.12</v>
      </c>
      <c r="H93" s="1" t="s">
        <v>20</v>
      </c>
      <c r="I93" t="s">
        <v>50</v>
      </c>
      <c r="J93" t="s">
        <v>51</v>
      </c>
      <c r="K93" t="s">
        <v>52</v>
      </c>
      <c r="L93" t="s">
        <v>24</v>
      </c>
      <c r="M93" t="str">
        <f t="shared" si="3"/>
        <v>charge-altering-6kiu</v>
      </c>
      <c r="N93" t="str">
        <f t="shared" si="4"/>
        <v>6kiu</v>
      </c>
      <c r="O93" s="2" t="s">
        <v>38</v>
      </c>
      <c r="P93" s="2" t="str">
        <f t="shared" si="5"/>
        <v>E-E105K</v>
      </c>
    </row>
    <row r="94" spans="1:16">
      <c r="A94" s="1" t="s">
        <v>15</v>
      </c>
      <c r="B94" s="1" t="s">
        <v>16</v>
      </c>
      <c r="C94" s="1" t="s">
        <v>29</v>
      </c>
      <c r="D94" s="1">
        <v>105</v>
      </c>
      <c r="E94" s="1" t="s">
        <v>29</v>
      </c>
      <c r="F94" s="1" t="s">
        <v>30</v>
      </c>
      <c r="G94" s="1">
        <v>1.08</v>
      </c>
      <c r="H94" s="1" t="s">
        <v>20</v>
      </c>
      <c r="I94" t="s">
        <v>21</v>
      </c>
      <c r="J94" t="s">
        <v>22</v>
      </c>
      <c r="K94" t="s">
        <v>23</v>
      </c>
      <c r="L94" t="s">
        <v>24</v>
      </c>
      <c r="M94" t="str">
        <f t="shared" si="3"/>
        <v>charge-altering-6kiu</v>
      </c>
      <c r="N94" t="str">
        <f t="shared" si="4"/>
        <v>6kiu</v>
      </c>
      <c r="O94" s="2" t="s">
        <v>38</v>
      </c>
      <c r="P94" s="2" t="str">
        <f t="shared" si="5"/>
        <v>E-E105Q</v>
      </c>
    </row>
    <row r="95" spans="1:16">
      <c r="A95" s="1" t="s">
        <v>15</v>
      </c>
      <c r="B95" s="1" t="s">
        <v>16</v>
      </c>
      <c r="C95" s="1" t="s">
        <v>29</v>
      </c>
      <c r="D95" s="1">
        <v>133</v>
      </c>
      <c r="E95" s="1" t="s">
        <v>29</v>
      </c>
      <c r="F95" s="1" t="s">
        <v>40</v>
      </c>
      <c r="G95" s="1">
        <v>0.8</v>
      </c>
      <c r="H95" s="1" t="s">
        <v>20</v>
      </c>
      <c r="I95" t="s">
        <v>50</v>
      </c>
      <c r="J95" t="s">
        <v>51</v>
      </c>
      <c r="K95" t="s">
        <v>52</v>
      </c>
      <c r="L95" t="s">
        <v>24</v>
      </c>
      <c r="M95" t="str">
        <f t="shared" si="3"/>
        <v>charge-altering-6kiu</v>
      </c>
      <c r="N95" t="str">
        <f t="shared" si="4"/>
        <v>6kiu</v>
      </c>
      <c r="O95" s="2" t="s">
        <v>38</v>
      </c>
      <c r="P95" s="2" t="str">
        <f t="shared" si="5"/>
        <v>E-E133K</v>
      </c>
    </row>
    <row r="96" spans="1:16">
      <c r="A96" s="1" t="s">
        <v>15</v>
      </c>
      <c r="B96" s="1" t="s">
        <v>16</v>
      </c>
      <c r="C96" s="1" t="s">
        <v>29</v>
      </c>
      <c r="D96" s="1">
        <v>133</v>
      </c>
      <c r="E96" s="1" t="s">
        <v>29</v>
      </c>
      <c r="F96" s="1" t="s">
        <v>30</v>
      </c>
      <c r="G96" s="1">
        <v>0.79</v>
      </c>
      <c r="H96" s="1" t="s">
        <v>20</v>
      </c>
      <c r="I96" t="s">
        <v>21</v>
      </c>
      <c r="J96" t="s">
        <v>22</v>
      </c>
      <c r="K96" t="s">
        <v>23</v>
      </c>
      <c r="L96" t="s">
        <v>24</v>
      </c>
      <c r="M96" t="str">
        <f t="shared" si="3"/>
        <v>charge-altering-6kiu</v>
      </c>
      <c r="N96" t="str">
        <f t="shared" si="4"/>
        <v>6kiu</v>
      </c>
      <c r="O96" s="2" t="s">
        <v>38</v>
      </c>
      <c r="P96" s="2" t="str">
        <f t="shared" si="5"/>
        <v>E-E133Q</v>
      </c>
    </row>
    <row r="97" spans="1:16">
      <c r="A97" s="1" t="s">
        <v>15</v>
      </c>
      <c r="B97" s="1" t="s">
        <v>16</v>
      </c>
      <c r="C97" s="1" t="s">
        <v>29</v>
      </c>
      <c r="D97" s="1">
        <v>50</v>
      </c>
      <c r="E97" s="1" t="s">
        <v>29</v>
      </c>
      <c r="F97" s="1" t="s">
        <v>40</v>
      </c>
      <c r="G97" s="1">
        <v>1.44</v>
      </c>
      <c r="H97" s="1" t="s">
        <v>20</v>
      </c>
      <c r="I97" t="s">
        <v>50</v>
      </c>
      <c r="J97" t="s">
        <v>51</v>
      </c>
      <c r="K97" t="s">
        <v>52</v>
      </c>
      <c r="L97" t="s">
        <v>24</v>
      </c>
      <c r="M97" t="str">
        <f t="shared" si="3"/>
        <v>charge-altering-6kiu</v>
      </c>
      <c r="N97" t="str">
        <f t="shared" si="4"/>
        <v>6kiu</v>
      </c>
      <c r="O97" s="2" t="s">
        <v>38</v>
      </c>
      <c r="P97" s="2" t="str">
        <f t="shared" si="5"/>
        <v>E-E50K</v>
      </c>
    </row>
    <row r="98" spans="1:16">
      <c r="A98" s="1" t="s">
        <v>15</v>
      </c>
      <c r="B98" s="1" t="s">
        <v>16</v>
      </c>
      <c r="C98" s="1" t="s">
        <v>29</v>
      </c>
      <c r="D98" s="1">
        <v>50</v>
      </c>
      <c r="E98" s="1" t="s">
        <v>29</v>
      </c>
      <c r="F98" s="1" t="s">
        <v>30</v>
      </c>
      <c r="G98" s="1">
        <v>1.22</v>
      </c>
      <c r="H98" s="1" t="s">
        <v>20</v>
      </c>
      <c r="I98" t="s">
        <v>21</v>
      </c>
      <c r="J98" t="s">
        <v>22</v>
      </c>
      <c r="K98" t="s">
        <v>23</v>
      </c>
      <c r="L98" t="s">
        <v>24</v>
      </c>
      <c r="M98" t="str">
        <f t="shared" si="3"/>
        <v>charge-altering-6kiu</v>
      </c>
      <c r="N98" t="str">
        <f t="shared" si="4"/>
        <v>6kiu</v>
      </c>
      <c r="O98" s="2" t="s">
        <v>38</v>
      </c>
      <c r="P98" s="2" t="str">
        <f t="shared" si="5"/>
        <v>E-E50Q</v>
      </c>
    </row>
    <row r="99" spans="1:16">
      <c r="A99" s="1" t="s">
        <v>15</v>
      </c>
      <c r="B99" s="1" t="s">
        <v>16</v>
      </c>
      <c r="C99" s="1" t="s">
        <v>29</v>
      </c>
      <c r="D99" s="1">
        <v>73</v>
      </c>
      <c r="E99" s="1" t="s">
        <v>29</v>
      </c>
      <c r="F99" s="1" t="s">
        <v>40</v>
      </c>
      <c r="G99" s="1">
        <v>0.8</v>
      </c>
      <c r="H99" s="1" t="s">
        <v>20</v>
      </c>
      <c r="I99" t="s">
        <v>50</v>
      </c>
      <c r="J99" t="s">
        <v>51</v>
      </c>
      <c r="K99" t="s">
        <v>52</v>
      </c>
      <c r="L99" t="s">
        <v>24</v>
      </c>
      <c r="M99" t="str">
        <f t="shared" si="3"/>
        <v>charge-altering-6kiu</v>
      </c>
      <c r="N99" t="str">
        <f t="shared" si="4"/>
        <v>6kiu</v>
      </c>
      <c r="O99" s="2" t="s">
        <v>38</v>
      </c>
      <c r="P99" s="2" t="str">
        <f t="shared" si="5"/>
        <v>E-E73K</v>
      </c>
    </row>
    <row r="100" spans="1:16">
      <c r="A100" s="1" t="s">
        <v>15</v>
      </c>
      <c r="B100" s="1" t="s">
        <v>16</v>
      </c>
      <c r="C100" s="1" t="s">
        <v>29</v>
      </c>
      <c r="D100" s="1">
        <v>73</v>
      </c>
      <c r="E100" s="1" t="s">
        <v>29</v>
      </c>
      <c r="F100" s="1" t="s">
        <v>30</v>
      </c>
      <c r="G100" s="1">
        <v>0.9</v>
      </c>
      <c r="H100" s="1" t="s">
        <v>20</v>
      </c>
      <c r="I100" t="s">
        <v>21</v>
      </c>
      <c r="J100" t="s">
        <v>22</v>
      </c>
      <c r="K100" t="s">
        <v>23</v>
      </c>
      <c r="L100" t="s">
        <v>24</v>
      </c>
      <c r="M100" t="str">
        <f t="shared" si="3"/>
        <v>charge-altering-6kiu</v>
      </c>
      <c r="N100" t="str">
        <f t="shared" si="4"/>
        <v>6kiu</v>
      </c>
      <c r="O100" s="2" t="s">
        <v>38</v>
      </c>
      <c r="P100" s="2" t="str">
        <f t="shared" si="5"/>
        <v>E-E73Q</v>
      </c>
    </row>
    <row r="101" spans="1:16">
      <c r="A101" s="1" t="s">
        <v>15</v>
      </c>
      <c r="B101" s="1" t="s">
        <v>16</v>
      </c>
      <c r="C101" s="1" t="s">
        <v>29</v>
      </c>
      <c r="D101" s="1">
        <v>94</v>
      </c>
      <c r="E101" s="1" t="s">
        <v>29</v>
      </c>
      <c r="F101" s="1" t="s">
        <v>40</v>
      </c>
      <c r="G101" s="1">
        <v>1.32</v>
      </c>
      <c r="H101" s="1" t="s">
        <v>20</v>
      </c>
      <c r="I101" t="s">
        <v>50</v>
      </c>
      <c r="J101" t="s">
        <v>51</v>
      </c>
      <c r="K101" t="s">
        <v>52</v>
      </c>
      <c r="L101" t="s">
        <v>24</v>
      </c>
      <c r="M101" t="str">
        <f t="shared" si="3"/>
        <v>charge-altering-6kiu</v>
      </c>
      <c r="N101" t="str">
        <f t="shared" si="4"/>
        <v>6kiu</v>
      </c>
      <c r="O101" s="2" t="s">
        <v>38</v>
      </c>
      <c r="P101" s="2" t="str">
        <f t="shared" si="5"/>
        <v>E-E94K</v>
      </c>
    </row>
    <row r="102" spans="1:16">
      <c r="A102" s="1" t="s">
        <v>15</v>
      </c>
      <c r="B102" s="1" t="s">
        <v>16</v>
      </c>
      <c r="C102" s="1" t="s">
        <v>29</v>
      </c>
      <c r="D102" s="1">
        <v>94</v>
      </c>
      <c r="E102" s="1" t="s">
        <v>29</v>
      </c>
      <c r="F102" s="1" t="s">
        <v>30</v>
      </c>
      <c r="G102" s="1">
        <v>1.22</v>
      </c>
      <c r="H102" s="1" t="s">
        <v>20</v>
      </c>
      <c r="I102" t="s">
        <v>21</v>
      </c>
      <c r="J102" t="s">
        <v>22</v>
      </c>
      <c r="K102" t="s">
        <v>23</v>
      </c>
      <c r="L102" t="s">
        <v>24</v>
      </c>
      <c r="M102" t="str">
        <f t="shared" si="3"/>
        <v>charge-altering-6kiu</v>
      </c>
      <c r="N102" t="str">
        <f t="shared" si="4"/>
        <v>6kiu</v>
      </c>
      <c r="O102" s="2" t="s">
        <v>38</v>
      </c>
      <c r="P102" s="2" t="str">
        <f t="shared" si="5"/>
        <v>E-E94Q</v>
      </c>
    </row>
    <row r="103" spans="1:16">
      <c r="A103" s="1" t="s">
        <v>15</v>
      </c>
      <c r="B103" s="1" t="s">
        <v>16</v>
      </c>
      <c r="C103" s="1" t="s">
        <v>29</v>
      </c>
      <c r="D103" s="1">
        <v>97</v>
      </c>
      <c r="E103" s="1" t="s">
        <v>29</v>
      </c>
      <c r="F103" s="1" t="s">
        <v>40</v>
      </c>
      <c r="G103" s="1">
        <v>0.94</v>
      </c>
      <c r="H103" s="1" t="s">
        <v>20</v>
      </c>
      <c r="I103" t="s">
        <v>50</v>
      </c>
      <c r="J103" t="s">
        <v>51</v>
      </c>
      <c r="K103" t="s">
        <v>52</v>
      </c>
      <c r="L103" t="s">
        <v>24</v>
      </c>
      <c r="M103" t="str">
        <f t="shared" si="3"/>
        <v>charge-altering-6kiu</v>
      </c>
      <c r="N103" t="str">
        <f t="shared" si="4"/>
        <v>6kiu</v>
      </c>
      <c r="O103" s="2" t="s">
        <v>38</v>
      </c>
      <c r="P103" s="2" t="str">
        <f t="shared" si="5"/>
        <v>E-E97K</v>
      </c>
    </row>
    <row r="104" spans="1:16">
      <c r="A104" s="1" t="s">
        <v>15</v>
      </c>
      <c r="B104" s="1" t="s">
        <v>16</v>
      </c>
      <c r="C104" s="1" t="s">
        <v>29</v>
      </c>
      <c r="D104" s="1">
        <v>97</v>
      </c>
      <c r="E104" s="1" t="s">
        <v>29</v>
      </c>
      <c r="F104" s="1" t="s">
        <v>30</v>
      </c>
      <c r="G104" s="1">
        <v>1.08</v>
      </c>
      <c r="H104" s="1" t="s">
        <v>20</v>
      </c>
      <c r="I104" t="s">
        <v>21</v>
      </c>
      <c r="J104" t="s">
        <v>22</v>
      </c>
      <c r="K104" t="s">
        <v>23</v>
      </c>
      <c r="L104" t="s">
        <v>24</v>
      </c>
      <c r="M104" t="str">
        <f t="shared" si="3"/>
        <v>charge-altering-6kiu</v>
      </c>
      <c r="N104" t="str">
        <f t="shared" si="4"/>
        <v>6kiu</v>
      </c>
      <c r="O104" s="2" t="s">
        <v>38</v>
      </c>
      <c r="P104" s="2" t="str">
        <f t="shared" si="5"/>
        <v>E-E97Q</v>
      </c>
    </row>
    <row r="105" spans="1:16">
      <c r="A105" s="1" t="s">
        <v>15</v>
      </c>
      <c r="B105" s="1" t="s">
        <v>16</v>
      </c>
      <c r="C105" s="1" t="s">
        <v>29</v>
      </c>
      <c r="D105" s="1">
        <v>44</v>
      </c>
      <c r="E105" s="1" t="s">
        <v>19</v>
      </c>
      <c r="F105" s="1" t="s">
        <v>18</v>
      </c>
      <c r="G105" s="1">
        <v>0.42</v>
      </c>
      <c r="H105" s="1" t="s">
        <v>20</v>
      </c>
      <c r="I105" t="s">
        <v>53</v>
      </c>
      <c r="J105" t="s">
        <v>54</v>
      </c>
      <c r="K105" t="s">
        <v>55</v>
      </c>
      <c r="L105" t="s">
        <v>24</v>
      </c>
      <c r="M105" t="str">
        <f t="shared" si="3"/>
        <v>charge-altering-6kiu</v>
      </c>
      <c r="N105" t="str">
        <f t="shared" si="4"/>
        <v>6kiu</v>
      </c>
      <c r="O105" s="2" t="s">
        <v>38</v>
      </c>
      <c r="P105" s="2" t="str">
        <f t="shared" si="5"/>
        <v>E-G44D</v>
      </c>
    </row>
    <row r="106" spans="1:16">
      <c r="A106" s="1" t="s">
        <v>15</v>
      </c>
      <c r="B106" s="1" t="s">
        <v>16</v>
      </c>
      <c r="C106" s="1" t="s">
        <v>29</v>
      </c>
      <c r="D106" s="1">
        <v>113</v>
      </c>
      <c r="E106" s="1" t="s">
        <v>56</v>
      </c>
      <c r="F106" s="1" t="s">
        <v>41</v>
      </c>
      <c r="G106" s="1">
        <v>1.04</v>
      </c>
      <c r="H106" s="1" t="s">
        <v>20</v>
      </c>
      <c r="I106" t="s">
        <v>42</v>
      </c>
      <c r="J106" t="s">
        <v>22</v>
      </c>
      <c r="K106" t="s">
        <v>23</v>
      </c>
      <c r="L106" t="s">
        <v>24</v>
      </c>
      <c r="M106" t="str">
        <f t="shared" si="3"/>
        <v>charge-altering-6kiu</v>
      </c>
      <c r="N106" t="str">
        <f t="shared" si="4"/>
        <v>6kiu</v>
      </c>
      <c r="O106" s="2" t="s">
        <v>38</v>
      </c>
      <c r="P106" s="2" t="str">
        <f t="shared" si="5"/>
        <v>E-H113N</v>
      </c>
    </row>
    <row r="107" spans="1:16">
      <c r="A107" s="1" t="s">
        <v>15</v>
      </c>
      <c r="B107" s="1" t="s">
        <v>16</v>
      </c>
      <c r="C107" s="1" t="s">
        <v>29</v>
      </c>
      <c r="D107" s="1">
        <v>79</v>
      </c>
      <c r="E107" s="1" t="s">
        <v>40</v>
      </c>
      <c r="F107" s="1" t="s">
        <v>41</v>
      </c>
      <c r="G107" s="1">
        <v>1.1</v>
      </c>
      <c r="H107" s="1" t="s">
        <v>20</v>
      </c>
      <c r="I107" t="s">
        <v>42</v>
      </c>
      <c r="J107" t="s">
        <v>22</v>
      </c>
      <c r="K107" t="s">
        <v>23</v>
      </c>
      <c r="L107" t="s">
        <v>24</v>
      </c>
      <c r="M107" t="str">
        <f t="shared" si="3"/>
        <v>charge-altering-6kiu</v>
      </c>
      <c r="N107" t="str">
        <f t="shared" si="4"/>
        <v>6kiu</v>
      </c>
      <c r="O107" s="2" t="s">
        <v>38</v>
      </c>
      <c r="P107" s="2" t="str">
        <f t="shared" si="5"/>
        <v>E-K79N</v>
      </c>
    </row>
    <row r="108" spans="1:16">
      <c r="A108" s="1" t="s">
        <v>15</v>
      </c>
      <c r="B108" s="1" t="s">
        <v>16</v>
      </c>
      <c r="C108" s="1" t="s">
        <v>29</v>
      </c>
      <c r="D108" s="1">
        <v>108</v>
      </c>
      <c r="E108" s="1" t="s">
        <v>41</v>
      </c>
      <c r="F108" s="1" t="s">
        <v>40</v>
      </c>
      <c r="G108" s="1">
        <v>1.04</v>
      </c>
      <c r="H108" s="1" t="s">
        <v>20</v>
      </c>
      <c r="I108" t="s">
        <v>57</v>
      </c>
      <c r="J108" t="s">
        <v>54</v>
      </c>
      <c r="K108" t="s">
        <v>55</v>
      </c>
      <c r="L108" t="s">
        <v>24</v>
      </c>
      <c r="M108" t="str">
        <f t="shared" si="3"/>
        <v>charge-altering-6kiu</v>
      </c>
      <c r="N108" t="str">
        <f t="shared" si="4"/>
        <v>6kiu</v>
      </c>
      <c r="O108" s="2" t="s">
        <v>38</v>
      </c>
      <c r="P108" s="2" t="str">
        <f t="shared" si="5"/>
        <v>E-N108K</v>
      </c>
    </row>
    <row r="109" spans="1:16">
      <c r="A109" s="1" t="s">
        <v>15</v>
      </c>
      <c r="B109" s="1" t="s">
        <v>16</v>
      </c>
      <c r="C109" s="1" t="s">
        <v>29</v>
      </c>
      <c r="D109" s="1">
        <v>125</v>
      </c>
      <c r="E109" s="1" t="s">
        <v>30</v>
      </c>
      <c r="F109" s="1" t="s">
        <v>56</v>
      </c>
      <c r="G109" s="1">
        <v>0.36</v>
      </c>
      <c r="H109" s="1" t="s">
        <v>20</v>
      </c>
      <c r="I109" t="s">
        <v>57</v>
      </c>
      <c r="J109" t="s">
        <v>54</v>
      </c>
      <c r="K109" t="s">
        <v>55</v>
      </c>
      <c r="L109" t="s">
        <v>24</v>
      </c>
      <c r="M109" t="str">
        <f t="shared" si="3"/>
        <v>charge-altering-6kiu</v>
      </c>
      <c r="N109" t="str">
        <f t="shared" si="4"/>
        <v>6kiu</v>
      </c>
      <c r="O109" s="2" t="s">
        <v>38</v>
      </c>
      <c r="P109" s="2" t="str">
        <f t="shared" si="5"/>
        <v>E-Q125H</v>
      </c>
    </row>
    <row r="110" spans="1:16">
      <c r="A110" s="1" t="s">
        <v>15</v>
      </c>
      <c r="B110" s="1" t="s">
        <v>16</v>
      </c>
      <c r="C110" s="1" t="s">
        <v>29</v>
      </c>
      <c r="D110" s="1">
        <v>125</v>
      </c>
      <c r="E110" s="1" t="s">
        <v>30</v>
      </c>
      <c r="F110" s="1" t="s">
        <v>40</v>
      </c>
      <c r="G110" s="1">
        <v>0.29</v>
      </c>
      <c r="H110" s="1" t="s">
        <v>20</v>
      </c>
      <c r="I110" t="s">
        <v>57</v>
      </c>
      <c r="J110" t="s">
        <v>54</v>
      </c>
      <c r="K110" t="s">
        <v>55</v>
      </c>
      <c r="L110" t="s">
        <v>24</v>
      </c>
      <c r="M110" t="str">
        <f t="shared" si="3"/>
        <v>charge-altering-6kiu</v>
      </c>
      <c r="N110" t="str">
        <f t="shared" si="4"/>
        <v>6kiu</v>
      </c>
      <c r="O110" s="2" t="s">
        <v>38</v>
      </c>
      <c r="P110" s="2" t="str">
        <f t="shared" si="5"/>
        <v>E-Q125K</v>
      </c>
    </row>
    <row r="111" spans="1:16">
      <c r="A111" s="1" t="s">
        <v>15</v>
      </c>
      <c r="B111" s="1" t="s">
        <v>16</v>
      </c>
      <c r="C111" s="1" t="s">
        <v>29</v>
      </c>
      <c r="D111" s="1">
        <v>55</v>
      </c>
      <c r="E111" s="1" t="s">
        <v>30</v>
      </c>
      <c r="F111" s="1" t="s">
        <v>29</v>
      </c>
      <c r="G111" s="1">
        <v>1.5</v>
      </c>
      <c r="H111" s="1" t="s">
        <v>20</v>
      </c>
      <c r="I111" t="s">
        <v>53</v>
      </c>
      <c r="J111" t="s">
        <v>54</v>
      </c>
      <c r="K111" t="s">
        <v>55</v>
      </c>
      <c r="L111" t="s">
        <v>24</v>
      </c>
      <c r="M111" t="str">
        <f t="shared" si="3"/>
        <v>charge-altering-6kiu</v>
      </c>
      <c r="N111" t="str">
        <f t="shared" si="4"/>
        <v>6kiu</v>
      </c>
      <c r="O111" s="2" t="s">
        <v>38</v>
      </c>
      <c r="P111" s="2" t="str">
        <f t="shared" si="5"/>
        <v>E-Q55E</v>
      </c>
    </row>
    <row r="112" spans="1:16">
      <c r="A112" s="1" t="s">
        <v>15</v>
      </c>
      <c r="B112" s="1" t="s">
        <v>16</v>
      </c>
      <c r="C112" s="1" t="s">
        <v>29</v>
      </c>
      <c r="D112" s="1">
        <v>55</v>
      </c>
      <c r="E112" s="1" t="s">
        <v>30</v>
      </c>
      <c r="F112" s="1" t="s">
        <v>56</v>
      </c>
      <c r="G112" s="1">
        <v>1.33</v>
      </c>
      <c r="H112" s="1" t="s">
        <v>20</v>
      </c>
      <c r="I112" t="s">
        <v>57</v>
      </c>
      <c r="J112" t="s">
        <v>54</v>
      </c>
      <c r="K112" t="s">
        <v>55</v>
      </c>
      <c r="L112" t="s">
        <v>24</v>
      </c>
      <c r="M112" t="str">
        <f t="shared" si="3"/>
        <v>charge-altering-6kiu</v>
      </c>
      <c r="N112" t="str">
        <f t="shared" si="4"/>
        <v>6kiu</v>
      </c>
      <c r="O112" s="2" t="s">
        <v>38</v>
      </c>
      <c r="P112" s="2" t="str">
        <f t="shared" si="5"/>
        <v>E-Q55H</v>
      </c>
    </row>
    <row r="113" spans="1:16">
      <c r="A113" s="1" t="s">
        <v>15</v>
      </c>
      <c r="B113" s="1" t="s">
        <v>16</v>
      </c>
      <c r="C113" s="1" t="s">
        <v>29</v>
      </c>
      <c r="D113" s="1">
        <v>116</v>
      </c>
      <c r="E113" s="1" t="s">
        <v>43</v>
      </c>
      <c r="F113" s="1" t="s">
        <v>58</v>
      </c>
      <c r="G113" s="1">
        <v>2.08</v>
      </c>
      <c r="H113" s="1" t="s">
        <v>20</v>
      </c>
      <c r="I113" t="s">
        <v>42</v>
      </c>
      <c r="J113" t="s">
        <v>22</v>
      </c>
      <c r="K113" t="s">
        <v>23</v>
      </c>
      <c r="L113" t="s">
        <v>24</v>
      </c>
      <c r="M113" t="str">
        <f t="shared" si="3"/>
        <v>charge-altering-6kiu</v>
      </c>
      <c r="N113" t="str">
        <f t="shared" si="4"/>
        <v>6kiu</v>
      </c>
      <c r="O113" s="2" t="s">
        <v>38</v>
      </c>
      <c r="P113" s="2" t="str">
        <f t="shared" si="5"/>
        <v>E-R116P</v>
      </c>
    </row>
    <row r="114" spans="1:16">
      <c r="A114" s="1" t="s">
        <v>15</v>
      </c>
      <c r="B114" s="1" t="s">
        <v>16</v>
      </c>
      <c r="C114" s="1" t="s">
        <v>29</v>
      </c>
      <c r="D114" s="1">
        <v>116</v>
      </c>
      <c r="E114" s="1" t="s">
        <v>43</v>
      </c>
      <c r="F114" s="1" t="s">
        <v>30</v>
      </c>
      <c r="G114" s="1">
        <v>1.14</v>
      </c>
      <c r="H114" s="1" t="s">
        <v>20</v>
      </c>
      <c r="I114" t="s">
        <v>42</v>
      </c>
      <c r="J114" t="s">
        <v>22</v>
      </c>
      <c r="K114" t="s">
        <v>23</v>
      </c>
      <c r="L114" t="s">
        <v>24</v>
      </c>
      <c r="M114" t="str">
        <f t="shared" si="3"/>
        <v>charge-altering-6kiu</v>
      </c>
      <c r="N114" t="str">
        <f t="shared" si="4"/>
        <v>6kiu</v>
      </c>
      <c r="O114" s="2" t="s">
        <v>38</v>
      </c>
      <c r="P114" s="2" t="str">
        <f t="shared" si="5"/>
        <v>E-R116Q</v>
      </c>
    </row>
    <row r="115" spans="1:16">
      <c r="A115" s="1" t="s">
        <v>15</v>
      </c>
      <c r="B115" s="1" t="s">
        <v>16</v>
      </c>
      <c r="C115" s="1" t="s">
        <v>29</v>
      </c>
      <c r="D115" s="1">
        <v>129</v>
      </c>
      <c r="E115" s="1" t="s">
        <v>43</v>
      </c>
      <c r="F115" s="1" t="s">
        <v>17</v>
      </c>
      <c r="G115" s="1">
        <v>1.03</v>
      </c>
      <c r="H115" s="1" t="s">
        <v>20</v>
      </c>
      <c r="I115" t="s">
        <v>42</v>
      </c>
      <c r="J115" t="s">
        <v>22</v>
      </c>
      <c r="K115" t="s">
        <v>23</v>
      </c>
      <c r="L115" t="s">
        <v>24</v>
      </c>
      <c r="M115" t="str">
        <f t="shared" si="3"/>
        <v>charge-altering-6kiu</v>
      </c>
      <c r="N115" t="str">
        <f t="shared" si="4"/>
        <v>6kiu</v>
      </c>
      <c r="O115" s="2" t="s">
        <v>38</v>
      </c>
      <c r="P115" s="2" t="str">
        <f t="shared" si="5"/>
        <v>E-R129C</v>
      </c>
    </row>
    <row r="116" spans="1:16">
      <c r="A116" s="1" t="s">
        <v>15</v>
      </c>
      <c r="B116" s="1" t="s">
        <v>16</v>
      </c>
      <c r="C116" s="1" t="s">
        <v>29</v>
      </c>
      <c r="D116" s="1">
        <v>129</v>
      </c>
      <c r="E116" s="1" t="s">
        <v>43</v>
      </c>
      <c r="F116" s="1" t="s">
        <v>30</v>
      </c>
      <c r="G116" s="1">
        <v>1.4</v>
      </c>
      <c r="H116" s="1" t="s">
        <v>20</v>
      </c>
      <c r="I116" t="s">
        <v>42</v>
      </c>
      <c r="J116" t="s">
        <v>22</v>
      </c>
      <c r="K116" t="s">
        <v>23</v>
      </c>
      <c r="L116" t="s">
        <v>24</v>
      </c>
      <c r="M116" t="str">
        <f t="shared" si="3"/>
        <v>charge-altering-6kiu</v>
      </c>
      <c r="N116" t="str">
        <f t="shared" si="4"/>
        <v>6kiu</v>
      </c>
      <c r="O116" s="2" t="s">
        <v>38</v>
      </c>
      <c r="P116" s="2" t="str">
        <f t="shared" si="5"/>
        <v>E-R129Q</v>
      </c>
    </row>
    <row r="117" spans="1:16">
      <c r="A117" s="1" t="s">
        <v>15</v>
      </c>
      <c r="B117" s="1" t="s">
        <v>16</v>
      </c>
      <c r="C117" s="1" t="s">
        <v>29</v>
      </c>
      <c r="D117" s="1">
        <v>131</v>
      </c>
      <c r="E117" s="1" t="s">
        <v>43</v>
      </c>
      <c r="F117" s="1" t="s">
        <v>17</v>
      </c>
      <c r="G117" s="1">
        <v>1.24</v>
      </c>
      <c r="H117" s="1" t="s">
        <v>20</v>
      </c>
      <c r="I117" t="s">
        <v>42</v>
      </c>
      <c r="J117" t="s">
        <v>22</v>
      </c>
      <c r="K117" t="s">
        <v>23</v>
      </c>
      <c r="L117" t="s">
        <v>24</v>
      </c>
      <c r="M117" t="str">
        <f t="shared" si="3"/>
        <v>charge-altering-6kiu</v>
      </c>
      <c r="N117" t="str">
        <f t="shared" si="4"/>
        <v>6kiu</v>
      </c>
      <c r="O117" s="2" t="s">
        <v>38</v>
      </c>
      <c r="P117" s="2" t="str">
        <f t="shared" si="5"/>
        <v>E-R131C</v>
      </c>
    </row>
    <row r="118" spans="1:16">
      <c r="A118" s="1" t="s">
        <v>15</v>
      </c>
      <c r="B118" s="1" t="s">
        <v>16</v>
      </c>
      <c r="C118" s="1" t="s">
        <v>29</v>
      </c>
      <c r="D118" s="1">
        <v>131</v>
      </c>
      <c r="E118" s="1" t="s">
        <v>43</v>
      </c>
      <c r="F118" s="1" t="s">
        <v>19</v>
      </c>
      <c r="G118" s="1">
        <v>1.75</v>
      </c>
      <c r="H118" s="1" t="s">
        <v>20</v>
      </c>
      <c r="I118" t="s">
        <v>42</v>
      </c>
      <c r="J118" t="s">
        <v>22</v>
      </c>
      <c r="K118" t="s">
        <v>23</v>
      </c>
      <c r="L118" t="s">
        <v>24</v>
      </c>
      <c r="M118" t="str">
        <f t="shared" si="3"/>
        <v>charge-altering-6kiu</v>
      </c>
      <c r="N118" t="str">
        <f t="shared" si="4"/>
        <v>6kiu</v>
      </c>
      <c r="O118" s="2" t="s">
        <v>38</v>
      </c>
      <c r="P118" s="2" t="str">
        <f t="shared" si="5"/>
        <v>E-R131G</v>
      </c>
    </row>
    <row r="119" spans="1:16">
      <c r="A119" s="1" t="s">
        <v>15</v>
      </c>
      <c r="B119" s="1" t="s">
        <v>16</v>
      </c>
      <c r="C119" s="1" t="s">
        <v>29</v>
      </c>
      <c r="D119" s="1">
        <v>131</v>
      </c>
      <c r="E119" s="1" t="s">
        <v>43</v>
      </c>
      <c r="F119" s="1" t="s">
        <v>58</v>
      </c>
      <c r="G119" s="1">
        <v>3.01</v>
      </c>
      <c r="H119" s="1" t="s">
        <v>20</v>
      </c>
      <c r="I119" t="s">
        <v>42</v>
      </c>
      <c r="J119" t="s">
        <v>22</v>
      </c>
      <c r="K119" t="s">
        <v>23</v>
      </c>
      <c r="L119" t="s">
        <v>24</v>
      </c>
      <c r="M119" t="str">
        <f t="shared" si="3"/>
        <v>charge-altering-6kiu</v>
      </c>
      <c r="N119" t="str">
        <f t="shared" si="4"/>
        <v>6kiu</v>
      </c>
      <c r="O119" s="2" t="s">
        <v>38</v>
      </c>
      <c r="P119" s="2" t="str">
        <f t="shared" si="5"/>
        <v>E-R131P</v>
      </c>
    </row>
    <row r="120" spans="1:16">
      <c r="A120" s="1" t="s">
        <v>15</v>
      </c>
      <c r="B120" s="1" t="s">
        <v>16</v>
      </c>
      <c r="C120" s="1" t="s">
        <v>29</v>
      </c>
      <c r="D120" s="1">
        <v>52</v>
      </c>
      <c r="E120" s="1" t="s">
        <v>43</v>
      </c>
      <c r="F120" s="1" t="s">
        <v>17</v>
      </c>
      <c r="G120" s="1">
        <v>1.74</v>
      </c>
      <c r="H120" s="1" t="s">
        <v>20</v>
      </c>
      <c r="I120" t="s">
        <v>42</v>
      </c>
      <c r="J120" t="s">
        <v>22</v>
      </c>
      <c r="K120" t="s">
        <v>23</v>
      </c>
      <c r="L120" t="s">
        <v>24</v>
      </c>
      <c r="M120" t="str">
        <f t="shared" si="3"/>
        <v>charge-altering-6kiu</v>
      </c>
      <c r="N120" t="str">
        <f t="shared" si="4"/>
        <v>6kiu</v>
      </c>
      <c r="O120" s="2" t="s">
        <v>38</v>
      </c>
      <c r="P120" s="2" t="str">
        <f t="shared" si="5"/>
        <v>E-R52C</v>
      </c>
    </row>
    <row r="121" spans="1:16">
      <c r="A121" s="1" t="s">
        <v>15</v>
      </c>
      <c r="B121" s="1" t="s">
        <v>16</v>
      </c>
      <c r="C121" s="1" t="s">
        <v>29</v>
      </c>
      <c r="D121" s="1">
        <v>83</v>
      </c>
      <c r="E121" s="1" t="s">
        <v>43</v>
      </c>
      <c r="F121" s="1" t="s">
        <v>17</v>
      </c>
      <c r="G121" s="1">
        <v>1.43</v>
      </c>
      <c r="H121" s="1" t="s">
        <v>20</v>
      </c>
      <c r="I121" t="s">
        <v>42</v>
      </c>
      <c r="J121" t="s">
        <v>22</v>
      </c>
      <c r="K121" t="s">
        <v>23</v>
      </c>
      <c r="L121" t="s">
        <v>24</v>
      </c>
      <c r="M121" t="str">
        <f t="shared" si="3"/>
        <v>charge-altering-6kiu</v>
      </c>
      <c r="N121" t="str">
        <f t="shared" si="4"/>
        <v>6kiu</v>
      </c>
      <c r="O121" s="2" t="s">
        <v>38</v>
      </c>
      <c r="P121" s="2" t="str">
        <f t="shared" si="5"/>
        <v>E-R83C</v>
      </c>
    </row>
    <row r="122" spans="1:16">
      <c r="A122" s="1" t="s">
        <v>15</v>
      </c>
      <c r="B122" s="1" t="s">
        <v>16</v>
      </c>
      <c r="C122" s="1" t="s">
        <v>29</v>
      </c>
      <c r="D122" s="1">
        <v>83</v>
      </c>
      <c r="E122" s="1" t="s">
        <v>43</v>
      </c>
      <c r="F122" s="1" t="s">
        <v>46</v>
      </c>
      <c r="G122" s="1">
        <v>1.4</v>
      </c>
      <c r="H122" s="1" t="s">
        <v>20</v>
      </c>
      <c r="I122" t="s">
        <v>42</v>
      </c>
      <c r="J122" t="s">
        <v>22</v>
      </c>
      <c r="K122" t="s">
        <v>23</v>
      </c>
      <c r="L122" t="s">
        <v>24</v>
      </c>
      <c r="M122" t="str">
        <f t="shared" si="3"/>
        <v>charge-altering-6kiu</v>
      </c>
      <c r="N122" t="str">
        <f t="shared" si="4"/>
        <v>6kiu</v>
      </c>
      <c r="O122" s="2" t="s">
        <v>38</v>
      </c>
      <c r="P122" s="2" t="str">
        <f t="shared" si="5"/>
        <v>E-R83S</v>
      </c>
    </row>
    <row r="123" spans="1:16">
      <c r="A123" s="1" t="s">
        <v>15</v>
      </c>
      <c r="B123" s="1" t="s">
        <v>16</v>
      </c>
      <c r="C123" s="1" t="s">
        <v>28</v>
      </c>
      <c r="D123" s="1">
        <v>24</v>
      </c>
      <c r="E123" s="1" t="s">
        <v>18</v>
      </c>
      <c r="F123" s="1" t="s">
        <v>19</v>
      </c>
      <c r="G123" s="1">
        <v>0.87</v>
      </c>
      <c r="H123" s="1" t="s">
        <v>20</v>
      </c>
      <c r="I123" t="s">
        <v>21</v>
      </c>
      <c r="J123" t="s">
        <v>22</v>
      </c>
      <c r="K123" t="s">
        <v>23</v>
      </c>
      <c r="L123" t="s">
        <v>24</v>
      </c>
      <c r="M123" t="str">
        <f t="shared" si="3"/>
        <v>charge-altering-6kiu</v>
      </c>
      <c r="N123" t="str">
        <f t="shared" si="4"/>
        <v>6kiu</v>
      </c>
      <c r="O123" s="2" t="s">
        <v>31</v>
      </c>
      <c r="P123" s="2" t="str">
        <f t="shared" si="5"/>
        <v>B-D24G</v>
      </c>
    </row>
    <row r="124" spans="1:16">
      <c r="A124" s="1" t="s">
        <v>15</v>
      </c>
      <c r="B124" s="1" t="s">
        <v>16</v>
      </c>
      <c r="C124" s="1" t="s">
        <v>28</v>
      </c>
      <c r="D124" s="1">
        <v>68</v>
      </c>
      <c r="E124" s="1" t="s">
        <v>18</v>
      </c>
      <c r="F124" s="1" t="s">
        <v>56</v>
      </c>
      <c r="G124" s="1">
        <v>0.7</v>
      </c>
      <c r="H124" s="1" t="s">
        <v>20</v>
      </c>
      <c r="I124" t="s">
        <v>50</v>
      </c>
      <c r="J124" t="s">
        <v>51</v>
      </c>
      <c r="K124" t="s">
        <v>52</v>
      </c>
      <c r="L124" t="s">
        <v>24</v>
      </c>
      <c r="M124" t="str">
        <f t="shared" si="3"/>
        <v>charge-altering-6kiu</v>
      </c>
      <c r="N124" t="str">
        <f t="shared" si="4"/>
        <v>6kiu</v>
      </c>
      <c r="O124" s="2" t="s">
        <v>31</v>
      </c>
      <c r="P124" s="2" t="str">
        <f t="shared" si="5"/>
        <v>B-D68H</v>
      </c>
    </row>
    <row r="125" spans="1:16">
      <c r="A125" s="1" t="s">
        <v>15</v>
      </c>
      <c r="B125" s="1" t="s">
        <v>16</v>
      </c>
      <c r="C125" s="1" t="s">
        <v>28</v>
      </c>
      <c r="D125" s="1">
        <v>68</v>
      </c>
      <c r="E125" s="1" t="s">
        <v>18</v>
      </c>
      <c r="F125" s="1" t="s">
        <v>41</v>
      </c>
      <c r="G125" s="1">
        <v>1.07</v>
      </c>
      <c r="H125" s="1" t="s">
        <v>20</v>
      </c>
      <c r="I125" t="s">
        <v>21</v>
      </c>
      <c r="J125" t="s">
        <v>22</v>
      </c>
      <c r="K125" t="s">
        <v>23</v>
      </c>
      <c r="L125" t="s">
        <v>24</v>
      </c>
      <c r="M125" t="str">
        <f t="shared" si="3"/>
        <v>charge-altering-6kiu</v>
      </c>
      <c r="N125" t="str">
        <f t="shared" si="4"/>
        <v>6kiu</v>
      </c>
      <c r="O125" s="2" t="s">
        <v>31</v>
      </c>
      <c r="P125" s="2" t="str">
        <f t="shared" si="5"/>
        <v>B-D68N</v>
      </c>
    </row>
    <row r="126" spans="1:16">
      <c r="A126" s="1" t="s">
        <v>15</v>
      </c>
      <c r="B126" s="1" t="s">
        <v>16</v>
      </c>
      <c r="C126" s="1" t="s">
        <v>28</v>
      </c>
      <c r="D126" s="1">
        <v>68</v>
      </c>
      <c r="E126" s="1" t="s">
        <v>18</v>
      </c>
      <c r="F126" s="1" t="s">
        <v>49</v>
      </c>
      <c r="G126" s="1">
        <v>0.65</v>
      </c>
      <c r="H126" s="1" t="s">
        <v>20</v>
      </c>
      <c r="I126" t="s">
        <v>21</v>
      </c>
      <c r="J126" t="s">
        <v>22</v>
      </c>
      <c r="K126" t="s">
        <v>23</v>
      </c>
      <c r="L126" t="s">
        <v>24</v>
      </c>
      <c r="M126" t="str">
        <f t="shared" si="3"/>
        <v>charge-altering-6kiu</v>
      </c>
      <c r="N126" t="str">
        <f t="shared" si="4"/>
        <v>6kiu</v>
      </c>
      <c r="O126" s="2" t="s">
        <v>31</v>
      </c>
      <c r="P126" s="2" t="str">
        <f t="shared" si="5"/>
        <v>B-D68Y</v>
      </c>
    </row>
    <row r="127" spans="1:16">
      <c r="A127" s="1" t="s">
        <v>15</v>
      </c>
      <c r="B127" s="1" t="s">
        <v>16</v>
      </c>
      <c r="C127" s="1" t="s">
        <v>28</v>
      </c>
      <c r="D127" s="1">
        <v>53</v>
      </c>
      <c r="E127" s="1" t="s">
        <v>29</v>
      </c>
      <c r="F127" s="1" t="s">
        <v>40</v>
      </c>
      <c r="G127" s="1">
        <v>1.18</v>
      </c>
      <c r="H127" s="1" t="s">
        <v>20</v>
      </c>
      <c r="I127" t="s">
        <v>50</v>
      </c>
      <c r="J127" t="s">
        <v>51</v>
      </c>
      <c r="K127" t="s">
        <v>52</v>
      </c>
      <c r="L127" t="s">
        <v>24</v>
      </c>
      <c r="M127" t="str">
        <f t="shared" si="3"/>
        <v>charge-altering-6kiu</v>
      </c>
      <c r="N127" t="str">
        <f t="shared" si="4"/>
        <v>6kiu</v>
      </c>
      <c r="O127" s="2" t="s">
        <v>31</v>
      </c>
      <c r="P127" s="2" t="str">
        <f t="shared" si="5"/>
        <v>B-E53K</v>
      </c>
    </row>
    <row r="128" spans="1:16">
      <c r="A128" s="1" t="s">
        <v>15</v>
      </c>
      <c r="B128" s="1" t="s">
        <v>16</v>
      </c>
      <c r="C128" s="1" t="s">
        <v>28</v>
      </c>
      <c r="D128" s="1">
        <v>63</v>
      </c>
      <c r="E128" s="1" t="s">
        <v>29</v>
      </c>
      <c r="F128" s="1" t="s">
        <v>30</v>
      </c>
      <c r="G128" s="1">
        <v>1.46</v>
      </c>
      <c r="H128" s="1" t="s">
        <v>20</v>
      </c>
      <c r="I128" t="s">
        <v>21</v>
      </c>
      <c r="J128" t="s">
        <v>22</v>
      </c>
      <c r="K128" t="s">
        <v>23</v>
      </c>
      <c r="L128" t="s">
        <v>24</v>
      </c>
      <c r="M128" t="str">
        <f t="shared" si="3"/>
        <v>charge-altering-6kiu</v>
      </c>
      <c r="N128" t="str">
        <f t="shared" si="4"/>
        <v>6kiu</v>
      </c>
      <c r="O128" s="2" t="s">
        <v>31</v>
      </c>
      <c r="P128" s="2" t="str">
        <f t="shared" si="5"/>
        <v>B-E63Q</v>
      </c>
    </row>
    <row r="129" spans="1:16">
      <c r="A129" s="1" t="s">
        <v>15</v>
      </c>
      <c r="B129" s="1" t="s">
        <v>16</v>
      </c>
      <c r="C129" s="1" t="s">
        <v>28</v>
      </c>
      <c r="D129" s="1">
        <v>74</v>
      </c>
      <c r="E129" s="1" t="s">
        <v>29</v>
      </c>
      <c r="F129" s="1" t="s">
        <v>30</v>
      </c>
      <c r="G129" s="1">
        <v>1.24</v>
      </c>
      <c r="H129" s="1" t="s">
        <v>20</v>
      </c>
      <c r="I129" t="s">
        <v>21</v>
      </c>
      <c r="J129" t="s">
        <v>22</v>
      </c>
      <c r="K129" t="s">
        <v>23</v>
      </c>
      <c r="L129" t="s">
        <v>24</v>
      </c>
      <c r="M129" t="str">
        <f t="shared" si="3"/>
        <v>charge-altering-6kiu</v>
      </c>
      <c r="N129" t="str">
        <f t="shared" si="4"/>
        <v>6kiu</v>
      </c>
      <c r="O129" s="2" t="s">
        <v>31</v>
      </c>
      <c r="P129" s="2" t="str">
        <f t="shared" si="5"/>
        <v>B-E74Q</v>
      </c>
    </row>
    <row r="130" spans="1:16">
      <c r="A130" s="1" t="s">
        <v>15</v>
      </c>
      <c r="B130" s="1" t="s">
        <v>16</v>
      </c>
      <c r="C130" s="1" t="s">
        <v>28</v>
      </c>
      <c r="D130" s="1">
        <v>101</v>
      </c>
      <c r="E130" s="1" t="s">
        <v>19</v>
      </c>
      <c r="F130" s="1" t="s">
        <v>18</v>
      </c>
      <c r="G130" s="1">
        <v>0.4</v>
      </c>
      <c r="H130" s="1" t="s">
        <v>20</v>
      </c>
      <c r="I130" t="s">
        <v>53</v>
      </c>
      <c r="J130" t="s">
        <v>54</v>
      </c>
      <c r="K130" t="s">
        <v>55</v>
      </c>
      <c r="L130" t="s">
        <v>24</v>
      </c>
      <c r="M130" t="str">
        <f t="shared" ref="M130:M193" si="6">L130&amp;"-"&amp;LEFT(A130,4)</f>
        <v>charge-altering-6kiu</v>
      </c>
      <c r="N130" t="str">
        <f t="shared" ref="N130:N193" si="7">LEFT(A130,4)</f>
        <v>6kiu</v>
      </c>
      <c r="O130" s="2" t="s">
        <v>31</v>
      </c>
      <c r="P130" s="2" t="str">
        <f t="shared" ref="P130:P193" si="8">C130&amp;"-"&amp;E130&amp;D130&amp;F130</f>
        <v>B-G101D</v>
      </c>
    </row>
    <row r="131" spans="1:16">
      <c r="A131" s="1" t="s">
        <v>15</v>
      </c>
      <c r="B131" s="1" t="s">
        <v>16</v>
      </c>
      <c r="C131" s="1" t="s">
        <v>28</v>
      </c>
      <c r="D131" s="1">
        <v>94</v>
      </c>
      <c r="E131" s="1" t="s">
        <v>19</v>
      </c>
      <c r="F131" s="1" t="s">
        <v>29</v>
      </c>
      <c r="G131" s="1">
        <v>0.71</v>
      </c>
      <c r="H131" s="1" t="s">
        <v>20</v>
      </c>
      <c r="I131" t="s">
        <v>53</v>
      </c>
      <c r="J131" t="s">
        <v>54</v>
      </c>
      <c r="K131" t="s">
        <v>55</v>
      </c>
      <c r="L131" t="s">
        <v>24</v>
      </c>
      <c r="M131" t="str">
        <f t="shared" si="6"/>
        <v>charge-altering-6kiu</v>
      </c>
      <c r="N131" t="str">
        <f t="shared" si="7"/>
        <v>6kiu</v>
      </c>
      <c r="O131" s="2" t="s">
        <v>31</v>
      </c>
      <c r="P131" s="2" t="str">
        <f t="shared" si="8"/>
        <v>B-G94E</v>
      </c>
    </row>
    <row r="132" spans="1:16">
      <c r="A132" s="1" t="s">
        <v>15</v>
      </c>
      <c r="B132" s="1" t="s">
        <v>16</v>
      </c>
      <c r="C132" s="1" t="s">
        <v>28</v>
      </c>
      <c r="D132" s="1">
        <v>99</v>
      </c>
      <c r="E132" s="1" t="s">
        <v>19</v>
      </c>
      <c r="F132" s="1" t="s">
        <v>18</v>
      </c>
      <c r="G132" s="1">
        <v>0.72</v>
      </c>
      <c r="H132" s="1" t="s">
        <v>20</v>
      </c>
      <c r="I132" t="s">
        <v>53</v>
      </c>
      <c r="J132" t="s">
        <v>54</v>
      </c>
      <c r="K132" t="s">
        <v>55</v>
      </c>
      <c r="L132" t="s">
        <v>24</v>
      </c>
      <c r="M132" t="str">
        <f t="shared" si="6"/>
        <v>charge-altering-6kiu</v>
      </c>
      <c r="N132" t="str">
        <f t="shared" si="7"/>
        <v>6kiu</v>
      </c>
      <c r="O132" s="2" t="s">
        <v>31</v>
      </c>
      <c r="P132" s="2" t="str">
        <f t="shared" si="8"/>
        <v>B-G99D</v>
      </c>
    </row>
    <row r="133" spans="1:16">
      <c r="A133" s="1" t="s">
        <v>15</v>
      </c>
      <c r="B133" s="1" t="s">
        <v>16</v>
      </c>
      <c r="C133" s="1" t="s">
        <v>28</v>
      </c>
      <c r="D133" s="1">
        <v>75</v>
      </c>
      <c r="E133" s="1" t="s">
        <v>56</v>
      </c>
      <c r="F133" s="1" t="s">
        <v>30</v>
      </c>
      <c r="G133" s="1">
        <v>0.93</v>
      </c>
      <c r="H133" s="1" t="s">
        <v>20</v>
      </c>
      <c r="I133" t="s">
        <v>42</v>
      </c>
      <c r="J133" t="s">
        <v>22</v>
      </c>
      <c r="K133" t="s">
        <v>23</v>
      </c>
      <c r="L133" t="s">
        <v>24</v>
      </c>
      <c r="M133" t="str">
        <f t="shared" si="6"/>
        <v>charge-altering-6kiu</v>
      </c>
      <c r="N133" t="str">
        <f t="shared" si="7"/>
        <v>6kiu</v>
      </c>
      <c r="O133" s="2" t="s">
        <v>31</v>
      </c>
      <c r="P133" s="2" t="str">
        <f t="shared" si="8"/>
        <v>B-H75Q</v>
      </c>
    </row>
    <row r="134" spans="1:16">
      <c r="A134" s="1" t="s">
        <v>15</v>
      </c>
      <c r="B134" s="1" t="s">
        <v>16</v>
      </c>
      <c r="C134" s="1" t="s">
        <v>28</v>
      </c>
      <c r="D134" s="1">
        <v>59</v>
      </c>
      <c r="E134" s="1" t="s">
        <v>40</v>
      </c>
      <c r="F134" s="1" t="s">
        <v>29</v>
      </c>
      <c r="G134" s="1">
        <v>1.67</v>
      </c>
      <c r="H134" s="1" t="s">
        <v>20</v>
      </c>
      <c r="I134" t="s">
        <v>60</v>
      </c>
      <c r="J134" t="s">
        <v>51</v>
      </c>
      <c r="K134" t="s">
        <v>52</v>
      </c>
      <c r="L134" t="s">
        <v>24</v>
      </c>
      <c r="M134" t="str">
        <f t="shared" si="6"/>
        <v>charge-altering-6kiu</v>
      </c>
      <c r="N134" t="str">
        <f t="shared" si="7"/>
        <v>6kiu</v>
      </c>
      <c r="O134" s="2" t="s">
        <v>31</v>
      </c>
      <c r="P134" s="2" t="str">
        <f t="shared" si="8"/>
        <v>B-K59E</v>
      </c>
    </row>
    <row r="135" spans="1:16">
      <c r="A135" s="1" t="s">
        <v>15</v>
      </c>
      <c r="B135" s="1" t="s">
        <v>16</v>
      </c>
      <c r="C135" s="1" t="s">
        <v>28</v>
      </c>
      <c r="D135" s="1">
        <v>79</v>
      </c>
      <c r="E135" s="1" t="s">
        <v>40</v>
      </c>
      <c r="F135" s="1" t="s">
        <v>41</v>
      </c>
      <c r="G135" s="1">
        <v>1.34</v>
      </c>
      <c r="H135" s="1" t="s">
        <v>20</v>
      </c>
      <c r="I135" t="s">
        <v>42</v>
      </c>
      <c r="J135" t="s">
        <v>22</v>
      </c>
      <c r="K135" t="s">
        <v>23</v>
      </c>
      <c r="L135" t="s">
        <v>24</v>
      </c>
      <c r="M135" t="str">
        <f t="shared" si="6"/>
        <v>charge-altering-6kiu</v>
      </c>
      <c r="N135" t="str">
        <f t="shared" si="7"/>
        <v>6kiu</v>
      </c>
      <c r="O135" s="2" t="s">
        <v>31</v>
      </c>
      <c r="P135" s="2" t="str">
        <f t="shared" si="8"/>
        <v>B-K79N</v>
      </c>
    </row>
    <row r="136" spans="1:16">
      <c r="A136" s="1" t="s">
        <v>15</v>
      </c>
      <c r="B136" s="1" t="s">
        <v>16</v>
      </c>
      <c r="C136" s="1" t="s">
        <v>28</v>
      </c>
      <c r="D136" s="1">
        <v>91</v>
      </c>
      <c r="E136" s="1" t="s">
        <v>40</v>
      </c>
      <c r="F136" s="1" t="s">
        <v>41</v>
      </c>
      <c r="G136" s="1">
        <v>1.12</v>
      </c>
      <c r="H136" s="1" t="s">
        <v>20</v>
      </c>
      <c r="I136" t="s">
        <v>42</v>
      </c>
      <c r="J136" t="s">
        <v>22</v>
      </c>
      <c r="K136" t="s">
        <v>23</v>
      </c>
      <c r="L136" t="s">
        <v>24</v>
      </c>
      <c r="M136" t="str">
        <f t="shared" si="6"/>
        <v>charge-altering-6kiu</v>
      </c>
      <c r="N136" t="str">
        <f t="shared" si="7"/>
        <v>6kiu</v>
      </c>
      <c r="O136" s="2" t="s">
        <v>31</v>
      </c>
      <c r="P136" s="2" t="str">
        <f t="shared" si="8"/>
        <v>B-K91N</v>
      </c>
    </row>
    <row r="137" spans="1:16">
      <c r="A137" s="1" t="s">
        <v>15</v>
      </c>
      <c r="B137" s="1" t="s">
        <v>16</v>
      </c>
      <c r="C137" s="1" t="s">
        <v>28</v>
      </c>
      <c r="D137" s="1">
        <v>39</v>
      </c>
      <c r="E137" s="1" t="s">
        <v>43</v>
      </c>
      <c r="F137" s="1" t="s">
        <v>17</v>
      </c>
      <c r="G137" s="1">
        <v>1.84</v>
      </c>
      <c r="H137" s="1" t="s">
        <v>20</v>
      </c>
      <c r="I137" t="s">
        <v>42</v>
      </c>
      <c r="J137" t="s">
        <v>22</v>
      </c>
      <c r="K137" t="s">
        <v>23</v>
      </c>
      <c r="L137" t="s">
        <v>24</v>
      </c>
      <c r="M137" t="str">
        <f t="shared" si="6"/>
        <v>charge-altering-6kiu</v>
      </c>
      <c r="N137" t="str">
        <f t="shared" si="7"/>
        <v>6kiu</v>
      </c>
      <c r="O137" s="2" t="s">
        <v>31</v>
      </c>
      <c r="P137" s="2" t="str">
        <f t="shared" si="8"/>
        <v>B-R39C</v>
      </c>
    </row>
    <row r="138" spans="1:16">
      <c r="A138" s="1" t="s">
        <v>15</v>
      </c>
      <c r="B138" s="1" t="s">
        <v>16</v>
      </c>
      <c r="C138" s="1" t="s">
        <v>28</v>
      </c>
      <c r="D138" s="1">
        <v>39</v>
      </c>
      <c r="E138" s="1" t="s">
        <v>43</v>
      </c>
      <c r="F138" s="1" t="s">
        <v>19</v>
      </c>
      <c r="G138" s="1">
        <v>2.26</v>
      </c>
      <c r="H138" s="1" t="s">
        <v>20</v>
      </c>
      <c r="I138" t="s">
        <v>42</v>
      </c>
      <c r="J138" t="s">
        <v>22</v>
      </c>
      <c r="K138" t="s">
        <v>23</v>
      </c>
      <c r="L138" t="s">
        <v>24</v>
      </c>
      <c r="M138" t="str">
        <f t="shared" si="6"/>
        <v>charge-altering-6kiu</v>
      </c>
      <c r="N138" t="str">
        <f t="shared" si="7"/>
        <v>6kiu</v>
      </c>
      <c r="O138" s="2" t="s">
        <v>31</v>
      </c>
      <c r="P138" s="2" t="str">
        <f t="shared" si="8"/>
        <v>B-R39G</v>
      </c>
    </row>
    <row r="139" spans="1:16">
      <c r="A139" s="1" t="s">
        <v>15</v>
      </c>
      <c r="B139" s="1" t="s">
        <v>16</v>
      </c>
      <c r="C139" s="1" t="s">
        <v>28</v>
      </c>
      <c r="D139" s="1">
        <v>40</v>
      </c>
      <c r="E139" s="1" t="s">
        <v>43</v>
      </c>
      <c r="F139" s="1" t="s">
        <v>17</v>
      </c>
      <c r="G139" s="1">
        <v>1.93</v>
      </c>
      <c r="H139" s="1" t="s">
        <v>20</v>
      </c>
      <c r="I139" t="s">
        <v>42</v>
      </c>
      <c r="J139" t="s">
        <v>22</v>
      </c>
      <c r="K139" t="s">
        <v>23</v>
      </c>
      <c r="L139" t="s">
        <v>24</v>
      </c>
      <c r="M139" t="str">
        <f t="shared" si="6"/>
        <v>charge-altering-6kiu</v>
      </c>
      <c r="N139" t="str">
        <f t="shared" si="7"/>
        <v>6kiu</v>
      </c>
      <c r="O139" s="2" t="s">
        <v>31</v>
      </c>
      <c r="P139" s="2" t="str">
        <f t="shared" si="8"/>
        <v>B-R40C</v>
      </c>
    </row>
    <row r="140" spans="1:16">
      <c r="A140" s="1" t="s">
        <v>15</v>
      </c>
      <c r="B140" s="1" t="s">
        <v>16</v>
      </c>
      <c r="C140" s="1" t="s">
        <v>28</v>
      </c>
      <c r="D140" s="1">
        <v>45</v>
      </c>
      <c r="E140" s="1" t="s">
        <v>43</v>
      </c>
      <c r="F140" s="1" t="s">
        <v>30</v>
      </c>
      <c r="G140" s="1">
        <v>1.58</v>
      </c>
      <c r="H140" s="1" t="s">
        <v>20</v>
      </c>
      <c r="I140" t="s">
        <v>42</v>
      </c>
      <c r="J140" t="s">
        <v>22</v>
      </c>
      <c r="K140" t="s">
        <v>23</v>
      </c>
      <c r="L140" t="s">
        <v>24</v>
      </c>
      <c r="M140" t="str">
        <f t="shared" si="6"/>
        <v>charge-altering-6kiu</v>
      </c>
      <c r="N140" t="str">
        <f t="shared" si="7"/>
        <v>6kiu</v>
      </c>
      <c r="O140" s="2" t="s">
        <v>31</v>
      </c>
      <c r="P140" s="2" t="str">
        <f t="shared" si="8"/>
        <v>B-R45Q</v>
      </c>
    </row>
    <row r="141" spans="1:16">
      <c r="A141" s="1" t="s">
        <v>15</v>
      </c>
      <c r="B141" s="1" t="s">
        <v>16</v>
      </c>
      <c r="C141" s="1" t="s">
        <v>28</v>
      </c>
      <c r="D141" s="1">
        <v>67</v>
      </c>
      <c r="E141" s="1" t="s">
        <v>43</v>
      </c>
      <c r="F141" s="1" t="s">
        <v>58</v>
      </c>
      <c r="G141" s="1">
        <v>2.79</v>
      </c>
      <c r="H141" s="1" t="s">
        <v>20</v>
      </c>
      <c r="I141" t="s">
        <v>42</v>
      </c>
      <c r="J141" t="s">
        <v>22</v>
      </c>
      <c r="K141" t="s">
        <v>23</v>
      </c>
      <c r="L141" t="s">
        <v>24</v>
      </c>
      <c r="M141" t="str">
        <f t="shared" si="6"/>
        <v>charge-altering-6kiu</v>
      </c>
      <c r="N141" t="str">
        <f t="shared" si="7"/>
        <v>6kiu</v>
      </c>
      <c r="O141" s="2" t="s">
        <v>31</v>
      </c>
      <c r="P141" s="2" t="str">
        <f t="shared" si="8"/>
        <v>B-R67P</v>
      </c>
    </row>
    <row r="142" spans="1:16">
      <c r="A142" s="1" t="s">
        <v>15</v>
      </c>
      <c r="B142" s="1" t="s">
        <v>16</v>
      </c>
      <c r="C142" s="1" t="s">
        <v>28</v>
      </c>
      <c r="D142" s="1">
        <v>92</v>
      </c>
      <c r="E142" s="1" t="s">
        <v>43</v>
      </c>
      <c r="F142" s="1" t="s">
        <v>39</v>
      </c>
      <c r="G142" s="1">
        <v>1.15</v>
      </c>
      <c r="H142" s="1" t="s">
        <v>20</v>
      </c>
      <c r="I142" t="s">
        <v>42</v>
      </c>
      <c r="J142" t="s">
        <v>22</v>
      </c>
      <c r="K142" t="s">
        <v>23</v>
      </c>
      <c r="L142" t="s">
        <v>24</v>
      </c>
      <c r="M142" t="str">
        <f t="shared" si="6"/>
        <v>charge-altering-6kiu</v>
      </c>
      <c r="N142" t="str">
        <f t="shared" si="7"/>
        <v>6kiu</v>
      </c>
      <c r="O142" s="2" t="s">
        <v>31</v>
      </c>
      <c r="P142" s="2" t="str">
        <f t="shared" si="8"/>
        <v>B-R92L</v>
      </c>
    </row>
    <row r="143" spans="1:16">
      <c r="A143" s="1" t="s">
        <v>15</v>
      </c>
      <c r="B143" s="1" t="s">
        <v>16</v>
      </c>
      <c r="C143" s="1" t="s">
        <v>28</v>
      </c>
      <c r="D143" s="1">
        <v>92</v>
      </c>
      <c r="E143" s="1" t="s">
        <v>43</v>
      </c>
      <c r="F143" s="1" t="s">
        <v>47</v>
      </c>
      <c r="G143" s="1">
        <v>0.76</v>
      </c>
      <c r="H143" s="1" t="s">
        <v>20</v>
      </c>
      <c r="I143" t="s">
        <v>42</v>
      </c>
      <c r="J143" t="s">
        <v>22</v>
      </c>
      <c r="K143" t="s">
        <v>23</v>
      </c>
      <c r="L143" t="s">
        <v>24</v>
      </c>
      <c r="M143" t="str">
        <f t="shared" si="6"/>
        <v>charge-altering-6kiu</v>
      </c>
      <c r="N143" t="str">
        <f t="shared" si="7"/>
        <v>6kiu</v>
      </c>
      <c r="O143" s="2" t="s">
        <v>31</v>
      </c>
      <c r="P143" s="2" t="str">
        <f t="shared" si="8"/>
        <v>B-R92T</v>
      </c>
    </row>
    <row r="144" spans="1:16">
      <c r="A144" s="1" t="s">
        <v>15</v>
      </c>
      <c r="B144" s="1" t="s">
        <v>16</v>
      </c>
      <c r="C144" s="1" t="s">
        <v>28</v>
      </c>
      <c r="D144" s="1">
        <v>65</v>
      </c>
      <c r="E144" s="1" t="s">
        <v>61</v>
      </c>
      <c r="F144" s="1" t="s">
        <v>29</v>
      </c>
      <c r="G144" s="1">
        <v>0.33</v>
      </c>
      <c r="H144" s="1" t="s">
        <v>20</v>
      </c>
      <c r="I144" t="s">
        <v>53</v>
      </c>
      <c r="J144" t="s">
        <v>54</v>
      </c>
      <c r="K144" t="s">
        <v>55</v>
      </c>
      <c r="L144" t="s">
        <v>24</v>
      </c>
      <c r="M144" t="str">
        <f t="shared" si="6"/>
        <v>charge-altering-6kiu</v>
      </c>
      <c r="N144" t="str">
        <f t="shared" si="7"/>
        <v>6kiu</v>
      </c>
      <c r="O144" s="2" t="s">
        <v>31</v>
      </c>
      <c r="P144" s="2" t="str">
        <f t="shared" si="8"/>
        <v>B-V65E</v>
      </c>
    </row>
    <row r="145" spans="1:16">
      <c r="A145" s="1" t="s">
        <v>15</v>
      </c>
      <c r="B145" s="1" t="s">
        <v>16</v>
      </c>
      <c r="C145" s="1" t="s">
        <v>28</v>
      </c>
      <c r="D145" s="1">
        <v>98</v>
      </c>
      <c r="E145" s="1" t="s">
        <v>49</v>
      </c>
      <c r="F145" s="1" t="s">
        <v>18</v>
      </c>
      <c r="G145" s="1">
        <v>3.02</v>
      </c>
      <c r="H145" s="1" t="s">
        <v>20</v>
      </c>
      <c r="I145" t="s">
        <v>53</v>
      </c>
      <c r="J145" t="s">
        <v>54</v>
      </c>
      <c r="K145" t="s">
        <v>55</v>
      </c>
      <c r="L145" t="s">
        <v>24</v>
      </c>
      <c r="M145" t="str">
        <f t="shared" si="6"/>
        <v>charge-altering-6kiu</v>
      </c>
      <c r="N145" t="str">
        <f t="shared" si="7"/>
        <v>6kiu</v>
      </c>
      <c r="O145" s="2" t="s">
        <v>31</v>
      </c>
      <c r="P145" s="2" t="str">
        <f t="shared" si="8"/>
        <v>B-Y98D</v>
      </c>
    </row>
    <row r="146" spans="1:16">
      <c r="A146" s="1" t="s">
        <v>15</v>
      </c>
      <c r="B146" s="1" t="s">
        <v>16</v>
      </c>
      <c r="C146" s="1" t="s">
        <v>33</v>
      </c>
      <c r="D146" s="1">
        <v>24</v>
      </c>
      <c r="E146" s="1" t="s">
        <v>18</v>
      </c>
      <c r="F146" s="1" t="s">
        <v>19</v>
      </c>
      <c r="G146" s="1">
        <v>1.05</v>
      </c>
      <c r="H146" s="1" t="s">
        <v>20</v>
      </c>
      <c r="I146" t="s">
        <v>21</v>
      </c>
      <c r="J146" t="s">
        <v>22</v>
      </c>
      <c r="K146" t="s">
        <v>23</v>
      </c>
      <c r="L146" t="s">
        <v>24</v>
      </c>
      <c r="M146" t="str">
        <f t="shared" si="6"/>
        <v>charge-altering-6kiu</v>
      </c>
      <c r="N146" t="str">
        <f t="shared" si="7"/>
        <v>6kiu</v>
      </c>
      <c r="O146" s="2" t="s">
        <v>31</v>
      </c>
      <c r="P146" s="2" t="str">
        <f t="shared" si="8"/>
        <v>F-D24G</v>
      </c>
    </row>
    <row r="147" spans="1:16">
      <c r="A147" s="1" t="s">
        <v>15</v>
      </c>
      <c r="B147" s="1" t="s">
        <v>16</v>
      </c>
      <c r="C147" s="1" t="s">
        <v>33</v>
      </c>
      <c r="D147" s="1">
        <v>68</v>
      </c>
      <c r="E147" s="1" t="s">
        <v>18</v>
      </c>
      <c r="F147" s="1" t="s">
        <v>56</v>
      </c>
      <c r="G147" s="1">
        <v>0.7</v>
      </c>
      <c r="H147" s="1" t="s">
        <v>20</v>
      </c>
      <c r="I147" t="s">
        <v>50</v>
      </c>
      <c r="J147" t="s">
        <v>51</v>
      </c>
      <c r="K147" t="s">
        <v>52</v>
      </c>
      <c r="L147" t="s">
        <v>24</v>
      </c>
      <c r="M147" t="str">
        <f t="shared" si="6"/>
        <v>charge-altering-6kiu</v>
      </c>
      <c r="N147" t="str">
        <f t="shared" si="7"/>
        <v>6kiu</v>
      </c>
      <c r="O147" s="2" t="s">
        <v>31</v>
      </c>
      <c r="P147" s="2" t="str">
        <f t="shared" si="8"/>
        <v>F-D68H</v>
      </c>
    </row>
    <row r="148" spans="1:16">
      <c r="A148" s="1" t="s">
        <v>15</v>
      </c>
      <c r="B148" s="1" t="s">
        <v>16</v>
      </c>
      <c r="C148" s="1" t="s">
        <v>33</v>
      </c>
      <c r="D148" s="1">
        <v>68</v>
      </c>
      <c r="E148" s="1" t="s">
        <v>18</v>
      </c>
      <c r="F148" s="1" t="s">
        <v>41</v>
      </c>
      <c r="G148" s="1">
        <v>1.07</v>
      </c>
      <c r="H148" s="1" t="s">
        <v>20</v>
      </c>
      <c r="I148" t="s">
        <v>21</v>
      </c>
      <c r="J148" t="s">
        <v>22</v>
      </c>
      <c r="K148" t="s">
        <v>23</v>
      </c>
      <c r="L148" t="s">
        <v>24</v>
      </c>
      <c r="M148" t="str">
        <f t="shared" si="6"/>
        <v>charge-altering-6kiu</v>
      </c>
      <c r="N148" t="str">
        <f t="shared" si="7"/>
        <v>6kiu</v>
      </c>
      <c r="O148" s="2" t="s">
        <v>31</v>
      </c>
      <c r="P148" s="2" t="str">
        <f t="shared" si="8"/>
        <v>F-D68N</v>
      </c>
    </row>
    <row r="149" spans="1:16">
      <c r="A149" s="1" t="s">
        <v>15</v>
      </c>
      <c r="B149" s="1" t="s">
        <v>16</v>
      </c>
      <c r="C149" s="1" t="s">
        <v>33</v>
      </c>
      <c r="D149" s="1">
        <v>68</v>
      </c>
      <c r="E149" s="1" t="s">
        <v>18</v>
      </c>
      <c r="F149" s="1" t="s">
        <v>49</v>
      </c>
      <c r="G149" s="1">
        <v>0.65</v>
      </c>
      <c r="H149" s="1" t="s">
        <v>20</v>
      </c>
      <c r="I149" t="s">
        <v>21</v>
      </c>
      <c r="J149" t="s">
        <v>22</v>
      </c>
      <c r="K149" t="s">
        <v>23</v>
      </c>
      <c r="L149" t="s">
        <v>24</v>
      </c>
      <c r="M149" t="str">
        <f t="shared" si="6"/>
        <v>charge-altering-6kiu</v>
      </c>
      <c r="N149" t="str">
        <f t="shared" si="7"/>
        <v>6kiu</v>
      </c>
      <c r="O149" s="2" t="s">
        <v>31</v>
      </c>
      <c r="P149" s="2" t="str">
        <f t="shared" si="8"/>
        <v>F-D68Y</v>
      </c>
    </row>
    <row r="150" spans="1:16">
      <c r="A150" s="1" t="s">
        <v>15</v>
      </c>
      <c r="B150" s="1" t="s">
        <v>16</v>
      </c>
      <c r="C150" s="1" t="s">
        <v>33</v>
      </c>
      <c r="D150" s="1">
        <v>53</v>
      </c>
      <c r="E150" s="1" t="s">
        <v>29</v>
      </c>
      <c r="F150" s="1" t="s">
        <v>40</v>
      </c>
      <c r="G150" s="1">
        <v>1.18</v>
      </c>
      <c r="H150" s="1" t="s">
        <v>20</v>
      </c>
      <c r="I150" t="s">
        <v>50</v>
      </c>
      <c r="J150" t="s">
        <v>51</v>
      </c>
      <c r="K150" t="s">
        <v>52</v>
      </c>
      <c r="L150" t="s">
        <v>24</v>
      </c>
      <c r="M150" t="str">
        <f t="shared" si="6"/>
        <v>charge-altering-6kiu</v>
      </c>
      <c r="N150" t="str">
        <f t="shared" si="7"/>
        <v>6kiu</v>
      </c>
      <c r="O150" s="2" t="s">
        <v>31</v>
      </c>
      <c r="P150" s="2" t="str">
        <f t="shared" si="8"/>
        <v>F-E53K</v>
      </c>
    </row>
    <row r="151" spans="1:16">
      <c r="A151" s="1" t="s">
        <v>15</v>
      </c>
      <c r="B151" s="1" t="s">
        <v>16</v>
      </c>
      <c r="C151" s="1" t="s">
        <v>33</v>
      </c>
      <c r="D151" s="1">
        <v>63</v>
      </c>
      <c r="E151" s="1" t="s">
        <v>29</v>
      </c>
      <c r="F151" s="1" t="s">
        <v>30</v>
      </c>
      <c r="G151" s="1">
        <v>1.46</v>
      </c>
      <c r="H151" s="1" t="s">
        <v>20</v>
      </c>
      <c r="I151" t="s">
        <v>21</v>
      </c>
      <c r="J151" t="s">
        <v>22</v>
      </c>
      <c r="K151" t="s">
        <v>23</v>
      </c>
      <c r="L151" t="s">
        <v>24</v>
      </c>
      <c r="M151" t="str">
        <f t="shared" si="6"/>
        <v>charge-altering-6kiu</v>
      </c>
      <c r="N151" t="str">
        <f t="shared" si="7"/>
        <v>6kiu</v>
      </c>
      <c r="O151" s="2" t="s">
        <v>31</v>
      </c>
      <c r="P151" s="2" t="str">
        <f t="shared" si="8"/>
        <v>F-E63Q</v>
      </c>
    </row>
    <row r="152" spans="1:16">
      <c r="A152" s="1" t="s">
        <v>15</v>
      </c>
      <c r="B152" s="1" t="s">
        <v>16</v>
      </c>
      <c r="C152" s="1" t="s">
        <v>33</v>
      </c>
      <c r="D152" s="1">
        <v>74</v>
      </c>
      <c r="E152" s="1" t="s">
        <v>29</v>
      </c>
      <c r="F152" s="1" t="s">
        <v>30</v>
      </c>
      <c r="G152" s="1">
        <v>1.24</v>
      </c>
      <c r="H152" s="1" t="s">
        <v>20</v>
      </c>
      <c r="I152" t="s">
        <v>21</v>
      </c>
      <c r="J152" t="s">
        <v>22</v>
      </c>
      <c r="K152" t="s">
        <v>23</v>
      </c>
      <c r="L152" t="s">
        <v>24</v>
      </c>
      <c r="M152" t="str">
        <f t="shared" si="6"/>
        <v>charge-altering-6kiu</v>
      </c>
      <c r="N152" t="str">
        <f t="shared" si="7"/>
        <v>6kiu</v>
      </c>
      <c r="O152" s="2" t="s">
        <v>31</v>
      </c>
      <c r="P152" s="2" t="str">
        <f t="shared" si="8"/>
        <v>F-E74Q</v>
      </c>
    </row>
    <row r="153" spans="1:16">
      <c r="A153" s="1" t="s">
        <v>15</v>
      </c>
      <c r="B153" s="1" t="s">
        <v>16</v>
      </c>
      <c r="C153" s="1" t="s">
        <v>33</v>
      </c>
      <c r="D153" s="1">
        <v>101</v>
      </c>
      <c r="E153" s="1" t="s">
        <v>19</v>
      </c>
      <c r="F153" s="1" t="s">
        <v>18</v>
      </c>
      <c r="G153" s="1">
        <v>0.49</v>
      </c>
      <c r="H153" s="1" t="s">
        <v>20</v>
      </c>
      <c r="I153" t="s">
        <v>53</v>
      </c>
      <c r="J153" t="s">
        <v>54</v>
      </c>
      <c r="K153" t="s">
        <v>55</v>
      </c>
      <c r="L153" t="s">
        <v>24</v>
      </c>
      <c r="M153" t="str">
        <f t="shared" si="6"/>
        <v>charge-altering-6kiu</v>
      </c>
      <c r="N153" t="str">
        <f t="shared" si="7"/>
        <v>6kiu</v>
      </c>
      <c r="O153" s="2" t="s">
        <v>31</v>
      </c>
      <c r="P153" s="2" t="str">
        <f t="shared" si="8"/>
        <v>F-G101D</v>
      </c>
    </row>
    <row r="154" spans="1:16">
      <c r="A154" s="1" t="s">
        <v>15</v>
      </c>
      <c r="B154" s="1" t="s">
        <v>16</v>
      </c>
      <c r="C154" s="1" t="s">
        <v>33</v>
      </c>
      <c r="D154" s="1">
        <v>94</v>
      </c>
      <c r="E154" s="1" t="s">
        <v>19</v>
      </c>
      <c r="F154" s="1" t="s">
        <v>29</v>
      </c>
      <c r="G154" s="1">
        <v>0.71</v>
      </c>
      <c r="H154" s="1" t="s">
        <v>20</v>
      </c>
      <c r="I154" t="s">
        <v>53</v>
      </c>
      <c r="J154" t="s">
        <v>54</v>
      </c>
      <c r="K154" t="s">
        <v>55</v>
      </c>
      <c r="L154" t="s">
        <v>24</v>
      </c>
      <c r="M154" t="str">
        <f t="shared" si="6"/>
        <v>charge-altering-6kiu</v>
      </c>
      <c r="N154" t="str">
        <f t="shared" si="7"/>
        <v>6kiu</v>
      </c>
      <c r="O154" s="2" t="s">
        <v>31</v>
      </c>
      <c r="P154" s="2" t="str">
        <f t="shared" si="8"/>
        <v>F-G94E</v>
      </c>
    </row>
    <row r="155" spans="1:16">
      <c r="A155" s="1" t="s">
        <v>15</v>
      </c>
      <c r="B155" s="1" t="s">
        <v>16</v>
      </c>
      <c r="C155" s="1" t="s">
        <v>33</v>
      </c>
      <c r="D155" s="1">
        <v>99</v>
      </c>
      <c r="E155" s="1" t="s">
        <v>19</v>
      </c>
      <c r="F155" s="1" t="s">
        <v>18</v>
      </c>
      <c r="G155" s="1">
        <v>0.69</v>
      </c>
      <c r="H155" s="1" t="s">
        <v>20</v>
      </c>
      <c r="I155" t="s">
        <v>53</v>
      </c>
      <c r="J155" t="s">
        <v>54</v>
      </c>
      <c r="K155" t="s">
        <v>55</v>
      </c>
      <c r="L155" t="s">
        <v>24</v>
      </c>
      <c r="M155" t="str">
        <f t="shared" si="6"/>
        <v>charge-altering-6kiu</v>
      </c>
      <c r="N155" t="str">
        <f t="shared" si="7"/>
        <v>6kiu</v>
      </c>
      <c r="O155" s="2" t="s">
        <v>31</v>
      </c>
      <c r="P155" s="2" t="str">
        <f t="shared" si="8"/>
        <v>F-G99D</v>
      </c>
    </row>
    <row r="156" spans="1:16">
      <c r="A156" s="1" t="s">
        <v>15</v>
      </c>
      <c r="B156" s="1" t="s">
        <v>16</v>
      </c>
      <c r="C156" s="1" t="s">
        <v>33</v>
      </c>
      <c r="D156" s="1">
        <v>75</v>
      </c>
      <c r="E156" s="1" t="s">
        <v>56</v>
      </c>
      <c r="F156" s="1" t="s">
        <v>30</v>
      </c>
      <c r="G156" s="1">
        <v>0.93</v>
      </c>
      <c r="H156" s="1" t="s">
        <v>20</v>
      </c>
      <c r="I156" t="s">
        <v>42</v>
      </c>
      <c r="J156" t="s">
        <v>22</v>
      </c>
      <c r="K156" t="s">
        <v>23</v>
      </c>
      <c r="L156" t="s">
        <v>24</v>
      </c>
      <c r="M156" t="str">
        <f t="shared" si="6"/>
        <v>charge-altering-6kiu</v>
      </c>
      <c r="N156" t="str">
        <f t="shared" si="7"/>
        <v>6kiu</v>
      </c>
      <c r="O156" s="2" t="s">
        <v>31</v>
      </c>
      <c r="P156" s="2" t="str">
        <f t="shared" si="8"/>
        <v>F-H75Q</v>
      </c>
    </row>
    <row r="157" spans="1:16">
      <c r="A157" s="1" t="s">
        <v>15</v>
      </c>
      <c r="B157" s="1" t="s">
        <v>16</v>
      </c>
      <c r="C157" s="1" t="s">
        <v>33</v>
      </c>
      <c r="D157" s="1">
        <v>59</v>
      </c>
      <c r="E157" s="1" t="s">
        <v>40</v>
      </c>
      <c r="F157" s="1" t="s">
        <v>29</v>
      </c>
      <c r="G157" s="1">
        <v>1.67</v>
      </c>
      <c r="H157" s="1" t="s">
        <v>20</v>
      </c>
      <c r="I157" t="s">
        <v>60</v>
      </c>
      <c r="J157" t="s">
        <v>51</v>
      </c>
      <c r="K157" t="s">
        <v>52</v>
      </c>
      <c r="L157" t="s">
        <v>24</v>
      </c>
      <c r="M157" t="str">
        <f t="shared" si="6"/>
        <v>charge-altering-6kiu</v>
      </c>
      <c r="N157" t="str">
        <f t="shared" si="7"/>
        <v>6kiu</v>
      </c>
      <c r="O157" s="2" t="s">
        <v>31</v>
      </c>
      <c r="P157" s="2" t="str">
        <f t="shared" si="8"/>
        <v>F-K59E</v>
      </c>
    </row>
    <row r="158" spans="1:16">
      <c r="A158" s="1" t="s">
        <v>15</v>
      </c>
      <c r="B158" s="1" t="s">
        <v>16</v>
      </c>
      <c r="C158" s="1" t="s">
        <v>33</v>
      </c>
      <c r="D158" s="1">
        <v>79</v>
      </c>
      <c r="E158" s="1" t="s">
        <v>40</v>
      </c>
      <c r="F158" s="1" t="s">
        <v>41</v>
      </c>
      <c r="G158" s="1">
        <v>1.34</v>
      </c>
      <c r="H158" s="1" t="s">
        <v>20</v>
      </c>
      <c r="I158" t="s">
        <v>42</v>
      </c>
      <c r="J158" t="s">
        <v>22</v>
      </c>
      <c r="K158" t="s">
        <v>23</v>
      </c>
      <c r="L158" t="s">
        <v>24</v>
      </c>
      <c r="M158" t="str">
        <f t="shared" si="6"/>
        <v>charge-altering-6kiu</v>
      </c>
      <c r="N158" t="str">
        <f t="shared" si="7"/>
        <v>6kiu</v>
      </c>
      <c r="O158" s="2" t="s">
        <v>31</v>
      </c>
      <c r="P158" s="2" t="str">
        <f t="shared" si="8"/>
        <v>F-K79N</v>
      </c>
    </row>
    <row r="159" spans="1:16">
      <c r="A159" s="1" t="s">
        <v>15</v>
      </c>
      <c r="B159" s="1" t="s">
        <v>16</v>
      </c>
      <c r="C159" s="1" t="s">
        <v>33</v>
      </c>
      <c r="D159" s="1">
        <v>91</v>
      </c>
      <c r="E159" s="1" t="s">
        <v>40</v>
      </c>
      <c r="F159" s="1" t="s">
        <v>41</v>
      </c>
      <c r="G159" s="1">
        <v>1.12</v>
      </c>
      <c r="H159" s="1" t="s">
        <v>20</v>
      </c>
      <c r="I159" t="s">
        <v>42</v>
      </c>
      <c r="J159" t="s">
        <v>22</v>
      </c>
      <c r="K159" t="s">
        <v>23</v>
      </c>
      <c r="L159" t="s">
        <v>24</v>
      </c>
      <c r="M159" t="str">
        <f t="shared" si="6"/>
        <v>charge-altering-6kiu</v>
      </c>
      <c r="N159" t="str">
        <f t="shared" si="7"/>
        <v>6kiu</v>
      </c>
      <c r="O159" s="2" t="s">
        <v>31</v>
      </c>
      <c r="P159" s="2" t="str">
        <f t="shared" si="8"/>
        <v>F-K91N</v>
      </c>
    </row>
    <row r="160" spans="1:16">
      <c r="A160" s="1" t="s">
        <v>15</v>
      </c>
      <c r="B160" s="1" t="s">
        <v>16</v>
      </c>
      <c r="C160" s="1" t="s">
        <v>33</v>
      </c>
      <c r="D160" s="1">
        <v>39</v>
      </c>
      <c r="E160" s="1" t="s">
        <v>43</v>
      </c>
      <c r="F160" s="1" t="s">
        <v>17</v>
      </c>
      <c r="G160" s="1">
        <v>1.75</v>
      </c>
      <c r="H160" s="1" t="s">
        <v>20</v>
      </c>
      <c r="I160" t="s">
        <v>42</v>
      </c>
      <c r="J160" t="s">
        <v>22</v>
      </c>
      <c r="K160" t="s">
        <v>23</v>
      </c>
      <c r="L160" t="s">
        <v>24</v>
      </c>
      <c r="M160" t="str">
        <f t="shared" si="6"/>
        <v>charge-altering-6kiu</v>
      </c>
      <c r="N160" t="str">
        <f t="shared" si="7"/>
        <v>6kiu</v>
      </c>
      <c r="O160" s="2" t="s">
        <v>31</v>
      </c>
      <c r="P160" s="2" t="str">
        <f t="shared" si="8"/>
        <v>F-R39C</v>
      </c>
    </row>
    <row r="161" spans="1:16">
      <c r="A161" s="1" t="s">
        <v>15</v>
      </c>
      <c r="B161" s="1" t="s">
        <v>16</v>
      </c>
      <c r="C161" s="1" t="s">
        <v>33</v>
      </c>
      <c r="D161" s="1">
        <v>39</v>
      </c>
      <c r="E161" s="1" t="s">
        <v>43</v>
      </c>
      <c r="F161" s="1" t="s">
        <v>19</v>
      </c>
      <c r="G161" s="1">
        <v>2.25</v>
      </c>
      <c r="H161" s="1" t="s">
        <v>20</v>
      </c>
      <c r="I161" t="s">
        <v>42</v>
      </c>
      <c r="J161" t="s">
        <v>22</v>
      </c>
      <c r="K161" t="s">
        <v>23</v>
      </c>
      <c r="L161" t="s">
        <v>24</v>
      </c>
      <c r="M161" t="str">
        <f t="shared" si="6"/>
        <v>charge-altering-6kiu</v>
      </c>
      <c r="N161" t="str">
        <f t="shared" si="7"/>
        <v>6kiu</v>
      </c>
      <c r="O161" s="2" t="s">
        <v>31</v>
      </c>
      <c r="P161" s="2" t="str">
        <f t="shared" si="8"/>
        <v>F-R39G</v>
      </c>
    </row>
    <row r="162" spans="1:16">
      <c r="A162" s="1" t="s">
        <v>15</v>
      </c>
      <c r="B162" s="1" t="s">
        <v>16</v>
      </c>
      <c r="C162" s="1" t="s">
        <v>33</v>
      </c>
      <c r="D162" s="1">
        <v>40</v>
      </c>
      <c r="E162" s="1" t="s">
        <v>43</v>
      </c>
      <c r="F162" s="1" t="s">
        <v>17</v>
      </c>
      <c r="G162" s="1">
        <v>2.09</v>
      </c>
      <c r="H162" s="1" t="s">
        <v>20</v>
      </c>
      <c r="I162" t="s">
        <v>42</v>
      </c>
      <c r="J162" t="s">
        <v>22</v>
      </c>
      <c r="K162" t="s">
        <v>23</v>
      </c>
      <c r="L162" t="s">
        <v>24</v>
      </c>
      <c r="M162" t="str">
        <f t="shared" si="6"/>
        <v>charge-altering-6kiu</v>
      </c>
      <c r="N162" t="str">
        <f t="shared" si="7"/>
        <v>6kiu</v>
      </c>
      <c r="O162" s="2" t="s">
        <v>31</v>
      </c>
      <c r="P162" s="2" t="str">
        <f t="shared" si="8"/>
        <v>F-R40C</v>
      </c>
    </row>
    <row r="163" spans="1:16">
      <c r="A163" s="1" t="s">
        <v>15</v>
      </c>
      <c r="B163" s="1" t="s">
        <v>16</v>
      </c>
      <c r="C163" s="1" t="s">
        <v>33</v>
      </c>
      <c r="D163" s="1">
        <v>45</v>
      </c>
      <c r="E163" s="1" t="s">
        <v>43</v>
      </c>
      <c r="F163" s="1" t="s">
        <v>30</v>
      </c>
      <c r="G163" s="1">
        <v>1.65</v>
      </c>
      <c r="H163" s="1" t="s">
        <v>20</v>
      </c>
      <c r="I163" t="s">
        <v>42</v>
      </c>
      <c r="J163" t="s">
        <v>22</v>
      </c>
      <c r="K163" t="s">
        <v>23</v>
      </c>
      <c r="L163" t="s">
        <v>24</v>
      </c>
      <c r="M163" t="str">
        <f t="shared" si="6"/>
        <v>charge-altering-6kiu</v>
      </c>
      <c r="N163" t="str">
        <f t="shared" si="7"/>
        <v>6kiu</v>
      </c>
      <c r="O163" s="2" t="s">
        <v>31</v>
      </c>
      <c r="P163" s="2" t="str">
        <f t="shared" si="8"/>
        <v>F-R45Q</v>
      </c>
    </row>
    <row r="164" spans="1:16">
      <c r="A164" s="1" t="s">
        <v>15</v>
      </c>
      <c r="B164" s="1" t="s">
        <v>16</v>
      </c>
      <c r="C164" s="1" t="s">
        <v>33</v>
      </c>
      <c r="D164" s="1">
        <v>67</v>
      </c>
      <c r="E164" s="1" t="s">
        <v>43</v>
      </c>
      <c r="F164" s="1" t="s">
        <v>58</v>
      </c>
      <c r="G164" s="1">
        <v>2.79</v>
      </c>
      <c r="H164" s="1" t="s">
        <v>20</v>
      </c>
      <c r="I164" t="s">
        <v>42</v>
      </c>
      <c r="J164" t="s">
        <v>22</v>
      </c>
      <c r="K164" t="s">
        <v>23</v>
      </c>
      <c r="L164" t="s">
        <v>24</v>
      </c>
      <c r="M164" t="str">
        <f t="shared" si="6"/>
        <v>charge-altering-6kiu</v>
      </c>
      <c r="N164" t="str">
        <f t="shared" si="7"/>
        <v>6kiu</v>
      </c>
      <c r="O164" s="2" t="s">
        <v>31</v>
      </c>
      <c r="P164" s="2" t="str">
        <f t="shared" si="8"/>
        <v>F-R67P</v>
      </c>
    </row>
    <row r="165" spans="1:16">
      <c r="A165" s="1" t="s">
        <v>15</v>
      </c>
      <c r="B165" s="1" t="s">
        <v>16</v>
      </c>
      <c r="C165" s="1" t="s">
        <v>33</v>
      </c>
      <c r="D165" s="1">
        <v>92</v>
      </c>
      <c r="E165" s="1" t="s">
        <v>43</v>
      </c>
      <c r="F165" s="1" t="s">
        <v>39</v>
      </c>
      <c r="G165" s="1">
        <v>1.15</v>
      </c>
      <c r="H165" s="1" t="s">
        <v>20</v>
      </c>
      <c r="I165" t="s">
        <v>42</v>
      </c>
      <c r="J165" t="s">
        <v>22</v>
      </c>
      <c r="K165" t="s">
        <v>23</v>
      </c>
      <c r="L165" t="s">
        <v>24</v>
      </c>
      <c r="M165" t="str">
        <f t="shared" si="6"/>
        <v>charge-altering-6kiu</v>
      </c>
      <c r="N165" t="str">
        <f t="shared" si="7"/>
        <v>6kiu</v>
      </c>
      <c r="O165" s="2" t="s">
        <v>31</v>
      </c>
      <c r="P165" s="2" t="str">
        <f t="shared" si="8"/>
        <v>F-R92L</v>
      </c>
    </row>
    <row r="166" spans="1:16">
      <c r="A166" s="1" t="s">
        <v>15</v>
      </c>
      <c r="B166" s="1" t="s">
        <v>16</v>
      </c>
      <c r="C166" s="1" t="s">
        <v>33</v>
      </c>
      <c r="D166" s="1">
        <v>92</v>
      </c>
      <c r="E166" s="1" t="s">
        <v>43</v>
      </c>
      <c r="F166" s="1" t="s">
        <v>47</v>
      </c>
      <c r="G166" s="1">
        <v>0.76</v>
      </c>
      <c r="H166" s="1" t="s">
        <v>20</v>
      </c>
      <c r="I166" t="s">
        <v>42</v>
      </c>
      <c r="J166" t="s">
        <v>22</v>
      </c>
      <c r="K166" t="s">
        <v>23</v>
      </c>
      <c r="L166" t="s">
        <v>24</v>
      </c>
      <c r="M166" t="str">
        <f t="shared" si="6"/>
        <v>charge-altering-6kiu</v>
      </c>
      <c r="N166" t="str">
        <f t="shared" si="7"/>
        <v>6kiu</v>
      </c>
      <c r="O166" s="2" t="s">
        <v>31</v>
      </c>
      <c r="P166" s="2" t="str">
        <f t="shared" si="8"/>
        <v>F-R92T</v>
      </c>
    </row>
    <row r="167" spans="1:16">
      <c r="A167" s="1" t="s">
        <v>15</v>
      </c>
      <c r="B167" s="1" t="s">
        <v>16</v>
      </c>
      <c r="C167" s="1" t="s">
        <v>33</v>
      </c>
      <c r="D167" s="1">
        <v>65</v>
      </c>
      <c r="E167" s="1" t="s">
        <v>61</v>
      </c>
      <c r="F167" s="1" t="s">
        <v>29</v>
      </c>
      <c r="G167" s="1">
        <v>0.23</v>
      </c>
      <c r="H167" s="1" t="s">
        <v>20</v>
      </c>
      <c r="I167" t="s">
        <v>53</v>
      </c>
      <c r="J167" t="s">
        <v>54</v>
      </c>
      <c r="K167" t="s">
        <v>55</v>
      </c>
      <c r="L167" t="s">
        <v>24</v>
      </c>
      <c r="M167" t="str">
        <f t="shared" si="6"/>
        <v>charge-altering-6kiu</v>
      </c>
      <c r="N167" t="str">
        <f t="shared" si="7"/>
        <v>6kiu</v>
      </c>
      <c r="O167" s="2" t="s">
        <v>31</v>
      </c>
      <c r="P167" s="2" t="str">
        <f t="shared" si="8"/>
        <v>F-V65E</v>
      </c>
    </row>
    <row r="168" spans="1:16">
      <c r="A168" s="1" t="s">
        <v>15</v>
      </c>
      <c r="B168" s="1" t="s">
        <v>16</v>
      </c>
      <c r="C168" s="1" t="s">
        <v>33</v>
      </c>
      <c r="D168" s="1">
        <v>98</v>
      </c>
      <c r="E168" s="1" t="s">
        <v>49</v>
      </c>
      <c r="F168" s="1" t="s">
        <v>18</v>
      </c>
      <c r="G168" s="1">
        <v>3.19</v>
      </c>
      <c r="H168" s="1" t="s">
        <v>20</v>
      </c>
      <c r="I168" t="s">
        <v>53</v>
      </c>
      <c r="J168" t="s">
        <v>54</v>
      </c>
      <c r="K168" t="s">
        <v>55</v>
      </c>
      <c r="L168" t="s">
        <v>24</v>
      </c>
      <c r="M168" t="str">
        <f t="shared" si="6"/>
        <v>charge-altering-6kiu</v>
      </c>
      <c r="N168" t="str">
        <f t="shared" si="7"/>
        <v>6kiu</v>
      </c>
      <c r="O168" s="2" t="s">
        <v>31</v>
      </c>
      <c r="P168" s="2" t="str">
        <f t="shared" si="8"/>
        <v>F-Y98D</v>
      </c>
    </row>
    <row r="169" spans="1:16">
      <c r="A169" s="1" t="s">
        <v>26</v>
      </c>
      <c r="B169" s="1" t="s">
        <v>27</v>
      </c>
      <c r="C169" s="1" t="s">
        <v>17</v>
      </c>
      <c r="D169" s="1">
        <v>56</v>
      </c>
      <c r="E169" s="1" t="s">
        <v>29</v>
      </c>
      <c r="F169" s="1" t="s">
        <v>30</v>
      </c>
      <c r="G169" s="1">
        <v>1.42</v>
      </c>
      <c r="H169" s="1" t="s">
        <v>20</v>
      </c>
      <c r="I169" t="s">
        <v>21</v>
      </c>
      <c r="J169" t="s">
        <v>22</v>
      </c>
      <c r="K169" t="s">
        <v>23</v>
      </c>
      <c r="L169" t="s">
        <v>24</v>
      </c>
      <c r="M169" t="str">
        <f t="shared" si="6"/>
        <v>charge-altering-6kiw</v>
      </c>
      <c r="N169" t="str">
        <f t="shared" si="7"/>
        <v>6kiw</v>
      </c>
      <c r="O169" s="2" t="s">
        <v>25</v>
      </c>
      <c r="P169" s="2" t="str">
        <f t="shared" si="8"/>
        <v>C-E56Q</v>
      </c>
    </row>
    <row r="170" spans="1:16">
      <c r="A170" s="1" t="s">
        <v>26</v>
      </c>
      <c r="B170" s="1" t="s">
        <v>27</v>
      </c>
      <c r="C170" s="1" t="s">
        <v>17</v>
      </c>
      <c r="D170" s="1">
        <v>61</v>
      </c>
      <c r="E170" s="1" t="s">
        <v>29</v>
      </c>
      <c r="F170" s="1" t="s">
        <v>40</v>
      </c>
      <c r="G170" s="1">
        <v>0.75</v>
      </c>
      <c r="H170" s="1" t="s">
        <v>20</v>
      </c>
      <c r="I170" t="s">
        <v>50</v>
      </c>
      <c r="J170" t="s">
        <v>51</v>
      </c>
      <c r="K170" t="s">
        <v>52</v>
      </c>
      <c r="L170" t="s">
        <v>24</v>
      </c>
      <c r="M170" t="str">
        <f t="shared" si="6"/>
        <v>charge-altering-6kiw</v>
      </c>
      <c r="N170" t="str">
        <f t="shared" si="7"/>
        <v>6kiw</v>
      </c>
      <c r="O170" s="2" t="s">
        <v>25</v>
      </c>
      <c r="P170" s="2" t="str">
        <f t="shared" si="8"/>
        <v>C-E61K</v>
      </c>
    </row>
    <row r="171" spans="1:16">
      <c r="A171" s="1" t="s">
        <v>26</v>
      </c>
      <c r="B171" s="1" t="s">
        <v>27</v>
      </c>
      <c r="C171" s="1" t="s">
        <v>17</v>
      </c>
      <c r="D171" s="1">
        <v>92</v>
      </c>
      <c r="E171" s="1" t="s">
        <v>29</v>
      </c>
      <c r="F171" s="1" t="s">
        <v>40</v>
      </c>
      <c r="G171" s="1">
        <v>1.41</v>
      </c>
      <c r="H171" s="1" t="s">
        <v>20</v>
      </c>
      <c r="I171" t="s">
        <v>50</v>
      </c>
      <c r="J171" t="s">
        <v>51</v>
      </c>
      <c r="K171" t="s">
        <v>52</v>
      </c>
      <c r="L171" t="s">
        <v>24</v>
      </c>
      <c r="M171" t="str">
        <f t="shared" si="6"/>
        <v>charge-altering-6kiw</v>
      </c>
      <c r="N171" t="str">
        <f t="shared" si="7"/>
        <v>6kiw</v>
      </c>
      <c r="O171" s="2" t="s">
        <v>25</v>
      </c>
      <c r="P171" s="2" t="str">
        <f t="shared" si="8"/>
        <v>C-E92K</v>
      </c>
    </row>
    <row r="172" spans="1:16">
      <c r="A172" s="1" t="s">
        <v>26</v>
      </c>
      <c r="B172" s="1" t="s">
        <v>27</v>
      </c>
      <c r="C172" s="1" t="s">
        <v>17</v>
      </c>
      <c r="D172" s="1">
        <v>106</v>
      </c>
      <c r="E172" s="1" t="s">
        <v>19</v>
      </c>
      <c r="F172" s="1" t="s">
        <v>18</v>
      </c>
      <c r="G172" s="1">
        <v>0.64</v>
      </c>
      <c r="H172" s="1" t="s">
        <v>20</v>
      </c>
      <c r="I172" t="s">
        <v>53</v>
      </c>
      <c r="J172" t="s">
        <v>54</v>
      </c>
      <c r="K172" t="s">
        <v>55</v>
      </c>
      <c r="L172" t="s">
        <v>24</v>
      </c>
      <c r="M172" t="str">
        <f t="shared" si="6"/>
        <v>charge-altering-6kiw</v>
      </c>
      <c r="N172" t="str">
        <f t="shared" si="7"/>
        <v>6kiw</v>
      </c>
      <c r="O172" s="2" t="s">
        <v>25</v>
      </c>
      <c r="P172" s="2" t="str">
        <f t="shared" si="8"/>
        <v>C-G106D</v>
      </c>
    </row>
    <row r="173" spans="1:16">
      <c r="A173" s="1" t="s">
        <v>26</v>
      </c>
      <c r="B173" s="1" t="s">
        <v>27</v>
      </c>
      <c r="C173" s="1" t="s">
        <v>17</v>
      </c>
      <c r="D173" s="1">
        <v>95</v>
      </c>
      <c r="E173" s="1" t="s">
        <v>40</v>
      </c>
      <c r="F173" s="1" t="s">
        <v>47</v>
      </c>
      <c r="G173" s="1">
        <v>0.88</v>
      </c>
      <c r="H173" s="1" t="s">
        <v>20</v>
      </c>
      <c r="I173" t="s">
        <v>42</v>
      </c>
      <c r="J173" t="s">
        <v>22</v>
      </c>
      <c r="K173" t="s">
        <v>23</v>
      </c>
      <c r="L173" t="s">
        <v>24</v>
      </c>
      <c r="M173" t="str">
        <f t="shared" si="6"/>
        <v>charge-altering-6kiw</v>
      </c>
      <c r="N173" t="str">
        <f t="shared" si="7"/>
        <v>6kiw</v>
      </c>
      <c r="O173" s="2" t="s">
        <v>25</v>
      </c>
      <c r="P173" s="2" t="str">
        <f t="shared" si="8"/>
        <v>C-K95T</v>
      </c>
    </row>
    <row r="174" spans="1:16">
      <c r="A174" s="1" t="s">
        <v>26</v>
      </c>
      <c r="B174" s="1" t="s">
        <v>27</v>
      </c>
      <c r="C174" s="1" t="s">
        <v>17</v>
      </c>
      <c r="D174" s="1">
        <v>115</v>
      </c>
      <c r="E174" s="1" t="s">
        <v>39</v>
      </c>
      <c r="F174" s="1" t="s">
        <v>56</v>
      </c>
      <c r="G174" s="1">
        <v>1.58</v>
      </c>
      <c r="H174" s="1" t="s">
        <v>20</v>
      </c>
      <c r="I174" t="s">
        <v>57</v>
      </c>
      <c r="J174" t="s">
        <v>54</v>
      </c>
      <c r="K174" t="s">
        <v>55</v>
      </c>
      <c r="L174" t="s">
        <v>24</v>
      </c>
      <c r="M174" t="str">
        <f t="shared" si="6"/>
        <v>charge-altering-6kiw</v>
      </c>
      <c r="N174" t="str">
        <f t="shared" si="7"/>
        <v>6kiw</v>
      </c>
      <c r="O174" s="2" t="s">
        <v>25</v>
      </c>
      <c r="P174" s="2" t="str">
        <f t="shared" si="8"/>
        <v>C-L115H</v>
      </c>
    </row>
    <row r="175" spans="1:16">
      <c r="A175" s="1" t="s">
        <v>26</v>
      </c>
      <c r="B175" s="1" t="s">
        <v>27</v>
      </c>
      <c r="C175" s="1" t="s">
        <v>17</v>
      </c>
      <c r="D175" s="1">
        <v>104</v>
      </c>
      <c r="E175" s="1" t="s">
        <v>30</v>
      </c>
      <c r="F175" s="1" t="s">
        <v>56</v>
      </c>
      <c r="G175" s="1">
        <v>0.78</v>
      </c>
      <c r="H175" s="1" t="s">
        <v>20</v>
      </c>
      <c r="I175" t="s">
        <v>57</v>
      </c>
      <c r="J175" t="s">
        <v>54</v>
      </c>
      <c r="K175" t="s">
        <v>55</v>
      </c>
      <c r="L175" t="s">
        <v>24</v>
      </c>
      <c r="M175" t="str">
        <f t="shared" si="6"/>
        <v>charge-altering-6kiw</v>
      </c>
      <c r="N175" t="str">
        <f t="shared" si="7"/>
        <v>6kiw</v>
      </c>
      <c r="O175" s="2" t="s">
        <v>25</v>
      </c>
      <c r="P175" s="2" t="str">
        <f t="shared" si="8"/>
        <v>C-Q104H</v>
      </c>
    </row>
    <row r="176" spans="1:16">
      <c r="A176" s="1" t="s">
        <v>26</v>
      </c>
      <c r="B176" s="1" t="s">
        <v>27</v>
      </c>
      <c r="C176" s="1" t="s">
        <v>17</v>
      </c>
      <c r="D176" s="1">
        <v>17</v>
      </c>
      <c r="E176" s="1" t="s">
        <v>43</v>
      </c>
      <c r="F176" s="1" t="s">
        <v>58</v>
      </c>
      <c r="G176" s="1">
        <v>2.14</v>
      </c>
      <c r="H176" s="1" t="s">
        <v>20</v>
      </c>
      <c r="I176" t="s">
        <v>42</v>
      </c>
      <c r="J176" t="s">
        <v>22</v>
      </c>
      <c r="K176" t="s">
        <v>23</v>
      </c>
      <c r="L176" t="s">
        <v>24</v>
      </c>
      <c r="M176" t="str">
        <f t="shared" si="6"/>
        <v>charge-altering-6kiw</v>
      </c>
      <c r="N176" t="str">
        <f t="shared" si="7"/>
        <v>6kiw</v>
      </c>
      <c r="O176" s="2" t="s">
        <v>25</v>
      </c>
      <c r="P176" s="2" t="str">
        <f t="shared" si="8"/>
        <v>C-R17P</v>
      </c>
    </row>
    <row r="177" spans="1:16">
      <c r="A177" s="1" t="s">
        <v>26</v>
      </c>
      <c r="B177" s="1" t="s">
        <v>27</v>
      </c>
      <c r="C177" s="1" t="s">
        <v>17</v>
      </c>
      <c r="D177" s="1">
        <v>29</v>
      </c>
      <c r="E177" s="1" t="s">
        <v>43</v>
      </c>
      <c r="F177" s="1" t="s">
        <v>58</v>
      </c>
      <c r="G177" s="1">
        <v>2.45</v>
      </c>
      <c r="H177" s="1" t="s">
        <v>20</v>
      </c>
      <c r="I177" t="s">
        <v>42</v>
      </c>
      <c r="J177" t="s">
        <v>22</v>
      </c>
      <c r="K177" t="s">
        <v>23</v>
      </c>
      <c r="L177" t="s">
        <v>24</v>
      </c>
      <c r="M177" t="str">
        <f t="shared" si="6"/>
        <v>charge-altering-6kiw</v>
      </c>
      <c r="N177" t="str">
        <f t="shared" si="7"/>
        <v>6kiw</v>
      </c>
      <c r="O177" s="2" t="s">
        <v>25</v>
      </c>
      <c r="P177" s="2" t="str">
        <f t="shared" si="8"/>
        <v>C-R29P</v>
      </c>
    </row>
    <row r="178" spans="1:16">
      <c r="A178" s="1" t="s">
        <v>26</v>
      </c>
      <c r="B178" s="1" t="s">
        <v>27</v>
      </c>
      <c r="C178" s="1" t="s">
        <v>17</v>
      </c>
      <c r="D178" s="1">
        <v>29</v>
      </c>
      <c r="E178" s="1" t="s">
        <v>43</v>
      </c>
      <c r="F178" s="1" t="s">
        <v>30</v>
      </c>
      <c r="G178" s="1">
        <v>0.91</v>
      </c>
      <c r="H178" s="1" t="s">
        <v>20</v>
      </c>
      <c r="I178" t="s">
        <v>42</v>
      </c>
      <c r="J178" t="s">
        <v>22</v>
      </c>
      <c r="K178" t="s">
        <v>23</v>
      </c>
      <c r="L178" t="s">
        <v>24</v>
      </c>
      <c r="M178" t="str">
        <f t="shared" si="6"/>
        <v>charge-altering-6kiw</v>
      </c>
      <c r="N178" t="str">
        <f t="shared" si="7"/>
        <v>6kiw</v>
      </c>
      <c r="O178" s="2" t="s">
        <v>25</v>
      </c>
      <c r="P178" s="2" t="str">
        <f t="shared" si="8"/>
        <v>C-R29Q</v>
      </c>
    </row>
    <row r="179" spans="1:16">
      <c r="A179" s="1" t="s">
        <v>26</v>
      </c>
      <c r="B179" s="1" t="s">
        <v>27</v>
      </c>
      <c r="C179" s="1" t="s">
        <v>17</v>
      </c>
      <c r="D179" s="1">
        <v>77</v>
      </c>
      <c r="E179" s="1" t="s">
        <v>43</v>
      </c>
      <c r="F179" s="1" t="s">
        <v>17</v>
      </c>
      <c r="G179" s="1">
        <v>1.33</v>
      </c>
      <c r="H179" s="1" t="s">
        <v>20</v>
      </c>
      <c r="I179" t="s">
        <v>42</v>
      </c>
      <c r="J179" t="s">
        <v>22</v>
      </c>
      <c r="K179" t="s">
        <v>23</v>
      </c>
      <c r="L179" t="s">
        <v>24</v>
      </c>
      <c r="M179" t="str">
        <f t="shared" si="6"/>
        <v>charge-altering-6kiw</v>
      </c>
      <c r="N179" t="str">
        <f t="shared" si="7"/>
        <v>6kiw</v>
      </c>
      <c r="O179" s="2" t="s">
        <v>25</v>
      </c>
      <c r="P179" s="2" t="str">
        <f t="shared" si="8"/>
        <v>C-R77C</v>
      </c>
    </row>
    <row r="180" spans="1:16">
      <c r="A180" s="1" t="s">
        <v>26</v>
      </c>
      <c r="B180" s="1" t="s">
        <v>27</v>
      </c>
      <c r="C180" s="1" t="s">
        <v>19</v>
      </c>
      <c r="D180" s="1">
        <v>56</v>
      </c>
      <c r="E180" s="1" t="s">
        <v>29</v>
      </c>
      <c r="F180" s="1" t="s">
        <v>30</v>
      </c>
      <c r="G180" s="1">
        <v>1.2</v>
      </c>
      <c r="H180" s="1" t="s">
        <v>20</v>
      </c>
      <c r="I180" t="s">
        <v>21</v>
      </c>
      <c r="J180" t="s">
        <v>22</v>
      </c>
      <c r="K180" t="s">
        <v>23</v>
      </c>
      <c r="L180" t="s">
        <v>24</v>
      </c>
      <c r="M180" t="str">
        <f t="shared" si="6"/>
        <v>charge-altering-6kiw</v>
      </c>
      <c r="N180" t="str">
        <f t="shared" si="7"/>
        <v>6kiw</v>
      </c>
      <c r="O180" s="2" t="s">
        <v>25</v>
      </c>
      <c r="P180" s="2" t="str">
        <f t="shared" si="8"/>
        <v>G-E56Q</v>
      </c>
    </row>
    <row r="181" spans="1:16">
      <c r="A181" s="1" t="s">
        <v>26</v>
      </c>
      <c r="B181" s="1" t="s">
        <v>27</v>
      </c>
      <c r="C181" s="1" t="s">
        <v>19</v>
      </c>
      <c r="D181" s="1">
        <v>61</v>
      </c>
      <c r="E181" s="1" t="s">
        <v>29</v>
      </c>
      <c r="F181" s="1" t="s">
        <v>40</v>
      </c>
      <c r="G181" s="1">
        <v>0.75</v>
      </c>
      <c r="H181" s="1" t="s">
        <v>20</v>
      </c>
      <c r="I181" t="s">
        <v>50</v>
      </c>
      <c r="J181" t="s">
        <v>51</v>
      </c>
      <c r="K181" t="s">
        <v>52</v>
      </c>
      <c r="L181" t="s">
        <v>24</v>
      </c>
      <c r="M181" t="str">
        <f t="shared" si="6"/>
        <v>charge-altering-6kiw</v>
      </c>
      <c r="N181" t="str">
        <f t="shared" si="7"/>
        <v>6kiw</v>
      </c>
      <c r="O181" s="2" t="s">
        <v>25</v>
      </c>
      <c r="P181" s="2" t="str">
        <f t="shared" si="8"/>
        <v>G-E61K</v>
      </c>
    </row>
    <row r="182" spans="1:16">
      <c r="A182" s="1" t="s">
        <v>26</v>
      </c>
      <c r="B182" s="1" t="s">
        <v>27</v>
      </c>
      <c r="C182" s="1" t="s">
        <v>19</v>
      </c>
      <c r="D182" s="1">
        <v>92</v>
      </c>
      <c r="E182" s="1" t="s">
        <v>29</v>
      </c>
      <c r="F182" s="1" t="s">
        <v>40</v>
      </c>
      <c r="G182" s="1">
        <v>1.41</v>
      </c>
      <c r="H182" s="1" t="s">
        <v>20</v>
      </c>
      <c r="I182" t="s">
        <v>50</v>
      </c>
      <c r="J182" t="s">
        <v>51</v>
      </c>
      <c r="K182" t="s">
        <v>52</v>
      </c>
      <c r="L182" t="s">
        <v>24</v>
      </c>
      <c r="M182" t="str">
        <f t="shared" si="6"/>
        <v>charge-altering-6kiw</v>
      </c>
      <c r="N182" t="str">
        <f t="shared" si="7"/>
        <v>6kiw</v>
      </c>
      <c r="O182" s="2" t="s">
        <v>25</v>
      </c>
      <c r="P182" s="2" t="str">
        <f t="shared" si="8"/>
        <v>G-E92K</v>
      </c>
    </row>
    <row r="183" spans="1:16">
      <c r="A183" s="1" t="s">
        <v>26</v>
      </c>
      <c r="B183" s="1" t="s">
        <v>27</v>
      </c>
      <c r="C183" s="1" t="s">
        <v>19</v>
      </c>
      <c r="D183" s="1">
        <v>106</v>
      </c>
      <c r="E183" s="1" t="s">
        <v>19</v>
      </c>
      <c r="F183" s="1" t="s">
        <v>18</v>
      </c>
      <c r="G183" s="1">
        <v>0.66</v>
      </c>
      <c r="H183" s="1" t="s">
        <v>20</v>
      </c>
      <c r="I183" t="s">
        <v>53</v>
      </c>
      <c r="J183" t="s">
        <v>54</v>
      </c>
      <c r="K183" t="s">
        <v>55</v>
      </c>
      <c r="L183" t="s">
        <v>24</v>
      </c>
      <c r="M183" t="str">
        <f t="shared" si="6"/>
        <v>charge-altering-6kiw</v>
      </c>
      <c r="N183" t="str">
        <f t="shared" si="7"/>
        <v>6kiw</v>
      </c>
      <c r="O183" s="2" t="s">
        <v>25</v>
      </c>
      <c r="P183" s="2" t="str">
        <f t="shared" si="8"/>
        <v>G-G106D</v>
      </c>
    </row>
    <row r="184" spans="1:16">
      <c r="A184" s="1" t="s">
        <v>26</v>
      </c>
      <c r="B184" s="1" t="s">
        <v>27</v>
      </c>
      <c r="C184" s="1" t="s">
        <v>19</v>
      </c>
      <c r="D184" s="1">
        <v>37</v>
      </c>
      <c r="E184" s="1" t="s">
        <v>19</v>
      </c>
      <c r="F184" s="1" t="s">
        <v>18</v>
      </c>
      <c r="G184" s="1">
        <v>0.42</v>
      </c>
      <c r="H184" s="1" t="s">
        <v>20</v>
      </c>
      <c r="I184" t="s">
        <v>53</v>
      </c>
      <c r="J184" t="s">
        <v>54</v>
      </c>
      <c r="K184" t="s">
        <v>55</v>
      </c>
      <c r="L184" t="s">
        <v>24</v>
      </c>
      <c r="M184" t="str">
        <f t="shared" si="6"/>
        <v>charge-altering-6kiw</v>
      </c>
      <c r="N184" t="str">
        <f t="shared" si="7"/>
        <v>6kiw</v>
      </c>
      <c r="O184" s="2" t="s">
        <v>25</v>
      </c>
      <c r="P184" s="2" t="str">
        <f t="shared" si="8"/>
        <v>G-G37D</v>
      </c>
    </row>
    <row r="185" spans="1:16">
      <c r="A185" s="1" t="s">
        <v>26</v>
      </c>
      <c r="B185" s="1" t="s">
        <v>27</v>
      </c>
      <c r="C185" s="1" t="s">
        <v>19</v>
      </c>
      <c r="D185" s="1">
        <v>95</v>
      </c>
      <c r="E185" s="1" t="s">
        <v>40</v>
      </c>
      <c r="F185" s="1" t="s">
        <v>47</v>
      </c>
      <c r="G185" s="1">
        <v>0.88</v>
      </c>
      <c r="H185" s="1" t="s">
        <v>20</v>
      </c>
      <c r="I185" t="s">
        <v>42</v>
      </c>
      <c r="J185" t="s">
        <v>22</v>
      </c>
      <c r="K185" t="s">
        <v>23</v>
      </c>
      <c r="L185" t="s">
        <v>24</v>
      </c>
      <c r="M185" t="str">
        <f t="shared" si="6"/>
        <v>charge-altering-6kiw</v>
      </c>
      <c r="N185" t="str">
        <f t="shared" si="7"/>
        <v>6kiw</v>
      </c>
      <c r="O185" s="2" t="s">
        <v>25</v>
      </c>
      <c r="P185" s="2" t="str">
        <f t="shared" si="8"/>
        <v>G-K95T</v>
      </c>
    </row>
    <row r="186" spans="1:16">
      <c r="A186" s="1" t="s">
        <v>26</v>
      </c>
      <c r="B186" s="1" t="s">
        <v>27</v>
      </c>
      <c r="C186" s="1" t="s">
        <v>19</v>
      </c>
      <c r="D186" s="1">
        <v>115</v>
      </c>
      <c r="E186" s="1" t="s">
        <v>39</v>
      </c>
      <c r="F186" s="1" t="s">
        <v>56</v>
      </c>
      <c r="G186" s="1">
        <v>1.19</v>
      </c>
      <c r="H186" s="1" t="s">
        <v>20</v>
      </c>
      <c r="I186" t="s">
        <v>57</v>
      </c>
      <c r="J186" t="s">
        <v>54</v>
      </c>
      <c r="K186" t="s">
        <v>55</v>
      </c>
      <c r="L186" t="s">
        <v>24</v>
      </c>
      <c r="M186" t="str">
        <f t="shared" si="6"/>
        <v>charge-altering-6kiw</v>
      </c>
      <c r="N186" t="str">
        <f t="shared" si="7"/>
        <v>6kiw</v>
      </c>
      <c r="O186" s="2" t="s">
        <v>25</v>
      </c>
      <c r="P186" s="2" t="str">
        <f t="shared" si="8"/>
        <v>G-L115H</v>
      </c>
    </row>
    <row r="187" spans="1:16">
      <c r="A187" s="1" t="s">
        <v>26</v>
      </c>
      <c r="B187" s="1" t="s">
        <v>27</v>
      </c>
      <c r="C187" s="1" t="s">
        <v>19</v>
      </c>
      <c r="D187" s="1">
        <v>104</v>
      </c>
      <c r="E187" s="1" t="s">
        <v>30</v>
      </c>
      <c r="F187" s="1" t="s">
        <v>56</v>
      </c>
      <c r="G187" s="1">
        <v>0.91</v>
      </c>
      <c r="H187" s="1" t="s">
        <v>20</v>
      </c>
      <c r="I187" t="s">
        <v>57</v>
      </c>
      <c r="J187" t="s">
        <v>54</v>
      </c>
      <c r="K187" t="s">
        <v>55</v>
      </c>
      <c r="L187" t="s">
        <v>24</v>
      </c>
      <c r="M187" t="str">
        <f t="shared" si="6"/>
        <v>charge-altering-6kiw</v>
      </c>
      <c r="N187" t="str">
        <f t="shared" si="7"/>
        <v>6kiw</v>
      </c>
      <c r="O187" s="2" t="s">
        <v>25</v>
      </c>
      <c r="P187" s="2" t="str">
        <f t="shared" si="8"/>
        <v>G-Q104H</v>
      </c>
    </row>
    <row r="188" spans="1:16">
      <c r="A188" s="1" t="s">
        <v>26</v>
      </c>
      <c r="B188" s="1" t="s">
        <v>27</v>
      </c>
      <c r="C188" s="1" t="s">
        <v>19</v>
      </c>
      <c r="D188" s="1">
        <v>17</v>
      </c>
      <c r="E188" s="1" t="s">
        <v>43</v>
      </c>
      <c r="F188" s="1" t="s">
        <v>58</v>
      </c>
      <c r="G188" s="1">
        <v>2.14</v>
      </c>
      <c r="H188" s="1" t="s">
        <v>20</v>
      </c>
      <c r="I188" t="s">
        <v>42</v>
      </c>
      <c r="J188" t="s">
        <v>22</v>
      </c>
      <c r="K188" t="s">
        <v>23</v>
      </c>
      <c r="L188" t="s">
        <v>24</v>
      </c>
      <c r="M188" t="str">
        <f t="shared" si="6"/>
        <v>charge-altering-6kiw</v>
      </c>
      <c r="N188" t="str">
        <f t="shared" si="7"/>
        <v>6kiw</v>
      </c>
      <c r="O188" s="2" t="s">
        <v>25</v>
      </c>
      <c r="P188" s="2" t="str">
        <f t="shared" si="8"/>
        <v>G-R17P</v>
      </c>
    </row>
    <row r="189" spans="1:16">
      <c r="A189" s="1" t="s">
        <v>26</v>
      </c>
      <c r="B189" s="1" t="s">
        <v>27</v>
      </c>
      <c r="C189" s="1" t="s">
        <v>19</v>
      </c>
      <c r="D189" s="1">
        <v>29</v>
      </c>
      <c r="E189" s="1" t="s">
        <v>43</v>
      </c>
      <c r="F189" s="1" t="s">
        <v>58</v>
      </c>
      <c r="G189" s="1">
        <v>2.45</v>
      </c>
      <c r="H189" s="1" t="s">
        <v>20</v>
      </c>
      <c r="I189" t="s">
        <v>42</v>
      </c>
      <c r="J189" t="s">
        <v>22</v>
      </c>
      <c r="K189" t="s">
        <v>23</v>
      </c>
      <c r="L189" t="s">
        <v>24</v>
      </c>
      <c r="M189" t="str">
        <f t="shared" si="6"/>
        <v>charge-altering-6kiw</v>
      </c>
      <c r="N189" t="str">
        <f t="shared" si="7"/>
        <v>6kiw</v>
      </c>
      <c r="O189" s="2" t="s">
        <v>25</v>
      </c>
      <c r="P189" s="2" t="str">
        <f t="shared" si="8"/>
        <v>G-R29P</v>
      </c>
    </row>
    <row r="190" spans="1:16">
      <c r="A190" s="1" t="s">
        <v>26</v>
      </c>
      <c r="B190" s="1" t="s">
        <v>27</v>
      </c>
      <c r="C190" s="1" t="s">
        <v>19</v>
      </c>
      <c r="D190" s="1">
        <v>29</v>
      </c>
      <c r="E190" s="1" t="s">
        <v>43</v>
      </c>
      <c r="F190" s="1" t="s">
        <v>30</v>
      </c>
      <c r="G190" s="1">
        <v>0.91</v>
      </c>
      <c r="H190" s="1" t="s">
        <v>20</v>
      </c>
      <c r="I190" t="s">
        <v>42</v>
      </c>
      <c r="J190" t="s">
        <v>22</v>
      </c>
      <c r="K190" t="s">
        <v>23</v>
      </c>
      <c r="L190" t="s">
        <v>24</v>
      </c>
      <c r="M190" t="str">
        <f t="shared" si="6"/>
        <v>charge-altering-6kiw</v>
      </c>
      <c r="N190" t="str">
        <f t="shared" si="7"/>
        <v>6kiw</v>
      </c>
      <c r="O190" s="2" t="s">
        <v>25</v>
      </c>
      <c r="P190" s="2" t="str">
        <f t="shared" si="8"/>
        <v>G-R29Q</v>
      </c>
    </row>
    <row r="191" spans="1:16">
      <c r="A191" s="1" t="s">
        <v>26</v>
      </c>
      <c r="B191" s="1" t="s">
        <v>27</v>
      </c>
      <c r="C191" s="1" t="s">
        <v>19</v>
      </c>
      <c r="D191" s="1">
        <v>77</v>
      </c>
      <c r="E191" s="1" t="s">
        <v>43</v>
      </c>
      <c r="F191" s="1" t="s">
        <v>17</v>
      </c>
      <c r="G191" s="1">
        <v>1.33</v>
      </c>
      <c r="H191" s="1" t="s">
        <v>20</v>
      </c>
      <c r="I191" t="s">
        <v>42</v>
      </c>
      <c r="J191" t="s">
        <v>22</v>
      </c>
      <c r="K191" t="s">
        <v>23</v>
      </c>
      <c r="L191" t="s">
        <v>24</v>
      </c>
      <c r="M191" t="str">
        <f t="shared" si="6"/>
        <v>charge-altering-6kiw</v>
      </c>
      <c r="N191" t="str">
        <f t="shared" si="7"/>
        <v>6kiw</v>
      </c>
      <c r="O191" s="2" t="s">
        <v>25</v>
      </c>
      <c r="P191" s="2" t="str">
        <f t="shared" si="8"/>
        <v>G-R77C</v>
      </c>
    </row>
    <row r="192" spans="1:16">
      <c r="A192" s="1" t="s">
        <v>26</v>
      </c>
      <c r="B192" s="1" t="s">
        <v>27</v>
      </c>
      <c r="C192" s="1" t="s">
        <v>18</v>
      </c>
      <c r="D192" s="1">
        <v>48</v>
      </c>
      <c r="E192" s="1" t="s">
        <v>18</v>
      </c>
      <c r="F192" s="1" t="s">
        <v>41</v>
      </c>
      <c r="G192" s="1">
        <v>1.41</v>
      </c>
      <c r="H192" s="1" t="s">
        <v>20</v>
      </c>
      <c r="I192" t="s">
        <v>21</v>
      </c>
      <c r="J192" t="s">
        <v>22</v>
      </c>
      <c r="K192" t="s">
        <v>23</v>
      </c>
      <c r="L192" t="s">
        <v>24</v>
      </c>
      <c r="M192" t="str">
        <f t="shared" si="6"/>
        <v>charge-altering-6kiw</v>
      </c>
      <c r="N192" t="str">
        <f t="shared" si="7"/>
        <v>6kiw</v>
      </c>
      <c r="O192" s="2" t="s">
        <v>45</v>
      </c>
      <c r="P192" s="2" t="str">
        <f t="shared" si="8"/>
        <v>D-D48N</v>
      </c>
    </row>
    <row r="193" spans="1:16">
      <c r="A193" s="1" t="s">
        <v>26</v>
      </c>
      <c r="B193" s="1" t="s">
        <v>27</v>
      </c>
      <c r="C193" s="1" t="s">
        <v>18</v>
      </c>
      <c r="D193" s="1">
        <v>110</v>
      </c>
      <c r="E193" s="1" t="s">
        <v>29</v>
      </c>
      <c r="F193" s="1" t="s">
        <v>40</v>
      </c>
      <c r="G193" s="1">
        <v>1.02</v>
      </c>
      <c r="H193" s="1" t="s">
        <v>20</v>
      </c>
      <c r="I193" t="s">
        <v>50</v>
      </c>
      <c r="J193" t="s">
        <v>51</v>
      </c>
      <c r="K193" t="s">
        <v>52</v>
      </c>
      <c r="L193" t="s">
        <v>24</v>
      </c>
      <c r="M193" t="str">
        <f t="shared" si="6"/>
        <v>charge-altering-6kiw</v>
      </c>
      <c r="N193" t="str">
        <f t="shared" si="7"/>
        <v>6kiw</v>
      </c>
      <c r="O193" s="2" t="s">
        <v>45</v>
      </c>
      <c r="P193" s="2" t="str">
        <f t="shared" si="8"/>
        <v>D-E110K</v>
      </c>
    </row>
    <row r="194" spans="1:16">
      <c r="A194" s="1" t="s">
        <v>26</v>
      </c>
      <c r="B194" s="1" t="s">
        <v>27</v>
      </c>
      <c r="C194" s="1" t="s">
        <v>18</v>
      </c>
      <c r="D194" s="1">
        <v>110</v>
      </c>
      <c r="E194" s="1" t="s">
        <v>29</v>
      </c>
      <c r="F194" s="1" t="s">
        <v>30</v>
      </c>
      <c r="G194" s="1">
        <v>1.06</v>
      </c>
      <c r="H194" s="1" t="s">
        <v>20</v>
      </c>
      <c r="I194" t="s">
        <v>21</v>
      </c>
      <c r="J194" t="s">
        <v>22</v>
      </c>
      <c r="K194" t="s">
        <v>23</v>
      </c>
      <c r="L194" t="s">
        <v>24</v>
      </c>
      <c r="M194" t="str">
        <f t="shared" ref="M194:M257" si="9">L194&amp;"-"&amp;LEFT(A194,4)</f>
        <v>charge-altering-6kiw</v>
      </c>
      <c r="N194" t="str">
        <f t="shared" ref="N194:N257" si="10">LEFT(A194,4)</f>
        <v>6kiw</v>
      </c>
      <c r="O194" s="2" t="s">
        <v>45</v>
      </c>
      <c r="P194" s="2" t="str">
        <f t="shared" ref="P194:P257" si="11">C194&amp;"-"&amp;E194&amp;D194&amp;F194</f>
        <v>D-E110Q</v>
      </c>
    </row>
    <row r="195" spans="1:16">
      <c r="A195" s="1" t="s">
        <v>26</v>
      </c>
      <c r="B195" s="1" t="s">
        <v>27</v>
      </c>
      <c r="C195" s="1" t="s">
        <v>18</v>
      </c>
      <c r="D195" s="1">
        <v>32</v>
      </c>
      <c r="E195" s="1" t="s">
        <v>29</v>
      </c>
      <c r="F195" s="1" t="s">
        <v>32</v>
      </c>
      <c r="G195" s="1">
        <v>0.84</v>
      </c>
      <c r="H195" s="1" t="s">
        <v>20</v>
      </c>
      <c r="I195" t="s">
        <v>21</v>
      </c>
      <c r="J195" t="s">
        <v>22</v>
      </c>
      <c r="K195" t="s">
        <v>23</v>
      </c>
      <c r="L195" t="s">
        <v>24</v>
      </c>
      <c r="M195" t="str">
        <f t="shared" si="9"/>
        <v>charge-altering-6kiw</v>
      </c>
      <c r="N195" t="str">
        <f t="shared" si="10"/>
        <v>6kiw</v>
      </c>
      <c r="O195" s="2" t="s">
        <v>45</v>
      </c>
      <c r="P195" s="2" t="str">
        <f t="shared" si="11"/>
        <v>D-E32A</v>
      </c>
    </row>
    <row r="196" spans="1:16">
      <c r="A196" s="1" t="s">
        <v>26</v>
      </c>
      <c r="B196" s="1" t="s">
        <v>27</v>
      </c>
      <c r="C196" s="1" t="s">
        <v>18</v>
      </c>
      <c r="D196" s="1">
        <v>68</v>
      </c>
      <c r="E196" s="1" t="s">
        <v>29</v>
      </c>
      <c r="F196" s="1" t="s">
        <v>30</v>
      </c>
      <c r="G196" s="1">
        <v>0.74</v>
      </c>
      <c r="H196" s="1" t="s">
        <v>20</v>
      </c>
      <c r="I196" t="s">
        <v>21</v>
      </c>
      <c r="J196" t="s">
        <v>22</v>
      </c>
      <c r="K196" t="s">
        <v>23</v>
      </c>
      <c r="L196" t="s">
        <v>24</v>
      </c>
      <c r="M196" t="str">
        <f t="shared" si="9"/>
        <v>charge-altering-6kiw</v>
      </c>
      <c r="N196" t="str">
        <f t="shared" si="10"/>
        <v>6kiw</v>
      </c>
      <c r="O196" s="2" t="s">
        <v>45</v>
      </c>
      <c r="P196" s="2" t="str">
        <f t="shared" si="11"/>
        <v>D-E68Q</v>
      </c>
    </row>
    <row r="197" spans="1:16">
      <c r="A197" s="1" t="s">
        <v>26</v>
      </c>
      <c r="B197" s="1" t="s">
        <v>27</v>
      </c>
      <c r="C197" s="1" t="s">
        <v>18</v>
      </c>
      <c r="D197" s="1">
        <v>73</v>
      </c>
      <c r="E197" s="1" t="s">
        <v>29</v>
      </c>
      <c r="F197" s="1" t="s">
        <v>40</v>
      </c>
      <c r="G197" s="1">
        <v>1.16</v>
      </c>
      <c r="H197" s="1" t="s">
        <v>20</v>
      </c>
      <c r="I197" t="s">
        <v>50</v>
      </c>
      <c r="J197" t="s">
        <v>51</v>
      </c>
      <c r="K197" t="s">
        <v>52</v>
      </c>
      <c r="L197" t="s">
        <v>24</v>
      </c>
      <c r="M197" t="str">
        <f t="shared" si="9"/>
        <v>charge-altering-6kiw</v>
      </c>
      <c r="N197" t="str">
        <f t="shared" si="10"/>
        <v>6kiw</v>
      </c>
      <c r="O197" s="2" t="s">
        <v>45</v>
      </c>
      <c r="P197" s="2" t="str">
        <f t="shared" si="11"/>
        <v>D-E73K</v>
      </c>
    </row>
    <row r="198" spans="1:16">
      <c r="A198" s="1" t="s">
        <v>26</v>
      </c>
      <c r="B198" s="1" t="s">
        <v>27</v>
      </c>
      <c r="C198" s="1" t="s">
        <v>18</v>
      </c>
      <c r="D198" s="1">
        <v>73</v>
      </c>
      <c r="E198" s="1" t="s">
        <v>29</v>
      </c>
      <c r="F198" s="1" t="s">
        <v>30</v>
      </c>
      <c r="G198" s="1">
        <v>1.16</v>
      </c>
      <c r="H198" s="1" t="s">
        <v>20</v>
      </c>
      <c r="I198" t="s">
        <v>21</v>
      </c>
      <c r="J198" t="s">
        <v>22</v>
      </c>
      <c r="K198" t="s">
        <v>23</v>
      </c>
      <c r="L198" t="s">
        <v>24</v>
      </c>
      <c r="M198" t="str">
        <f t="shared" si="9"/>
        <v>charge-altering-6kiw</v>
      </c>
      <c r="N198" t="str">
        <f t="shared" si="10"/>
        <v>6kiw</v>
      </c>
      <c r="O198" s="2" t="s">
        <v>45</v>
      </c>
      <c r="P198" s="2" t="str">
        <f t="shared" si="11"/>
        <v>D-E73Q</v>
      </c>
    </row>
    <row r="199" spans="1:16">
      <c r="A199" s="1" t="s">
        <v>26</v>
      </c>
      <c r="B199" s="1" t="s">
        <v>27</v>
      </c>
      <c r="C199" s="1" t="s">
        <v>18</v>
      </c>
      <c r="D199" s="1">
        <v>50</v>
      </c>
      <c r="E199" s="1" t="s">
        <v>19</v>
      </c>
      <c r="F199" s="1" t="s">
        <v>18</v>
      </c>
      <c r="G199" s="1">
        <v>0.53</v>
      </c>
      <c r="H199" s="1" t="s">
        <v>20</v>
      </c>
      <c r="I199" t="s">
        <v>53</v>
      </c>
      <c r="J199" t="s">
        <v>54</v>
      </c>
      <c r="K199" t="s">
        <v>55</v>
      </c>
      <c r="L199" t="s">
        <v>24</v>
      </c>
      <c r="M199" t="str">
        <f t="shared" si="9"/>
        <v>charge-altering-6kiw</v>
      </c>
      <c r="N199" t="str">
        <f t="shared" si="10"/>
        <v>6kiw</v>
      </c>
      <c r="O199" s="2" t="s">
        <v>45</v>
      </c>
      <c r="P199" s="2" t="str">
        <f t="shared" si="11"/>
        <v>D-G50D</v>
      </c>
    </row>
    <row r="200" spans="1:16">
      <c r="A200" s="1" t="s">
        <v>26</v>
      </c>
      <c r="B200" s="1" t="s">
        <v>27</v>
      </c>
      <c r="C200" s="1" t="s">
        <v>18</v>
      </c>
      <c r="D200" s="1">
        <v>46</v>
      </c>
      <c r="E200" s="1" t="s">
        <v>56</v>
      </c>
      <c r="F200" s="1" t="s">
        <v>49</v>
      </c>
      <c r="G200" s="1">
        <v>0.62</v>
      </c>
      <c r="H200" s="1" t="s">
        <v>20</v>
      </c>
      <c r="I200" t="s">
        <v>42</v>
      </c>
      <c r="J200" t="s">
        <v>22</v>
      </c>
      <c r="K200" t="s">
        <v>23</v>
      </c>
      <c r="L200" t="s">
        <v>24</v>
      </c>
      <c r="M200" t="str">
        <f t="shared" si="9"/>
        <v>charge-altering-6kiw</v>
      </c>
      <c r="N200" t="str">
        <f t="shared" si="10"/>
        <v>6kiw</v>
      </c>
      <c r="O200" s="2" t="s">
        <v>45</v>
      </c>
      <c r="P200" s="2" t="str">
        <f t="shared" si="11"/>
        <v>D-H46Y</v>
      </c>
    </row>
    <row r="201" spans="1:16">
      <c r="A201" s="1" t="s">
        <v>26</v>
      </c>
      <c r="B201" s="1" t="s">
        <v>27</v>
      </c>
      <c r="C201" s="1" t="s">
        <v>18</v>
      </c>
      <c r="D201" s="1">
        <v>44</v>
      </c>
      <c r="E201" s="1" t="s">
        <v>30</v>
      </c>
      <c r="F201" s="1" t="s">
        <v>29</v>
      </c>
      <c r="G201" s="1">
        <v>0.71</v>
      </c>
      <c r="H201" s="1" t="s">
        <v>20</v>
      </c>
      <c r="I201" t="s">
        <v>53</v>
      </c>
      <c r="J201" t="s">
        <v>54</v>
      </c>
      <c r="K201" t="s">
        <v>55</v>
      </c>
      <c r="L201" t="s">
        <v>24</v>
      </c>
      <c r="M201" t="str">
        <f t="shared" si="9"/>
        <v>charge-altering-6kiw</v>
      </c>
      <c r="N201" t="str">
        <f t="shared" si="10"/>
        <v>6kiw</v>
      </c>
      <c r="O201" s="2" t="s">
        <v>45</v>
      </c>
      <c r="P201" s="2" t="str">
        <f t="shared" si="11"/>
        <v>D-Q44E</v>
      </c>
    </row>
    <row r="202" spans="1:16">
      <c r="A202" s="1" t="s">
        <v>26</v>
      </c>
      <c r="B202" s="1" t="s">
        <v>27</v>
      </c>
      <c r="C202" s="1" t="s">
        <v>18</v>
      </c>
      <c r="D202" s="1">
        <v>44</v>
      </c>
      <c r="E202" s="1" t="s">
        <v>30</v>
      </c>
      <c r="F202" s="1" t="s">
        <v>56</v>
      </c>
      <c r="G202" s="1">
        <v>0.75</v>
      </c>
      <c r="H202" s="1" t="s">
        <v>20</v>
      </c>
      <c r="I202" t="s">
        <v>57</v>
      </c>
      <c r="J202" t="s">
        <v>54</v>
      </c>
      <c r="K202" t="s">
        <v>55</v>
      </c>
      <c r="L202" t="s">
        <v>24</v>
      </c>
      <c r="M202" t="str">
        <f t="shared" si="9"/>
        <v>charge-altering-6kiw</v>
      </c>
      <c r="N202" t="str">
        <f t="shared" si="10"/>
        <v>6kiw</v>
      </c>
      <c r="O202" s="2" t="s">
        <v>45</v>
      </c>
      <c r="P202" s="2" t="str">
        <f t="shared" si="11"/>
        <v>D-Q44H</v>
      </c>
    </row>
    <row r="203" spans="1:16">
      <c r="A203" s="1" t="s">
        <v>26</v>
      </c>
      <c r="B203" s="1" t="s">
        <v>27</v>
      </c>
      <c r="C203" s="1" t="s">
        <v>18</v>
      </c>
      <c r="D203" s="1">
        <v>33</v>
      </c>
      <c r="E203" s="1" t="s">
        <v>46</v>
      </c>
      <c r="F203" s="1" t="s">
        <v>43</v>
      </c>
      <c r="G203" s="1">
        <v>0.05</v>
      </c>
      <c r="H203" s="1" t="s">
        <v>20</v>
      </c>
      <c r="I203" t="s">
        <v>57</v>
      </c>
      <c r="J203" t="s">
        <v>54</v>
      </c>
      <c r="K203" t="s">
        <v>55</v>
      </c>
      <c r="L203" t="s">
        <v>24</v>
      </c>
      <c r="M203" t="str">
        <f t="shared" si="9"/>
        <v>charge-altering-6kiw</v>
      </c>
      <c r="N203" t="str">
        <f t="shared" si="10"/>
        <v>6kiw</v>
      </c>
      <c r="O203" s="2" t="s">
        <v>45</v>
      </c>
      <c r="P203" s="2" t="str">
        <f t="shared" si="11"/>
        <v>D-S33R</v>
      </c>
    </row>
    <row r="204" spans="1:16">
      <c r="A204" s="1" t="s">
        <v>26</v>
      </c>
      <c r="B204" s="1" t="s">
        <v>27</v>
      </c>
      <c r="C204" s="1" t="s">
        <v>56</v>
      </c>
      <c r="D204" s="1">
        <v>48</v>
      </c>
      <c r="E204" s="1" t="s">
        <v>18</v>
      </c>
      <c r="F204" s="1" t="s">
        <v>41</v>
      </c>
      <c r="G204" s="1">
        <v>1.38</v>
      </c>
      <c r="H204" s="1" t="s">
        <v>20</v>
      </c>
      <c r="I204" t="s">
        <v>21</v>
      </c>
      <c r="J204" t="s">
        <v>22</v>
      </c>
      <c r="K204" t="s">
        <v>23</v>
      </c>
      <c r="L204" t="s">
        <v>24</v>
      </c>
      <c r="M204" t="str">
        <f t="shared" si="9"/>
        <v>charge-altering-6kiw</v>
      </c>
      <c r="N204" t="str">
        <f t="shared" si="10"/>
        <v>6kiw</v>
      </c>
      <c r="O204" s="2" t="s">
        <v>45</v>
      </c>
      <c r="P204" s="2" t="str">
        <f t="shared" si="11"/>
        <v>H-D48N</v>
      </c>
    </row>
    <row r="205" spans="1:16">
      <c r="A205" s="1" t="s">
        <v>26</v>
      </c>
      <c r="B205" s="1" t="s">
        <v>27</v>
      </c>
      <c r="C205" s="1" t="s">
        <v>56</v>
      </c>
      <c r="D205" s="1">
        <v>110</v>
      </c>
      <c r="E205" s="1" t="s">
        <v>29</v>
      </c>
      <c r="F205" s="1" t="s">
        <v>40</v>
      </c>
      <c r="G205" s="1">
        <v>0.96</v>
      </c>
      <c r="H205" s="1" t="s">
        <v>20</v>
      </c>
      <c r="I205" t="s">
        <v>50</v>
      </c>
      <c r="J205" t="s">
        <v>51</v>
      </c>
      <c r="K205" t="s">
        <v>52</v>
      </c>
      <c r="L205" t="s">
        <v>24</v>
      </c>
      <c r="M205" t="str">
        <f t="shared" si="9"/>
        <v>charge-altering-6kiw</v>
      </c>
      <c r="N205" t="str">
        <f t="shared" si="10"/>
        <v>6kiw</v>
      </c>
      <c r="O205" s="2" t="s">
        <v>45</v>
      </c>
      <c r="P205" s="2" t="str">
        <f t="shared" si="11"/>
        <v>H-E110K</v>
      </c>
    </row>
    <row r="206" spans="1:16">
      <c r="A206" s="1" t="s">
        <v>26</v>
      </c>
      <c r="B206" s="1" t="s">
        <v>27</v>
      </c>
      <c r="C206" s="1" t="s">
        <v>56</v>
      </c>
      <c r="D206" s="1">
        <v>110</v>
      </c>
      <c r="E206" s="1" t="s">
        <v>29</v>
      </c>
      <c r="F206" s="1" t="s">
        <v>30</v>
      </c>
      <c r="G206" s="1">
        <v>0.94</v>
      </c>
      <c r="H206" s="1" t="s">
        <v>20</v>
      </c>
      <c r="I206" t="s">
        <v>21</v>
      </c>
      <c r="J206" t="s">
        <v>22</v>
      </c>
      <c r="K206" t="s">
        <v>23</v>
      </c>
      <c r="L206" t="s">
        <v>24</v>
      </c>
      <c r="M206" t="str">
        <f t="shared" si="9"/>
        <v>charge-altering-6kiw</v>
      </c>
      <c r="N206" t="str">
        <f t="shared" si="10"/>
        <v>6kiw</v>
      </c>
      <c r="O206" s="2" t="s">
        <v>45</v>
      </c>
      <c r="P206" s="2" t="str">
        <f t="shared" si="11"/>
        <v>H-E110Q</v>
      </c>
    </row>
    <row r="207" spans="1:16">
      <c r="A207" s="1" t="s">
        <v>26</v>
      </c>
      <c r="B207" s="1" t="s">
        <v>27</v>
      </c>
      <c r="C207" s="1" t="s">
        <v>56</v>
      </c>
      <c r="D207" s="1">
        <v>32</v>
      </c>
      <c r="E207" s="1" t="s">
        <v>29</v>
      </c>
      <c r="F207" s="1" t="s">
        <v>32</v>
      </c>
      <c r="G207" s="1">
        <v>0.84</v>
      </c>
      <c r="H207" s="1" t="s">
        <v>20</v>
      </c>
      <c r="I207" t="s">
        <v>21</v>
      </c>
      <c r="J207" t="s">
        <v>22</v>
      </c>
      <c r="K207" t="s">
        <v>23</v>
      </c>
      <c r="L207" t="s">
        <v>24</v>
      </c>
      <c r="M207" t="str">
        <f t="shared" si="9"/>
        <v>charge-altering-6kiw</v>
      </c>
      <c r="N207" t="str">
        <f t="shared" si="10"/>
        <v>6kiw</v>
      </c>
      <c r="O207" s="2" t="s">
        <v>45</v>
      </c>
      <c r="P207" s="2" t="str">
        <f t="shared" si="11"/>
        <v>H-E32A</v>
      </c>
    </row>
    <row r="208" spans="1:16">
      <c r="A208" s="1" t="s">
        <v>26</v>
      </c>
      <c r="B208" s="1" t="s">
        <v>27</v>
      </c>
      <c r="C208" s="1" t="s">
        <v>56</v>
      </c>
      <c r="D208" s="1">
        <v>68</v>
      </c>
      <c r="E208" s="1" t="s">
        <v>29</v>
      </c>
      <c r="F208" s="1" t="s">
        <v>30</v>
      </c>
      <c r="G208" s="1">
        <v>0.89</v>
      </c>
      <c r="H208" s="1" t="s">
        <v>20</v>
      </c>
      <c r="I208" t="s">
        <v>21</v>
      </c>
      <c r="J208" t="s">
        <v>22</v>
      </c>
      <c r="K208" t="s">
        <v>23</v>
      </c>
      <c r="L208" t="s">
        <v>24</v>
      </c>
      <c r="M208" t="str">
        <f t="shared" si="9"/>
        <v>charge-altering-6kiw</v>
      </c>
      <c r="N208" t="str">
        <f t="shared" si="10"/>
        <v>6kiw</v>
      </c>
      <c r="O208" s="2" t="s">
        <v>45</v>
      </c>
      <c r="P208" s="2" t="str">
        <f t="shared" si="11"/>
        <v>H-E68Q</v>
      </c>
    </row>
    <row r="209" spans="1:16">
      <c r="A209" s="1" t="s">
        <v>26</v>
      </c>
      <c r="B209" s="1" t="s">
        <v>27</v>
      </c>
      <c r="C209" s="1" t="s">
        <v>56</v>
      </c>
      <c r="D209" s="1">
        <v>73</v>
      </c>
      <c r="E209" s="1" t="s">
        <v>29</v>
      </c>
      <c r="F209" s="1" t="s">
        <v>40</v>
      </c>
      <c r="G209" s="1">
        <v>0.99</v>
      </c>
      <c r="H209" s="1" t="s">
        <v>20</v>
      </c>
      <c r="I209" t="s">
        <v>50</v>
      </c>
      <c r="J209" t="s">
        <v>51</v>
      </c>
      <c r="K209" t="s">
        <v>52</v>
      </c>
      <c r="L209" t="s">
        <v>24</v>
      </c>
      <c r="M209" t="str">
        <f t="shared" si="9"/>
        <v>charge-altering-6kiw</v>
      </c>
      <c r="N209" t="str">
        <f t="shared" si="10"/>
        <v>6kiw</v>
      </c>
      <c r="O209" s="2" t="s">
        <v>45</v>
      </c>
      <c r="P209" s="2" t="str">
        <f t="shared" si="11"/>
        <v>H-E73K</v>
      </c>
    </row>
    <row r="210" spans="1:16">
      <c r="A210" s="1" t="s">
        <v>26</v>
      </c>
      <c r="B210" s="1" t="s">
        <v>27</v>
      </c>
      <c r="C210" s="1" t="s">
        <v>56</v>
      </c>
      <c r="D210" s="1">
        <v>73</v>
      </c>
      <c r="E210" s="1" t="s">
        <v>29</v>
      </c>
      <c r="F210" s="1" t="s">
        <v>30</v>
      </c>
      <c r="G210" s="1">
        <v>1.01</v>
      </c>
      <c r="H210" s="1" t="s">
        <v>20</v>
      </c>
      <c r="I210" t="s">
        <v>21</v>
      </c>
      <c r="J210" t="s">
        <v>22</v>
      </c>
      <c r="K210" t="s">
        <v>23</v>
      </c>
      <c r="L210" t="s">
        <v>24</v>
      </c>
      <c r="M210" t="str">
        <f t="shared" si="9"/>
        <v>charge-altering-6kiw</v>
      </c>
      <c r="N210" t="str">
        <f t="shared" si="10"/>
        <v>6kiw</v>
      </c>
      <c r="O210" s="2" t="s">
        <v>45</v>
      </c>
      <c r="P210" s="2" t="str">
        <f t="shared" si="11"/>
        <v>H-E73Q</v>
      </c>
    </row>
    <row r="211" spans="1:16">
      <c r="A211" s="1" t="s">
        <v>26</v>
      </c>
      <c r="B211" s="1" t="s">
        <v>27</v>
      </c>
      <c r="C211" s="1" t="s">
        <v>56</v>
      </c>
      <c r="D211" s="1">
        <v>50</v>
      </c>
      <c r="E211" s="1" t="s">
        <v>19</v>
      </c>
      <c r="F211" s="1" t="s">
        <v>18</v>
      </c>
      <c r="G211" s="1">
        <v>0.44</v>
      </c>
      <c r="H211" s="1" t="s">
        <v>20</v>
      </c>
      <c r="I211" t="s">
        <v>53</v>
      </c>
      <c r="J211" t="s">
        <v>54</v>
      </c>
      <c r="K211" t="s">
        <v>55</v>
      </c>
      <c r="L211" t="s">
        <v>24</v>
      </c>
      <c r="M211" t="str">
        <f t="shared" si="9"/>
        <v>charge-altering-6kiw</v>
      </c>
      <c r="N211" t="str">
        <f t="shared" si="10"/>
        <v>6kiw</v>
      </c>
      <c r="O211" s="2" t="s">
        <v>45</v>
      </c>
      <c r="P211" s="2" t="str">
        <f t="shared" si="11"/>
        <v>H-G50D</v>
      </c>
    </row>
    <row r="212" spans="1:16">
      <c r="A212" s="1" t="s">
        <v>26</v>
      </c>
      <c r="B212" s="1" t="s">
        <v>27</v>
      </c>
      <c r="C212" s="1" t="s">
        <v>56</v>
      </c>
      <c r="D212" s="1">
        <v>46</v>
      </c>
      <c r="E212" s="1" t="s">
        <v>56</v>
      </c>
      <c r="F212" s="1" t="s">
        <v>49</v>
      </c>
      <c r="G212" s="1">
        <v>0.62</v>
      </c>
      <c r="H212" s="1" t="s">
        <v>20</v>
      </c>
      <c r="I212" t="s">
        <v>42</v>
      </c>
      <c r="J212" t="s">
        <v>22</v>
      </c>
      <c r="K212" t="s">
        <v>23</v>
      </c>
      <c r="L212" t="s">
        <v>24</v>
      </c>
      <c r="M212" t="str">
        <f t="shared" si="9"/>
        <v>charge-altering-6kiw</v>
      </c>
      <c r="N212" t="str">
        <f t="shared" si="10"/>
        <v>6kiw</v>
      </c>
      <c r="O212" s="2" t="s">
        <v>45</v>
      </c>
      <c r="P212" s="2" t="str">
        <f t="shared" si="11"/>
        <v>H-H46Y</v>
      </c>
    </row>
    <row r="213" spans="1:16">
      <c r="A213" s="1" t="s">
        <v>26</v>
      </c>
      <c r="B213" s="1" t="s">
        <v>27</v>
      </c>
      <c r="C213" s="1" t="s">
        <v>56</v>
      </c>
      <c r="D213" s="1">
        <v>44</v>
      </c>
      <c r="E213" s="1" t="s">
        <v>30</v>
      </c>
      <c r="F213" s="1" t="s">
        <v>29</v>
      </c>
      <c r="G213" s="1">
        <v>0.75</v>
      </c>
      <c r="H213" s="1" t="s">
        <v>20</v>
      </c>
      <c r="I213" t="s">
        <v>53</v>
      </c>
      <c r="J213" t="s">
        <v>54</v>
      </c>
      <c r="K213" t="s">
        <v>55</v>
      </c>
      <c r="L213" t="s">
        <v>24</v>
      </c>
      <c r="M213" t="str">
        <f t="shared" si="9"/>
        <v>charge-altering-6kiw</v>
      </c>
      <c r="N213" t="str">
        <f t="shared" si="10"/>
        <v>6kiw</v>
      </c>
      <c r="O213" s="2" t="s">
        <v>45</v>
      </c>
      <c r="P213" s="2" t="str">
        <f t="shared" si="11"/>
        <v>H-Q44E</v>
      </c>
    </row>
    <row r="214" spans="1:16">
      <c r="A214" s="1" t="s">
        <v>26</v>
      </c>
      <c r="B214" s="1" t="s">
        <v>27</v>
      </c>
      <c r="C214" s="1" t="s">
        <v>56</v>
      </c>
      <c r="D214" s="1">
        <v>44</v>
      </c>
      <c r="E214" s="1" t="s">
        <v>30</v>
      </c>
      <c r="F214" s="1" t="s">
        <v>56</v>
      </c>
      <c r="G214" s="1">
        <v>0.8</v>
      </c>
      <c r="H214" s="1" t="s">
        <v>20</v>
      </c>
      <c r="I214" t="s">
        <v>57</v>
      </c>
      <c r="J214" t="s">
        <v>54</v>
      </c>
      <c r="K214" t="s">
        <v>55</v>
      </c>
      <c r="L214" t="s">
        <v>24</v>
      </c>
      <c r="M214" t="str">
        <f t="shared" si="9"/>
        <v>charge-altering-6kiw</v>
      </c>
      <c r="N214" t="str">
        <f t="shared" si="10"/>
        <v>6kiw</v>
      </c>
      <c r="O214" s="2" t="s">
        <v>45</v>
      </c>
      <c r="P214" s="2" t="str">
        <f t="shared" si="11"/>
        <v>H-Q44H</v>
      </c>
    </row>
    <row r="215" spans="1:16">
      <c r="A215" s="1" t="s">
        <v>26</v>
      </c>
      <c r="B215" s="1" t="s">
        <v>27</v>
      </c>
      <c r="C215" s="1" t="s">
        <v>56</v>
      </c>
      <c r="D215" s="1">
        <v>33</v>
      </c>
      <c r="E215" s="1" t="s">
        <v>46</v>
      </c>
      <c r="F215" s="1" t="s">
        <v>43</v>
      </c>
      <c r="G215" s="1">
        <v>0.05</v>
      </c>
      <c r="H215" s="1" t="s">
        <v>20</v>
      </c>
      <c r="I215" t="s">
        <v>57</v>
      </c>
      <c r="J215" t="s">
        <v>54</v>
      </c>
      <c r="K215" t="s">
        <v>55</v>
      </c>
      <c r="L215" t="s">
        <v>24</v>
      </c>
      <c r="M215" t="str">
        <f t="shared" si="9"/>
        <v>charge-altering-6kiw</v>
      </c>
      <c r="N215" t="str">
        <f t="shared" si="10"/>
        <v>6kiw</v>
      </c>
      <c r="O215" s="2" t="s">
        <v>45</v>
      </c>
      <c r="P215" s="2" t="str">
        <f t="shared" si="11"/>
        <v>H-S33R</v>
      </c>
    </row>
    <row r="216" spans="1:16">
      <c r="A216" s="1" t="s">
        <v>26</v>
      </c>
      <c r="B216" s="1" t="s">
        <v>27</v>
      </c>
      <c r="C216" s="1" t="s">
        <v>32</v>
      </c>
      <c r="D216" s="1">
        <v>47</v>
      </c>
      <c r="E216" s="1" t="s">
        <v>32</v>
      </c>
      <c r="F216" s="1" t="s">
        <v>29</v>
      </c>
      <c r="G216" s="1">
        <v>-0.04</v>
      </c>
      <c r="H216" s="1" t="s">
        <v>59</v>
      </c>
      <c r="I216" t="s">
        <v>53</v>
      </c>
      <c r="J216" t="s">
        <v>54</v>
      </c>
      <c r="K216" t="s">
        <v>55</v>
      </c>
      <c r="L216" t="s">
        <v>24</v>
      </c>
      <c r="M216" t="str">
        <f t="shared" si="9"/>
        <v>charge-altering-6kiw</v>
      </c>
      <c r="N216" t="str">
        <f t="shared" si="10"/>
        <v>6kiw</v>
      </c>
      <c r="O216" s="2" t="s">
        <v>38</v>
      </c>
      <c r="P216" s="2" t="str">
        <f t="shared" si="11"/>
        <v>A-A47E</v>
      </c>
    </row>
    <row r="217" spans="1:16">
      <c r="A217" s="1" t="s">
        <v>26</v>
      </c>
      <c r="B217" s="1" t="s">
        <v>27</v>
      </c>
      <c r="C217" s="1" t="s">
        <v>32</v>
      </c>
      <c r="D217" s="1">
        <v>88</v>
      </c>
      <c r="E217" s="1" t="s">
        <v>32</v>
      </c>
      <c r="F217" s="1" t="s">
        <v>29</v>
      </c>
      <c r="G217" s="1">
        <v>0.74</v>
      </c>
      <c r="H217" s="1" t="s">
        <v>20</v>
      </c>
      <c r="I217" t="s">
        <v>53</v>
      </c>
      <c r="J217" t="s">
        <v>54</v>
      </c>
      <c r="K217" t="s">
        <v>55</v>
      </c>
      <c r="L217" t="s">
        <v>24</v>
      </c>
      <c r="M217" t="str">
        <f t="shared" si="9"/>
        <v>charge-altering-6kiw</v>
      </c>
      <c r="N217" t="str">
        <f t="shared" si="10"/>
        <v>6kiw</v>
      </c>
      <c r="O217" s="2" t="s">
        <v>38</v>
      </c>
      <c r="P217" s="2" t="str">
        <f t="shared" si="11"/>
        <v>A-A88E</v>
      </c>
    </row>
    <row r="218" spans="1:16">
      <c r="A218" s="1" t="s">
        <v>26</v>
      </c>
      <c r="B218" s="1" t="s">
        <v>27</v>
      </c>
      <c r="C218" s="1" t="s">
        <v>32</v>
      </c>
      <c r="D218" s="1">
        <v>106</v>
      </c>
      <c r="E218" s="1" t="s">
        <v>18</v>
      </c>
      <c r="F218" s="1" t="s">
        <v>41</v>
      </c>
      <c r="G218" s="1">
        <v>1.12</v>
      </c>
      <c r="H218" s="1" t="s">
        <v>20</v>
      </c>
      <c r="I218" t="s">
        <v>21</v>
      </c>
      <c r="J218" t="s">
        <v>22</v>
      </c>
      <c r="K218" t="s">
        <v>23</v>
      </c>
      <c r="L218" t="s">
        <v>24</v>
      </c>
      <c r="M218" t="str">
        <f t="shared" si="9"/>
        <v>charge-altering-6kiw</v>
      </c>
      <c r="N218" t="str">
        <f t="shared" si="10"/>
        <v>6kiw</v>
      </c>
      <c r="O218" s="2" t="s">
        <v>38</v>
      </c>
      <c r="P218" s="2" t="str">
        <f t="shared" si="11"/>
        <v>A-D106N</v>
      </c>
    </row>
    <row r="219" spans="1:16">
      <c r="A219" s="1" t="s">
        <v>26</v>
      </c>
      <c r="B219" s="1" t="s">
        <v>27</v>
      </c>
      <c r="C219" s="1" t="s">
        <v>32</v>
      </c>
      <c r="D219" s="1">
        <v>106</v>
      </c>
      <c r="E219" s="1" t="s">
        <v>18</v>
      </c>
      <c r="F219" s="1" t="s">
        <v>49</v>
      </c>
      <c r="G219" s="1">
        <v>0.87</v>
      </c>
      <c r="H219" s="1" t="s">
        <v>20</v>
      </c>
      <c r="I219" t="s">
        <v>21</v>
      </c>
      <c r="J219" t="s">
        <v>22</v>
      </c>
      <c r="K219" t="s">
        <v>23</v>
      </c>
      <c r="L219" t="s">
        <v>24</v>
      </c>
      <c r="M219" t="str">
        <f t="shared" si="9"/>
        <v>charge-altering-6kiw</v>
      </c>
      <c r="N219" t="str">
        <f t="shared" si="10"/>
        <v>6kiw</v>
      </c>
      <c r="O219" s="2" t="s">
        <v>38</v>
      </c>
      <c r="P219" s="2" t="str">
        <f t="shared" si="11"/>
        <v>A-D106Y</v>
      </c>
    </row>
    <row r="220" spans="1:16">
      <c r="A220" s="1" t="s">
        <v>26</v>
      </c>
      <c r="B220" s="1" t="s">
        <v>27</v>
      </c>
      <c r="C220" s="1" t="s">
        <v>32</v>
      </c>
      <c r="D220" s="1">
        <v>123</v>
      </c>
      <c r="E220" s="1" t="s">
        <v>18</v>
      </c>
      <c r="F220" s="1" t="s">
        <v>56</v>
      </c>
      <c r="G220" s="1">
        <v>0.75</v>
      </c>
      <c r="H220" s="1" t="s">
        <v>20</v>
      </c>
      <c r="I220" t="s">
        <v>50</v>
      </c>
      <c r="J220" t="s">
        <v>51</v>
      </c>
      <c r="K220" t="s">
        <v>52</v>
      </c>
      <c r="L220" t="s">
        <v>24</v>
      </c>
      <c r="M220" t="str">
        <f t="shared" si="9"/>
        <v>charge-altering-6kiw</v>
      </c>
      <c r="N220" t="str">
        <f t="shared" si="10"/>
        <v>6kiw</v>
      </c>
      <c r="O220" s="2" t="s">
        <v>38</v>
      </c>
      <c r="P220" s="2" t="str">
        <f t="shared" si="11"/>
        <v>A-D123H</v>
      </c>
    </row>
    <row r="221" spans="1:16">
      <c r="A221" s="1" t="s">
        <v>26</v>
      </c>
      <c r="B221" s="1" t="s">
        <v>27</v>
      </c>
      <c r="C221" s="1" t="s">
        <v>32</v>
      </c>
      <c r="D221" s="1">
        <v>81</v>
      </c>
      <c r="E221" s="1" t="s">
        <v>18</v>
      </c>
      <c r="F221" s="1" t="s">
        <v>56</v>
      </c>
      <c r="G221" s="1">
        <v>0.96</v>
      </c>
      <c r="H221" s="1" t="s">
        <v>20</v>
      </c>
      <c r="I221" t="s">
        <v>50</v>
      </c>
      <c r="J221" t="s">
        <v>51</v>
      </c>
      <c r="K221" t="s">
        <v>52</v>
      </c>
      <c r="L221" t="s">
        <v>24</v>
      </c>
      <c r="M221" t="str">
        <f t="shared" si="9"/>
        <v>charge-altering-6kiw</v>
      </c>
      <c r="N221" t="str">
        <f t="shared" si="10"/>
        <v>6kiw</v>
      </c>
      <c r="O221" s="2" t="s">
        <v>38</v>
      </c>
      <c r="P221" s="2" t="str">
        <f t="shared" si="11"/>
        <v>A-D81H</v>
      </c>
    </row>
    <row r="222" spans="1:16">
      <c r="A222" s="1" t="s">
        <v>26</v>
      </c>
      <c r="B222" s="1" t="s">
        <v>27</v>
      </c>
      <c r="C222" s="1" t="s">
        <v>32</v>
      </c>
      <c r="D222" s="1">
        <v>81</v>
      </c>
      <c r="E222" s="1" t="s">
        <v>18</v>
      </c>
      <c r="F222" s="1" t="s">
        <v>41</v>
      </c>
      <c r="G222" s="1">
        <v>1.08</v>
      </c>
      <c r="H222" s="1" t="s">
        <v>20</v>
      </c>
      <c r="I222" t="s">
        <v>21</v>
      </c>
      <c r="J222" t="s">
        <v>22</v>
      </c>
      <c r="K222" t="s">
        <v>23</v>
      </c>
      <c r="L222" t="s">
        <v>24</v>
      </c>
      <c r="M222" t="str">
        <f t="shared" si="9"/>
        <v>charge-altering-6kiw</v>
      </c>
      <c r="N222" t="str">
        <f t="shared" si="10"/>
        <v>6kiw</v>
      </c>
      <c r="O222" s="2" t="s">
        <v>38</v>
      </c>
      <c r="P222" s="2" t="str">
        <f t="shared" si="11"/>
        <v>A-D81N</v>
      </c>
    </row>
    <row r="223" spans="1:16">
      <c r="A223" s="1" t="s">
        <v>26</v>
      </c>
      <c r="B223" s="1" t="s">
        <v>27</v>
      </c>
      <c r="C223" s="1" t="s">
        <v>32</v>
      </c>
      <c r="D223" s="1">
        <v>105</v>
      </c>
      <c r="E223" s="1" t="s">
        <v>29</v>
      </c>
      <c r="F223" s="1" t="s">
        <v>40</v>
      </c>
      <c r="G223" s="1">
        <v>1.07</v>
      </c>
      <c r="H223" s="1" t="s">
        <v>20</v>
      </c>
      <c r="I223" t="s">
        <v>50</v>
      </c>
      <c r="J223" t="s">
        <v>51</v>
      </c>
      <c r="K223" t="s">
        <v>52</v>
      </c>
      <c r="L223" t="s">
        <v>24</v>
      </c>
      <c r="M223" t="str">
        <f t="shared" si="9"/>
        <v>charge-altering-6kiw</v>
      </c>
      <c r="N223" t="str">
        <f t="shared" si="10"/>
        <v>6kiw</v>
      </c>
      <c r="O223" s="2" t="s">
        <v>38</v>
      </c>
      <c r="P223" s="2" t="str">
        <f t="shared" si="11"/>
        <v>A-E105K</v>
      </c>
    </row>
    <row r="224" spans="1:16">
      <c r="A224" s="1" t="s">
        <v>26</v>
      </c>
      <c r="B224" s="1" t="s">
        <v>27</v>
      </c>
      <c r="C224" s="1" t="s">
        <v>32</v>
      </c>
      <c r="D224" s="1">
        <v>105</v>
      </c>
      <c r="E224" s="1" t="s">
        <v>29</v>
      </c>
      <c r="F224" s="1" t="s">
        <v>30</v>
      </c>
      <c r="G224" s="1">
        <v>1.03</v>
      </c>
      <c r="H224" s="1" t="s">
        <v>20</v>
      </c>
      <c r="I224" t="s">
        <v>21</v>
      </c>
      <c r="J224" t="s">
        <v>22</v>
      </c>
      <c r="K224" t="s">
        <v>23</v>
      </c>
      <c r="L224" t="s">
        <v>24</v>
      </c>
      <c r="M224" t="str">
        <f t="shared" si="9"/>
        <v>charge-altering-6kiw</v>
      </c>
      <c r="N224" t="str">
        <f t="shared" si="10"/>
        <v>6kiw</v>
      </c>
      <c r="O224" s="2" t="s">
        <v>38</v>
      </c>
      <c r="P224" s="2" t="str">
        <f t="shared" si="11"/>
        <v>A-E105Q</v>
      </c>
    </row>
    <row r="225" spans="1:16">
      <c r="A225" s="1" t="s">
        <v>26</v>
      </c>
      <c r="B225" s="1" t="s">
        <v>27</v>
      </c>
      <c r="C225" s="1" t="s">
        <v>32</v>
      </c>
      <c r="D225" s="1">
        <v>133</v>
      </c>
      <c r="E225" s="1" t="s">
        <v>29</v>
      </c>
      <c r="F225" s="1" t="s">
        <v>40</v>
      </c>
      <c r="G225" s="1">
        <v>0.96</v>
      </c>
      <c r="H225" s="1" t="s">
        <v>20</v>
      </c>
      <c r="I225" t="s">
        <v>50</v>
      </c>
      <c r="J225" t="s">
        <v>51</v>
      </c>
      <c r="K225" t="s">
        <v>52</v>
      </c>
      <c r="L225" t="s">
        <v>24</v>
      </c>
      <c r="M225" t="str">
        <f t="shared" si="9"/>
        <v>charge-altering-6kiw</v>
      </c>
      <c r="N225" t="str">
        <f t="shared" si="10"/>
        <v>6kiw</v>
      </c>
      <c r="O225" s="2" t="s">
        <v>38</v>
      </c>
      <c r="P225" s="2" t="str">
        <f t="shared" si="11"/>
        <v>A-E133K</v>
      </c>
    </row>
    <row r="226" spans="1:16">
      <c r="A226" s="1" t="s">
        <v>26</v>
      </c>
      <c r="B226" s="1" t="s">
        <v>27</v>
      </c>
      <c r="C226" s="1" t="s">
        <v>32</v>
      </c>
      <c r="D226" s="1">
        <v>133</v>
      </c>
      <c r="E226" s="1" t="s">
        <v>29</v>
      </c>
      <c r="F226" s="1" t="s">
        <v>30</v>
      </c>
      <c r="G226" s="1">
        <v>0.75</v>
      </c>
      <c r="H226" s="1" t="s">
        <v>20</v>
      </c>
      <c r="I226" t="s">
        <v>21</v>
      </c>
      <c r="J226" t="s">
        <v>22</v>
      </c>
      <c r="K226" t="s">
        <v>23</v>
      </c>
      <c r="L226" t="s">
        <v>24</v>
      </c>
      <c r="M226" t="str">
        <f t="shared" si="9"/>
        <v>charge-altering-6kiw</v>
      </c>
      <c r="N226" t="str">
        <f t="shared" si="10"/>
        <v>6kiw</v>
      </c>
      <c r="O226" s="2" t="s">
        <v>38</v>
      </c>
      <c r="P226" s="2" t="str">
        <f t="shared" si="11"/>
        <v>A-E133Q</v>
      </c>
    </row>
    <row r="227" spans="1:16">
      <c r="A227" s="1" t="s">
        <v>26</v>
      </c>
      <c r="B227" s="1" t="s">
        <v>27</v>
      </c>
      <c r="C227" s="1" t="s">
        <v>32</v>
      </c>
      <c r="D227" s="1">
        <v>50</v>
      </c>
      <c r="E227" s="1" t="s">
        <v>29</v>
      </c>
      <c r="F227" s="1" t="s">
        <v>40</v>
      </c>
      <c r="G227" s="1">
        <v>1.24</v>
      </c>
      <c r="H227" s="1" t="s">
        <v>20</v>
      </c>
      <c r="I227" t="s">
        <v>50</v>
      </c>
      <c r="J227" t="s">
        <v>51</v>
      </c>
      <c r="K227" t="s">
        <v>52</v>
      </c>
      <c r="L227" t="s">
        <v>24</v>
      </c>
      <c r="M227" t="str">
        <f t="shared" si="9"/>
        <v>charge-altering-6kiw</v>
      </c>
      <c r="N227" t="str">
        <f t="shared" si="10"/>
        <v>6kiw</v>
      </c>
      <c r="O227" s="2" t="s">
        <v>38</v>
      </c>
      <c r="P227" s="2" t="str">
        <f t="shared" si="11"/>
        <v>A-E50K</v>
      </c>
    </row>
    <row r="228" spans="1:16">
      <c r="A228" s="1" t="s">
        <v>26</v>
      </c>
      <c r="B228" s="1" t="s">
        <v>27</v>
      </c>
      <c r="C228" s="1" t="s">
        <v>32</v>
      </c>
      <c r="D228" s="1">
        <v>50</v>
      </c>
      <c r="E228" s="1" t="s">
        <v>29</v>
      </c>
      <c r="F228" s="1" t="s">
        <v>30</v>
      </c>
      <c r="G228" s="1">
        <v>1.1</v>
      </c>
      <c r="H228" s="1" t="s">
        <v>20</v>
      </c>
      <c r="I228" t="s">
        <v>21</v>
      </c>
      <c r="J228" t="s">
        <v>22</v>
      </c>
      <c r="K228" t="s">
        <v>23</v>
      </c>
      <c r="L228" t="s">
        <v>24</v>
      </c>
      <c r="M228" t="str">
        <f t="shared" si="9"/>
        <v>charge-altering-6kiw</v>
      </c>
      <c r="N228" t="str">
        <f t="shared" si="10"/>
        <v>6kiw</v>
      </c>
      <c r="O228" s="2" t="s">
        <v>38</v>
      </c>
      <c r="P228" s="2" t="str">
        <f t="shared" si="11"/>
        <v>A-E50Q</v>
      </c>
    </row>
    <row r="229" spans="1:16">
      <c r="A229" s="1" t="s">
        <v>26</v>
      </c>
      <c r="B229" s="1" t="s">
        <v>27</v>
      </c>
      <c r="C229" s="1" t="s">
        <v>32</v>
      </c>
      <c r="D229" s="1">
        <v>73</v>
      </c>
      <c r="E229" s="1" t="s">
        <v>29</v>
      </c>
      <c r="F229" s="1" t="s">
        <v>40</v>
      </c>
      <c r="G229" s="1">
        <v>1.07</v>
      </c>
      <c r="H229" s="1" t="s">
        <v>20</v>
      </c>
      <c r="I229" t="s">
        <v>50</v>
      </c>
      <c r="J229" t="s">
        <v>51</v>
      </c>
      <c r="K229" t="s">
        <v>52</v>
      </c>
      <c r="L229" t="s">
        <v>24</v>
      </c>
      <c r="M229" t="str">
        <f t="shared" si="9"/>
        <v>charge-altering-6kiw</v>
      </c>
      <c r="N229" t="str">
        <f t="shared" si="10"/>
        <v>6kiw</v>
      </c>
      <c r="O229" s="2" t="s">
        <v>38</v>
      </c>
      <c r="P229" s="2" t="str">
        <f t="shared" si="11"/>
        <v>A-E73K</v>
      </c>
    </row>
    <row r="230" spans="1:16">
      <c r="A230" s="1" t="s">
        <v>26</v>
      </c>
      <c r="B230" s="1" t="s">
        <v>27</v>
      </c>
      <c r="C230" s="1" t="s">
        <v>32</v>
      </c>
      <c r="D230" s="1">
        <v>73</v>
      </c>
      <c r="E230" s="1" t="s">
        <v>29</v>
      </c>
      <c r="F230" s="1" t="s">
        <v>30</v>
      </c>
      <c r="G230" s="1">
        <v>0.97</v>
      </c>
      <c r="H230" s="1" t="s">
        <v>20</v>
      </c>
      <c r="I230" t="s">
        <v>21</v>
      </c>
      <c r="J230" t="s">
        <v>22</v>
      </c>
      <c r="K230" t="s">
        <v>23</v>
      </c>
      <c r="L230" t="s">
        <v>24</v>
      </c>
      <c r="M230" t="str">
        <f t="shared" si="9"/>
        <v>charge-altering-6kiw</v>
      </c>
      <c r="N230" t="str">
        <f t="shared" si="10"/>
        <v>6kiw</v>
      </c>
      <c r="O230" s="2" t="s">
        <v>38</v>
      </c>
      <c r="P230" s="2" t="str">
        <f t="shared" si="11"/>
        <v>A-E73Q</v>
      </c>
    </row>
    <row r="231" spans="1:16">
      <c r="A231" s="1" t="s">
        <v>26</v>
      </c>
      <c r="B231" s="1" t="s">
        <v>27</v>
      </c>
      <c r="C231" s="1" t="s">
        <v>32</v>
      </c>
      <c r="D231" s="1">
        <v>94</v>
      </c>
      <c r="E231" s="1" t="s">
        <v>29</v>
      </c>
      <c r="F231" s="1" t="s">
        <v>40</v>
      </c>
      <c r="G231" s="1">
        <v>1.3</v>
      </c>
      <c r="H231" s="1" t="s">
        <v>20</v>
      </c>
      <c r="I231" t="s">
        <v>50</v>
      </c>
      <c r="J231" t="s">
        <v>51</v>
      </c>
      <c r="K231" t="s">
        <v>52</v>
      </c>
      <c r="L231" t="s">
        <v>24</v>
      </c>
      <c r="M231" t="str">
        <f t="shared" si="9"/>
        <v>charge-altering-6kiw</v>
      </c>
      <c r="N231" t="str">
        <f t="shared" si="10"/>
        <v>6kiw</v>
      </c>
      <c r="O231" s="2" t="s">
        <v>38</v>
      </c>
      <c r="P231" s="2" t="str">
        <f t="shared" si="11"/>
        <v>A-E94K</v>
      </c>
    </row>
    <row r="232" spans="1:16">
      <c r="A232" s="1" t="s">
        <v>26</v>
      </c>
      <c r="B232" s="1" t="s">
        <v>27</v>
      </c>
      <c r="C232" s="1" t="s">
        <v>32</v>
      </c>
      <c r="D232" s="1">
        <v>94</v>
      </c>
      <c r="E232" s="1" t="s">
        <v>29</v>
      </c>
      <c r="F232" s="1" t="s">
        <v>30</v>
      </c>
      <c r="G232" s="1">
        <v>1.26</v>
      </c>
      <c r="H232" s="1" t="s">
        <v>20</v>
      </c>
      <c r="I232" t="s">
        <v>21</v>
      </c>
      <c r="J232" t="s">
        <v>22</v>
      </c>
      <c r="K232" t="s">
        <v>23</v>
      </c>
      <c r="L232" t="s">
        <v>24</v>
      </c>
      <c r="M232" t="str">
        <f t="shared" si="9"/>
        <v>charge-altering-6kiw</v>
      </c>
      <c r="N232" t="str">
        <f t="shared" si="10"/>
        <v>6kiw</v>
      </c>
      <c r="O232" s="2" t="s">
        <v>38</v>
      </c>
      <c r="P232" s="2" t="str">
        <f t="shared" si="11"/>
        <v>A-E94Q</v>
      </c>
    </row>
    <row r="233" spans="1:16">
      <c r="A233" s="1" t="s">
        <v>26</v>
      </c>
      <c r="B233" s="1" t="s">
        <v>27</v>
      </c>
      <c r="C233" s="1" t="s">
        <v>32</v>
      </c>
      <c r="D233" s="1">
        <v>97</v>
      </c>
      <c r="E233" s="1" t="s">
        <v>29</v>
      </c>
      <c r="F233" s="1" t="s">
        <v>40</v>
      </c>
      <c r="G233" s="1">
        <v>1.06</v>
      </c>
      <c r="H233" s="1" t="s">
        <v>20</v>
      </c>
      <c r="I233" t="s">
        <v>50</v>
      </c>
      <c r="J233" t="s">
        <v>51</v>
      </c>
      <c r="K233" t="s">
        <v>52</v>
      </c>
      <c r="L233" t="s">
        <v>24</v>
      </c>
      <c r="M233" t="str">
        <f t="shared" si="9"/>
        <v>charge-altering-6kiw</v>
      </c>
      <c r="N233" t="str">
        <f t="shared" si="10"/>
        <v>6kiw</v>
      </c>
      <c r="O233" s="2" t="s">
        <v>38</v>
      </c>
      <c r="P233" s="2" t="str">
        <f t="shared" si="11"/>
        <v>A-E97K</v>
      </c>
    </row>
    <row r="234" spans="1:16">
      <c r="A234" s="1" t="s">
        <v>26</v>
      </c>
      <c r="B234" s="1" t="s">
        <v>27</v>
      </c>
      <c r="C234" s="1" t="s">
        <v>32</v>
      </c>
      <c r="D234" s="1">
        <v>97</v>
      </c>
      <c r="E234" s="1" t="s">
        <v>29</v>
      </c>
      <c r="F234" s="1" t="s">
        <v>30</v>
      </c>
      <c r="G234" s="1">
        <v>1.18</v>
      </c>
      <c r="H234" s="1" t="s">
        <v>20</v>
      </c>
      <c r="I234" t="s">
        <v>21</v>
      </c>
      <c r="J234" t="s">
        <v>22</v>
      </c>
      <c r="K234" t="s">
        <v>23</v>
      </c>
      <c r="L234" t="s">
        <v>24</v>
      </c>
      <c r="M234" t="str">
        <f t="shared" si="9"/>
        <v>charge-altering-6kiw</v>
      </c>
      <c r="N234" t="str">
        <f t="shared" si="10"/>
        <v>6kiw</v>
      </c>
      <c r="O234" s="2" t="s">
        <v>38</v>
      </c>
      <c r="P234" s="2" t="str">
        <f t="shared" si="11"/>
        <v>A-E97Q</v>
      </c>
    </row>
    <row r="235" spans="1:16">
      <c r="A235" s="1" t="s">
        <v>26</v>
      </c>
      <c r="B235" s="1" t="s">
        <v>27</v>
      </c>
      <c r="C235" s="1" t="s">
        <v>32</v>
      </c>
      <c r="D235" s="1">
        <v>44</v>
      </c>
      <c r="E235" s="1" t="s">
        <v>19</v>
      </c>
      <c r="F235" s="1" t="s">
        <v>18</v>
      </c>
      <c r="G235" s="1">
        <v>0.46</v>
      </c>
      <c r="H235" s="1" t="s">
        <v>20</v>
      </c>
      <c r="I235" t="s">
        <v>53</v>
      </c>
      <c r="J235" t="s">
        <v>54</v>
      </c>
      <c r="K235" t="s">
        <v>55</v>
      </c>
      <c r="L235" t="s">
        <v>24</v>
      </c>
      <c r="M235" t="str">
        <f t="shared" si="9"/>
        <v>charge-altering-6kiw</v>
      </c>
      <c r="N235" t="str">
        <f t="shared" si="10"/>
        <v>6kiw</v>
      </c>
      <c r="O235" s="2" t="s">
        <v>38</v>
      </c>
      <c r="P235" s="2" t="str">
        <f t="shared" si="11"/>
        <v>A-G44D</v>
      </c>
    </row>
    <row r="236" spans="1:16">
      <c r="A236" s="1" t="s">
        <v>26</v>
      </c>
      <c r="B236" s="1" t="s">
        <v>27</v>
      </c>
      <c r="C236" s="1" t="s">
        <v>32</v>
      </c>
      <c r="D236" s="1">
        <v>113</v>
      </c>
      <c r="E236" s="1" t="s">
        <v>56</v>
      </c>
      <c r="F236" s="1" t="s">
        <v>41</v>
      </c>
      <c r="G236" s="1">
        <v>0.89</v>
      </c>
      <c r="H236" s="1" t="s">
        <v>20</v>
      </c>
      <c r="I236" t="s">
        <v>42</v>
      </c>
      <c r="J236" t="s">
        <v>22</v>
      </c>
      <c r="K236" t="s">
        <v>23</v>
      </c>
      <c r="L236" t="s">
        <v>24</v>
      </c>
      <c r="M236" t="str">
        <f t="shared" si="9"/>
        <v>charge-altering-6kiw</v>
      </c>
      <c r="N236" t="str">
        <f t="shared" si="10"/>
        <v>6kiw</v>
      </c>
      <c r="O236" s="2" t="s">
        <v>38</v>
      </c>
      <c r="P236" s="2" t="str">
        <f t="shared" si="11"/>
        <v>A-H113N</v>
      </c>
    </row>
    <row r="237" spans="1:16">
      <c r="A237" s="1" t="s">
        <v>26</v>
      </c>
      <c r="B237" s="1" t="s">
        <v>27</v>
      </c>
      <c r="C237" s="1" t="s">
        <v>32</v>
      </c>
      <c r="D237" s="1">
        <v>79</v>
      </c>
      <c r="E237" s="1" t="s">
        <v>40</v>
      </c>
      <c r="F237" s="1" t="s">
        <v>41</v>
      </c>
      <c r="G237" s="1">
        <v>1.4</v>
      </c>
      <c r="H237" s="1" t="s">
        <v>20</v>
      </c>
      <c r="I237" t="s">
        <v>42</v>
      </c>
      <c r="J237" t="s">
        <v>22</v>
      </c>
      <c r="K237" t="s">
        <v>23</v>
      </c>
      <c r="L237" t="s">
        <v>24</v>
      </c>
      <c r="M237" t="str">
        <f t="shared" si="9"/>
        <v>charge-altering-6kiw</v>
      </c>
      <c r="N237" t="str">
        <f t="shared" si="10"/>
        <v>6kiw</v>
      </c>
      <c r="O237" s="2" t="s">
        <v>38</v>
      </c>
      <c r="P237" s="2" t="str">
        <f t="shared" si="11"/>
        <v>A-K79N</v>
      </c>
    </row>
    <row r="238" spans="1:16">
      <c r="A238" s="1" t="s">
        <v>26</v>
      </c>
      <c r="B238" s="1" t="s">
        <v>27</v>
      </c>
      <c r="C238" s="1" t="s">
        <v>32</v>
      </c>
      <c r="D238" s="1">
        <v>108</v>
      </c>
      <c r="E238" s="1" t="s">
        <v>41</v>
      </c>
      <c r="F238" s="1" t="s">
        <v>40</v>
      </c>
      <c r="G238" s="1">
        <v>0.92</v>
      </c>
      <c r="H238" s="1" t="s">
        <v>20</v>
      </c>
      <c r="I238" t="s">
        <v>57</v>
      </c>
      <c r="J238" t="s">
        <v>54</v>
      </c>
      <c r="K238" t="s">
        <v>55</v>
      </c>
      <c r="L238" t="s">
        <v>24</v>
      </c>
      <c r="M238" t="str">
        <f t="shared" si="9"/>
        <v>charge-altering-6kiw</v>
      </c>
      <c r="N238" t="str">
        <f t="shared" si="10"/>
        <v>6kiw</v>
      </c>
      <c r="O238" s="2" t="s">
        <v>38</v>
      </c>
      <c r="P238" s="2" t="str">
        <f t="shared" si="11"/>
        <v>A-N108K</v>
      </c>
    </row>
    <row r="239" spans="1:16">
      <c r="A239" s="1" t="s">
        <v>26</v>
      </c>
      <c r="B239" s="1" t="s">
        <v>27</v>
      </c>
      <c r="C239" s="1" t="s">
        <v>32</v>
      </c>
      <c r="D239" s="1">
        <v>125</v>
      </c>
      <c r="E239" s="1" t="s">
        <v>30</v>
      </c>
      <c r="F239" s="1" t="s">
        <v>56</v>
      </c>
      <c r="G239" s="1">
        <v>0.68</v>
      </c>
      <c r="H239" s="1" t="s">
        <v>20</v>
      </c>
      <c r="I239" t="s">
        <v>57</v>
      </c>
      <c r="J239" t="s">
        <v>54</v>
      </c>
      <c r="K239" t="s">
        <v>55</v>
      </c>
      <c r="L239" t="s">
        <v>24</v>
      </c>
      <c r="M239" t="str">
        <f t="shared" si="9"/>
        <v>charge-altering-6kiw</v>
      </c>
      <c r="N239" t="str">
        <f t="shared" si="10"/>
        <v>6kiw</v>
      </c>
      <c r="O239" s="2" t="s">
        <v>38</v>
      </c>
      <c r="P239" s="2" t="str">
        <f t="shared" si="11"/>
        <v>A-Q125H</v>
      </c>
    </row>
    <row r="240" spans="1:16">
      <c r="A240" s="1" t="s">
        <v>26</v>
      </c>
      <c r="B240" s="1" t="s">
        <v>27</v>
      </c>
      <c r="C240" s="1" t="s">
        <v>32</v>
      </c>
      <c r="D240" s="1">
        <v>125</v>
      </c>
      <c r="E240" s="1" t="s">
        <v>30</v>
      </c>
      <c r="F240" s="1" t="s">
        <v>40</v>
      </c>
      <c r="G240" s="1">
        <v>0.57</v>
      </c>
      <c r="H240" s="1" t="s">
        <v>20</v>
      </c>
      <c r="I240" t="s">
        <v>57</v>
      </c>
      <c r="J240" t="s">
        <v>54</v>
      </c>
      <c r="K240" t="s">
        <v>55</v>
      </c>
      <c r="L240" t="s">
        <v>24</v>
      </c>
      <c r="M240" t="str">
        <f t="shared" si="9"/>
        <v>charge-altering-6kiw</v>
      </c>
      <c r="N240" t="str">
        <f t="shared" si="10"/>
        <v>6kiw</v>
      </c>
      <c r="O240" s="2" t="s">
        <v>38</v>
      </c>
      <c r="P240" s="2" t="str">
        <f t="shared" si="11"/>
        <v>A-Q125K</v>
      </c>
    </row>
    <row r="241" spans="1:16">
      <c r="A241" s="1" t="s">
        <v>26</v>
      </c>
      <c r="B241" s="1" t="s">
        <v>27</v>
      </c>
      <c r="C241" s="1" t="s">
        <v>32</v>
      </c>
      <c r="D241" s="1">
        <v>55</v>
      </c>
      <c r="E241" s="1" t="s">
        <v>30</v>
      </c>
      <c r="F241" s="1" t="s">
        <v>29</v>
      </c>
      <c r="G241" s="1">
        <v>1.4</v>
      </c>
      <c r="H241" s="1" t="s">
        <v>20</v>
      </c>
      <c r="I241" t="s">
        <v>53</v>
      </c>
      <c r="J241" t="s">
        <v>54</v>
      </c>
      <c r="K241" t="s">
        <v>55</v>
      </c>
      <c r="L241" t="s">
        <v>24</v>
      </c>
      <c r="M241" t="str">
        <f t="shared" si="9"/>
        <v>charge-altering-6kiw</v>
      </c>
      <c r="N241" t="str">
        <f t="shared" si="10"/>
        <v>6kiw</v>
      </c>
      <c r="O241" s="2" t="s">
        <v>38</v>
      </c>
      <c r="P241" s="2" t="str">
        <f t="shared" si="11"/>
        <v>A-Q55E</v>
      </c>
    </row>
    <row r="242" spans="1:16">
      <c r="A242" s="1" t="s">
        <v>26</v>
      </c>
      <c r="B242" s="1" t="s">
        <v>27</v>
      </c>
      <c r="C242" s="1" t="s">
        <v>32</v>
      </c>
      <c r="D242" s="1">
        <v>55</v>
      </c>
      <c r="E242" s="1" t="s">
        <v>30</v>
      </c>
      <c r="F242" s="1" t="s">
        <v>56</v>
      </c>
      <c r="G242" s="1">
        <v>1.18</v>
      </c>
      <c r="H242" s="1" t="s">
        <v>20</v>
      </c>
      <c r="I242" t="s">
        <v>57</v>
      </c>
      <c r="J242" t="s">
        <v>54</v>
      </c>
      <c r="K242" t="s">
        <v>55</v>
      </c>
      <c r="L242" t="s">
        <v>24</v>
      </c>
      <c r="M242" t="str">
        <f t="shared" si="9"/>
        <v>charge-altering-6kiw</v>
      </c>
      <c r="N242" t="str">
        <f t="shared" si="10"/>
        <v>6kiw</v>
      </c>
      <c r="O242" s="2" t="s">
        <v>38</v>
      </c>
      <c r="P242" s="2" t="str">
        <f t="shared" si="11"/>
        <v>A-Q55H</v>
      </c>
    </row>
    <row r="243" spans="1:16">
      <c r="A243" s="1" t="s">
        <v>26</v>
      </c>
      <c r="B243" s="1" t="s">
        <v>27</v>
      </c>
      <c r="C243" s="1" t="s">
        <v>32</v>
      </c>
      <c r="D243" s="1">
        <v>116</v>
      </c>
      <c r="E243" s="1" t="s">
        <v>43</v>
      </c>
      <c r="F243" s="1" t="s">
        <v>58</v>
      </c>
      <c r="G243" s="1">
        <v>2.05</v>
      </c>
      <c r="H243" s="1" t="s">
        <v>20</v>
      </c>
      <c r="I243" t="s">
        <v>42</v>
      </c>
      <c r="J243" t="s">
        <v>22</v>
      </c>
      <c r="K243" t="s">
        <v>23</v>
      </c>
      <c r="L243" t="s">
        <v>24</v>
      </c>
      <c r="M243" t="str">
        <f t="shared" si="9"/>
        <v>charge-altering-6kiw</v>
      </c>
      <c r="N243" t="str">
        <f t="shared" si="10"/>
        <v>6kiw</v>
      </c>
      <c r="O243" s="2" t="s">
        <v>38</v>
      </c>
      <c r="P243" s="2" t="str">
        <f t="shared" si="11"/>
        <v>A-R116P</v>
      </c>
    </row>
    <row r="244" spans="1:16">
      <c r="A244" s="1" t="s">
        <v>26</v>
      </c>
      <c r="B244" s="1" t="s">
        <v>27</v>
      </c>
      <c r="C244" s="1" t="s">
        <v>32</v>
      </c>
      <c r="D244" s="1">
        <v>116</v>
      </c>
      <c r="E244" s="1" t="s">
        <v>43</v>
      </c>
      <c r="F244" s="1" t="s">
        <v>30</v>
      </c>
      <c r="G244" s="1">
        <v>1</v>
      </c>
      <c r="H244" s="1" t="s">
        <v>20</v>
      </c>
      <c r="I244" t="s">
        <v>42</v>
      </c>
      <c r="J244" t="s">
        <v>22</v>
      </c>
      <c r="K244" t="s">
        <v>23</v>
      </c>
      <c r="L244" t="s">
        <v>24</v>
      </c>
      <c r="M244" t="str">
        <f t="shared" si="9"/>
        <v>charge-altering-6kiw</v>
      </c>
      <c r="N244" t="str">
        <f t="shared" si="10"/>
        <v>6kiw</v>
      </c>
      <c r="O244" s="2" t="s">
        <v>38</v>
      </c>
      <c r="P244" s="2" t="str">
        <f t="shared" si="11"/>
        <v>A-R116Q</v>
      </c>
    </row>
    <row r="245" spans="1:16">
      <c r="A245" s="1" t="s">
        <v>26</v>
      </c>
      <c r="B245" s="1" t="s">
        <v>27</v>
      </c>
      <c r="C245" s="1" t="s">
        <v>32</v>
      </c>
      <c r="D245" s="1">
        <v>129</v>
      </c>
      <c r="E245" s="1" t="s">
        <v>43</v>
      </c>
      <c r="F245" s="1" t="s">
        <v>17</v>
      </c>
      <c r="G245" s="1">
        <v>0.98</v>
      </c>
      <c r="H245" s="1" t="s">
        <v>20</v>
      </c>
      <c r="I245" t="s">
        <v>42</v>
      </c>
      <c r="J245" t="s">
        <v>22</v>
      </c>
      <c r="K245" t="s">
        <v>23</v>
      </c>
      <c r="L245" t="s">
        <v>24</v>
      </c>
      <c r="M245" t="str">
        <f t="shared" si="9"/>
        <v>charge-altering-6kiw</v>
      </c>
      <c r="N245" t="str">
        <f t="shared" si="10"/>
        <v>6kiw</v>
      </c>
      <c r="O245" s="2" t="s">
        <v>38</v>
      </c>
      <c r="P245" s="2" t="str">
        <f t="shared" si="11"/>
        <v>A-R129C</v>
      </c>
    </row>
    <row r="246" spans="1:16">
      <c r="A246" s="1" t="s">
        <v>26</v>
      </c>
      <c r="B246" s="1" t="s">
        <v>27</v>
      </c>
      <c r="C246" s="1" t="s">
        <v>32</v>
      </c>
      <c r="D246" s="1">
        <v>129</v>
      </c>
      <c r="E246" s="1" t="s">
        <v>43</v>
      </c>
      <c r="F246" s="1" t="s">
        <v>30</v>
      </c>
      <c r="G246" s="1">
        <v>1.24</v>
      </c>
      <c r="H246" s="1" t="s">
        <v>20</v>
      </c>
      <c r="I246" t="s">
        <v>42</v>
      </c>
      <c r="J246" t="s">
        <v>22</v>
      </c>
      <c r="K246" t="s">
        <v>23</v>
      </c>
      <c r="L246" t="s">
        <v>24</v>
      </c>
      <c r="M246" t="str">
        <f t="shared" si="9"/>
        <v>charge-altering-6kiw</v>
      </c>
      <c r="N246" t="str">
        <f t="shared" si="10"/>
        <v>6kiw</v>
      </c>
      <c r="O246" s="2" t="s">
        <v>38</v>
      </c>
      <c r="P246" s="2" t="str">
        <f t="shared" si="11"/>
        <v>A-R129Q</v>
      </c>
    </row>
    <row r="247" spans="1:16">
      <c r="A247" s="1" t="s">
        <v>26</v>
      </c>
      <c r="B247" s="1" t="s">
        <v>27</v>
      </c>
      <c r="C247" s="1" t="s">
        <v>32</v>
      </c>
      <c r="D247" s="1">
        <v>131</v>
      </c>
      <c r="E247" s="1" t="s">
        <v>43</v>
      </c>
      <c r="F247" s="1" t="s">
        <v>17</v>
      </c>
      <c r="G247" s="1">
        <v>1.22</v>
      </c>
      <c r="H247" s="1" t="s">
        <v>20</v>
      </c>
      <c r="I247" t="s">
        <v>42</v>
      </c>
      <c r="J247" t="s">
        <v>22</v>
      </c>
      <c r="K247" t="s">
        <v>23</v>
      </c>
      <c r="L247" t="s">
        <v>24</v>
      </c>
      <c r="M247" t="str">
        <f t="shared" si="9"/>
        <v>charge-altering-6kiw</v>
      </c>
      <c r="N247" t="str">
        <f t="shared" si="10"/>
        <v>6kiw</v>
      </c>
      <c r="O247" s="2" t="s">
        <v>38</v>
      </c>
      <c r="P247" s="2" t="str">
        <f t="shared" si="11"/>
        <v>A-R131C</v>
      </c>
    </row>
    <row r="248" spans="1:16">
      <c r="A248" s="1" t="s">
        <v>26</v>
      </c>
      <c r="B248" s="1" t="s">
        <v>27</v>
      </c>
      <c r="C248" s="1" t="s">
        <v>32</v>
      </c>
      <c r="D248" s="1">
        <v>131</v>
      </c>
      <c r="E248" s="1" t="s">
        <v>43</v>
      </c>
      <c r="F248" s="1" t="s">
        <v>19</v>
      </c>
      <c r="G248" s="1">
        <v>1.71</v>
      </c>
      <c r="H248" s="1" t="s">
        <v>20</v>
      </c>
      <c r="I248" t="s">
        <v>42</v>
      </c>
      <c r="J248" t="s">
        <v>22</v>
      </c>
      <c r="K248" t="s">
        <v>23</v>
      </c>
      <c r="L248" t="s">
        <v>24</v>
      </c>
      <c r="M248" t="str">
        <f t="shared" si="9"/>
        <v>charge-altering-6kiw</v>
      </c>
      <c r="N248" t="str">
        <f t="shared" si="10"/>
        <v>6kiw</v>
      </c>
      <c r="O248" s="2" t="s">
        <v>38</v>
      </c>
      <c r="P248" s="2" t="str">
        <f t="shared" si="11"/>
        <v>A-R131G</v>
      </c>
    </row>
    <row r="249" spans="1:16">
      <c r="A249" s="1" t="s">
        <v>26</v>
      </c>
      <c r="B249" s="1" t="s">
        <v>27</v>
      </c>
      <c r="C249" s="1" t="s">
        <v>32</v>
      </c>
      <c r="D249" s="1">
        <v>131</v>
      </c>
      <c r="E249" s="1" t="s">
        <v>43</v>
      </c>
      <c r="F249" s="1" t="s">
        <v>58</v>
      </c>
      <c r="G249" s="1">
        <v>2.96</v>
      </c>
      <c r="H249" s="1" t="s">
        <v>20</v>
      </c>
      <c r="I249" t="s">
        <v>42</v>
      </c>
      <c r="J249" t="s">
        <v>22</v>
      </c>
      <c r="K249" t="s">
        <v>23</v>
      </c>
      <c r="L249" t="s">
        <v>24</v>
      </c>
      <c r="M249" t="str">
        <f t="shared" si="9"/>
        <v>charge-altering-6kiw</v>
      </c>
      <c r="N249" t="str">
        <f t="shared" si="10"/>
        <v>6kiw</v>
      </c>
      <c r="O249" s="2" t="s">
        <v>38</v>
      </c>
      <c r="P249" s="2" t="str">
        <f t="shared" si="11"/>
        <v>A-R131P</v>
      </c>
    </row>
    <row r="250" spans="1:16">
      <c r="A250" s="1" t="s">
        <v>26</v>
      </c>
      <c r="B250" s="1" t="s">
        <v>27</v>
      </c>
      <c r="C250" s="1" t="s">
        <v>32</v>
      </c>
      <c r="D250" s="1">
        <v>52</v>
      </c>
      <c r="E250" s="1" t="s">
        <v>43</v>
      </c>
      <c r="F250" s="1" t="s">
        <v>17</v>
      </c>
      <c r="G250" s="1">
        <v>1.34</v>
      </c>
      <c r="H250" s="1" t="s">
        <v>20</v>
      </c>
      <c r="I250" t="s">
        <v>42</v>
      </c>
      <c r="J250" t="s">
        <v>22</v>
      </c>
      <c r="K250" t="s">
        <v>23</v>
      </c>
      <c r="L250" t="s">
        <v>24</v>
      </c>
      <c r="M250" t="str">
        <f t="shared" si="9"/>
        <v>charge-altering-6kiw</v>
      </c>
      <c r="N250" t="str">
        <f t="shared" si="10"/>
        <v>6kiw</v>
      </c>
      <c r="O250" s="2" t="s">
        <v>38</v>
      </c>
      <c r="P250" s="2" t="str">
        <f t="shared" si="11"/>
        <v>A-R52C</v>
      </c>
    </row>
    <row r="251" spans="1:16">
      <c r="A251" s="1" t="s">
        <v>26</v>
      </c>
      <c r="B251" s="1" t="s">
        <v>27</v>
      </c>
      <c r="C251" s="1" t="s">
        <v>32</v>
      </c>
      <c r="D251" s="1">
        <v>83</v>
      </c>
      <c r="E251" s="1" t="s">
        <v>43</v>
      </c>
      <c r="F251" s="1" t="s">
        <v>17</v>
      </c>
      <c r="G251" s="1">
        <v>1.41</v>
      </c>
      <c r="H251" s="1" t="s">
        <v>20</v>
      </c>
      <c r="I251" t="s">
        <v>42</v>
      </c>
      <c r="J251" t="s">
        <v>22</v>
      </c>
      <c r="K251" t="s">
        <v>23</v>
      </c>
      <c r="L251" t="s">
        <v>24</v>
      </c>
      <c r="M251" t="str">
        <f t="shared" si="9"/>
        <v>charge-altering-6kiw</v>
      </c>
      <c r="N251" t="str">
        <f t="shared" si="10"/>
        <v>6kiw</v>
      </c>
      <c r="O251" s="2" t="s">
        <v>38</v>
      </c>
      <c r="P251" s="2" t="str">
        <f t="shared" si="11"/>
        <v>A-R83C</v>
      </c>
    </row>
    <row r="252" spans="1:16">
      <c r="A252" s="1" t="s">
        <v>26</v>
      </c>
      <c r="B252" s="1" t="s">
        <v>27</v>
      </c>
      <c r="C252" s="1" t="s">
        <v>32</v>
      </c>
      <c r="D252" s="1">
        <v>83</v>
      </c>
      <c r="E252" s="1" t="s">
        <v>43</v>
      </c>
      <c r="F252" s="1" t="s">
        <v>46</v>
      </c>
      <c r="G252" s="1">
        <v>1.37</v>
      </c>
      <c r="H252" s="1" t="s">
        <v>20</v>
      </c>
      <c r="I252" t="s">
        <v>42</v>
      </c>
      <c r="J252" t="s">
        <v>22</v>
      </c>
      <c r="K252" t="s">
        <v>23</v>
      </c>
      <c r="L252" t="s">
        <v>24</v>
      </c>
      <c r="M252" t="str">
        <f t="shared" si="9"/>
        <v>charge-altering-6kiw</v>
      </c>
      <c r="N252" t="str">
        <f t="shared" si="10"/>
        <v>6kiw</v>
      </c>
      <c r="O252" s="2" t="s">
        <v>38</v>
      </c>
      <c r="P252" s="2" t="str">
        <f t="shared" si="11"/>
        <v>A-R83S</v>
      </c>
    </row>
    <row r="253" spans="1:16">
      <c r="A253" s="1" t="s">
        <v>26</v>
      </c>
      <c r="B253" s="1" t="s">
        <v>27</v>
      </c>
      <c r="C253" s="1" t="s">
        <v>29</v>
      </c>
      <c r="D253" s="1">
        <v>47</v>
      </c>
      <c r="E253" s="1" t="s">
        <v>32</v>
      </c>
      <c r="F253" s="1" t="s">
        <v>29</v>
      </c>
      <c r="G253" s="1">
        <v>-0.04</v>
      </c>
      <c r="H253" s="1" t="s">
        <v>59</v>
      </c>
      <c r="I253" t="s">
        <v>53</v>
      </c>
      <c r="J253" t="s">
        <v>54</v>
      </c>
      <c r="K253" t="s">
        <v>55</v>
      </c>
      <c r="L253" t="s">
        <v>24</v>
      </c>
      <c r="M253" t="str">
        <f t="shared" si="9"/>
        <v>charge-altering-6kiw</v>
      </c>
      <c r="N253" t="str">
        <f t="shared" si="10"/>
        <v>6kiw</v>
      </c>
      <c r="O253" s="2" t="s">
        <v>38</v>
      </c>
      <c r="P253" s="2" t="str">
        <f t="shared" si="11"/>
        <v>E-A47E</v>
      </c>
    </row>
    <row r="254" spans="1:16">
      <c r="A254" s="1" t="s">
        <v>26</v>
      </c>
      <c r="B254" s="1" t="s">
        <v>27</v>
      </c>
      <c r="C254" s="1" t="s">
        <v>29</v>
      </c>
      <c r="D254" s="1">
        <v>88</v>
      </c>
      <c r="E254" s="1" t="s">
        <v>32</v>
      </c>
      <c r="F254" s="1" t="s">
        <v>29</v>
      </c>
      <c r="G254" s="1">
        <v>0.93</v>
      </c>
      <c r="H254" s="1" t="s">
        <v>20</v>
      </c>
      <c r="I254" t="s">
        <v>53</v>
      </c>
      <c r="J254" t="s">
        <v>54</v>
      </c>
      <c r="K254" t="s">
        <v>55</v>
      </c>
      <c r="L254" t="s">
        <v>24</v>
      </c>
      <c r="M254" t="str">
        <f t="shared" si="9"/>
        <v>charge-altering-6kiw</v>
      </c>
      <c r="N254" t="str">
        <f t="shared" si="10"/>
        <v>6kiw</v>
      </c>
      <c r="O254" s="2" t="s">
        <v>38</v>
      </c>
      <c r="P254" s="2" t="str">
        <f t="shared" si="11"/>
        <v>E-A88E</v>
      </c>
    </row>
    <row r="255" spans="1:16">
      <c r="A255" s="1" t="s">
        <v>26</v>
      </c>
      <c r="B255" s="1" t="s">
        <v>27</v>
      </c>
      <c r="C255" s="1" t="s">
        <v>29</v>
      </c>
      <c r="D255" s="1">
        <v>106</v>
      </c>
      <c r="E255" s="1" t="s">
        <v>18</v>
      </c>
      <c r="F255" s="1" t="s">
        <v>41</v>
      </c>
      <c r="G255" s="1">
        <v>1.19</v>
      </c>
      <c r="H255" s="1" t="s">
        <v>20</v>
      </c>
      <c r="I255" t="s">
        <v>21</v>
      </c>
      <c r="J255" t="s">
        <v>22</v>
      </c>
      <c r="K255" t="s">
        <v>23</v>
      </c>
      <c r="L255" t="s">
        <v>24</v>
      </c>
      <c r="M255" t="str">
        <f t="shared" si="9"/>
        <v>charge-altering-6kiw</v>
      </c>
      <c r="N255" t="str">
        <f t="shared" si="10"/>
        <v>6kiw</v>
      </c>
      <c r="O255" s="2" t="s">
        <v>38</v>
      </c>
      <c r="P255" s="2" t="str">
        <f t="shared" si="11"/>
        <v>E-D106N</v>
      </c>
    </row>
    <row r="256" spans="1:16">
      <c r="A256" s="1" t="s">
        <v>26</v>
      </c>
      <c r="B256" s="1" t="s">
        <v>27</v>
      </c>
      <c r="C256" s="1" t="s">
        <v>29</v>
      </c>
      <c r="D256" s="1">
        <v>106</v>
      </c>
      <c r="E256" s="1" t="s">
        <v>18</v>
      </c>
      <c r="F256" s="1" t="s">
        <v>49</v>
      </c>
      <c r="G256" s="1">
        <v>0.79</v>
      </c>
      <c r="H256" s="1" t="s">
        <v>20</v>
      </c>
      <c r="I256" t="s">
        <v>21</v>
      </c>
      <c r="J256" t="s">
        <v>22</v>
      </c>
      <c r="K256" t="s">
        <v>23</v>
      </c>
      <c r="L256" t="s">
        <v>24</v>
      </c>
      <c r="M256" t="str">
        <f t="shared" si="9"/>
        <v>charge-altering-6kiw</v>
      </c>
      <c r="N256" t="str">
        <f t="shared" si="10"/>
        <v>6kiw</v>
      </c>
      <c r="O256" s="2" t="s">
        <v>38</v>
      </c>
      <c r="P256" s="2" t="str">
        <f t="shared" si="11"/>
        <v>E-D106Y</v>
      </c>
    </row>
    <row r="257" spans="1:16">
      <c r="A257" s="1" t="s">
        <v>26</v>
      </c>
      <c r="B257" s="1" t="s">
        <v>27</v>
      </c>
      <c r="C257" s="1" t="s">
        <v>29</v>
      </c>
      <c r="D257" s="1">
        <v>123</v>
      </c>
      <c r="E257" s="1" t="s">
        <v>18</v>
      </c>
      <c r="F257" s="1" t="s">
        <v>56</v>
      </c>
      <c r="G257" s="1">
        <v>0.75</v>
      </c>
      <c r="H257" s="1" t="s">
        <v>20</v>
      </c>
      <c r="I257" t="s">
        <v>50</v>
      </c>
      <c r="J257" t="s">
        <v>51</v>
      </c>
      <c r="K257" t="s">
        <v>52</v>
      </c>
      <c r="L257" t="s">
        <v>24</v>
      </c>
      <c r="M257" t="str">
        <f t="shared" si="9"/>
        <v>charge-altering-6kiw</v>
      </c>
      <c r="N257" t="str">
        <f t="shared" si="10"/>
        <v>6kiw</v>
      </c>
      <c r="O257" s="2" t="s">
        <v>38</v>
      </c>
      <c r="P257" s="2" t="str">
        <f t="shared" si="11"/>
        <v>E-D123H</v>
      </c>
    </row>
    <row r="258" spans="1:16">
      <c r="A258" s="1" t="s">
        <v>26</v>
      </c>
      <c r="B258" s="1" t="s">
        <v>27</v>
      </c>
      <c r="C258" s="1" t="s">
        <v>29</v>
      </c>
      <c r="D258" s="1">
        <v>81</v>
      </c>
      <c r="E258" s="1" t="s">
        <v>18</v>
      </c>
      <c r="F258" s="1" t="s">
        <v>56</v>
      </c>
      <c r="G258" s="1">
        <v>0.7</v>
      </c>
      <c r="H258" s="1" t="s">
        <v>20</v>
      </c>
      <c r="I258" t="s">
        <v>50</v>
      </c>
      <c r="J258" t="s">
        <v>51</v>
      </c>
      <c r="K258" t="s">
        <v>52</v>
      </c>
      <c r="L258" t="s">
        <v>24</v>
      </c>
      <c r="M258" t="str">
        <f t="shared" ref="M258:M321" si="12">L258&amp;"-"&amp;LEFT(A258,4)</f>
        <v>charge-altering-6kiw</v>
      </c>
      <c r="N258" t="str">
        <f t="shared" ref="N258:N321" si="13">LEFT(A258,4)</f>
        <v>6kiw</v>
      </c>
      <c r="O258" s="2" t="s">
        <v>38</v>
      </c>
      <c r="P258" s="2" t="str">
        <f t="shared" ref="P258:P321" si="14">C258&amp;"-"&amp;E258&amp;D258&amp;F258</f>
        <v>E-D81H</v>
      </c>
    </row>
    <row r="259" spans="1:16">
      <c r="A259" s="1" t="s">
        <v>26</v>
      </c>
      <c r="B259" s="1" t="s">
        <v>27</v>
      </c>
      <c r="C259" s="1" t="s">
        <v>29</v>
      </c>
      <c r="D259" s="1">
        <v>81</v>
      </c>
      <c r="E259" s="1" t="s">
        <v>18</v>
      </c>
      <c r="F259" s="1" t="s">
        <v>41</v>
      </c>
      <c r="G259" s="1">
        <v>0.98</v>
      </c>
      <c r="H259" s="1" t="s">
        <v>20</v>
      </c>
      <c r="I259" t="s">
        <v>21</v>
      </c>
      <c r="J259" t="s">
        <v>22</v>
      </c>
      <c r="K259" t="s">
        <v>23</v>
      </c>
      <c r="L259" t="s">
        <v>24</v>
      </c>
      <c r="M259" t="str">
        <f t="shared" si="12"/>
        <v>charge-altering-6kiw</v>
      </c>
      <c r="N259" t="str">
        <f t="shared" si="13"/>
        <v>6kiw</v>
      </c>
      <c r="O259" s="2" t="s">
        <v>38</v>
      </c>
      <c r="P259" s="2" t="str">
        <f t="shared" si="14"/>
        <v>E-D81N</v>
      </c>
    </row>
    <row r="260" spans="1:16">
      <c r="A260" s="1" t="s">
        <v>26</v>
      </c>
      <c r="B260" s="1" t="s">
        <v>27</v>
      </c>
      <c r="C260" s="1" t="s">
        <v>29</v>
      </c>
      <c r="D260" s="1">
        <v>105</v>
      </c>
      <c r="E260" s="1" t="s">
        <v>29</v>
      </c>
      <c r="F260" s="1" t="s">
        <v>40</v>
      </c>
      <c r="G260" s="1">
        <v>1.27</v>
      </c>
      <c r="H260" s="1" t="s">
        <v>20</v>
      </c>
      <c r="I260" t="s">
        <v>50</v>
      </c>
      <c r="J260" t="s">
        <v>51</v>
      </c>
      <c r="K260" t="s">
        <v>52</v>
      </c>
      <c r="L260" t="s">
        <v>24</v>
      </c>
      <c r="M260" t="str">
        <f t="shared" si="12"/>
        <v>charge-altering-6kiw</v>
      </c>
      <c r="N260" t="str">
        <f t="shared" si="13"/>
        <v>6kiw</v>
      </c>
      <c r="O260" s="2" t="s">
        <v>38</v>
      </c>
      <c r="P260" s="2" t="str">
        <f t="shared" si="14"/>
        <v>E-E105K</v>
      </c>
    </row>
    <row r="261" spans="1:16">
      <c r="A261" s="1" t="s">
        <v>26</v>
      </c>
      <c r="B261" s="1" t="s">
        <v>27</v>
      </c>
      <c r="C261" s="1" t="s">
        <v>29</v>
      </c>
      <c r="D261" s="1">
        <v>105</v>
      </c>
      <c r="E261" s="1" t="s">
        <v>29</v>
      </c>
      <c r="F261" s="1" t="s">
        <v>30</v>
      </c>
      <c r="G261" s="1">
        <v>1.26</v>
      </c>
      <c r="H261" s="1" t="s">
        <v>20</v>
      </c>
      <c r="I261" t="s">
        <v>21</v>
      </c>
      <c r="J261" t="s">
        <v>22</v>
      </c>
      <c r="K261" t="s">
        <v>23</v>
      </c>
      <c r="L261" t="s">
        <v>24</v>
      </c>
      <c r="M261" t="str">
        <f t="shared" si="12"/>
        <v>charge-altering-6kiw</v>
      </c>
      <c r="N261" t="str">
        <f t="shared" si="13"/>
        <v>6kiw</v>
      </c>
      <c r="O261" s="2" t="s">
        <v>38</v>
      </c>
      <c r="P261" s="2" t="str">
        <f t="shared" si="14"/>
        <v>E-E105Q</v>
      </c>
    </row>
    <row r="262" spans="1:16">
      <c r="A262" s="1" t="s">
        <v>26</v>
      </c>
      <c r="B262" s="1" t="s">
        <v>27</v>
      </c>
      <c r="C262" s="1" t="s">
        <v>29</v>
      </c>
      <c r="D262" s="1">
        <v>133</v>
      </c>
      <c r="E262" s="1" t="s">
        <v>29</v>
      </c>
      <c r="F262" s="1" t="s">
        <v>40</v>
      </c>
      <c r="G262" s="1">
        <v>0.96</v>
      </c>
      <c r="H262" s="1" t="s">
        <v>20</v>
      </c>
      <c r="I262" t="s">
        <v>50</v>
      </c>
      <c r="J262" t="s">
        <v>51</v>
      </c>
      <c r="K262" t="s">
        <v>52</v>
      </c>
      <c r="L262" t="s">
        <v>24</v>
      </c>
      <c r="M262" t="str">
        <f t="shared" si="12"/>
        <v>charge-altering-6kiw</v>
      </c>
      <c r="N262" t="str">
        <f t="shared" si="13"/>
        <v>6kiw</v>
      </c>
      <c r="O262" s="2" t="s">
        <v>38</v>
      </c>
      <c r="P262" s="2" t="str">
        <f t="shared" si="14"/>
        <v>E-E133K</v>
      </c>
    </row>
    <row r="263" spans="1:16">
      <c r="A263" s="1" t="s">
        <v>26</v>
      </c>
      <c r="B263" s="1" t="s">
        <v>27</v>
      </c>
      <c r="C263" s="1" t="s">
        <v>29</v>
      </c>
      <c r="D263" s="1">
        <v>133</v>
      </c>
      <c r="E263" s="1" t="s">
        <v>29</v>
      </c>
      <c r="F263" s="1" t="s">
        <v>30</v>
      </c>
      <c r="G263" s="1">
        <v>0.75</v>
      </c>
      <c r="H263" s="1" t="s">
        <v>20</v>
      </c>
      <c r="I263" t="s">
        <v>21</v>
      </c>
      <c r="J263" t="s">
        <v>22</v>
      </c>
      <c r="K263" t="s">
        <v>23</v>
      </c>
      <c r="L263" t="s">
        <v>24</v>
      </c>
      <c r="M263" t="str">
        <f t="shared" si="12"/>
        <v>charge-altering-6kiw</v>
      </c>
      <c r="N263" t="str">
        <f t="shared" si="13"/>
        <v>6kiw</v>
      </c>
      <c r="O263" s="2" t="s">
        <v>38</v>
      </c>
      <c r="P263" s="2" t="str">
        <f t="shared" si="14"/>
        <v>E-E133Q</v>
      </c>
    </row>
    <row r="264" spans="1:16">
      <c r="A264" s="1" t="s">
        <v>26</v>
      </c>
      <c r="B264" s="1" t="s">
        <v>27</v>
      </c>
      <c r="C264" s="1" t="s">
        <v>29</v>
      </c>
      <c r="D264" s="1">
        <v>50</v>
      </c>
      <c r="E264" s="1" t="s">
        <v>29</v>
      </c>
      <c r="F264" s="1" t="s">
        <v>40</v>
      </c>
      <c r="G264" s="1">
        <v>1.24</v>
      </c>
      <c r="H264" s="1" t="s">
        <v>20</v>
      </c>
      <c r="I264" t="s">
        <v>50</v>
      </c>
      <c r="J264" t="s">
        <v>51</v>
      </c>
      <c r="K264" t="s">
        <v>52</v>
      </c>
      <c r="L264" t="s">
        <v>24</v>
      </c>
      <c r="M264" t="str">
        <f t="shared" si="12"/>
        <v>charge-altering-6kiw</v>
      </c>
      <c r="N264" t="str">
        <f t="shared" si="13"/>
        <v>6kiw</v>
      </c>
      <c r="O264" s="2" t="s">
        <v>38</v>
      </c>
      <c r="P264" s="2" t="str">
        <f t="shared" si="14"/>
        <v>E-E50K</v>
      </c>
    </row>
    <row r="265" spans="1:16">
      <c r="A265" s="1" t="s">
        <v>26</v>
      </c>
      <c r="B265" s="1" t="s">
        <v>27</v>
      </c>
      <c r="C265" s="1" t="s">
        <v>29</v>
      </c>
      <c r="D265" s="1">
        <v>50</v>
      </c>
      <c r="E265" s="1" t="s">
        <v>29</v>
      </c>
      <c r="F265" s="1" t="s">
        <v>30</v>
      </c>
      <c r="G265" s="1">
        <v>1.1</v>
      </c>
      <c r="H265" s="1" t="s">
        <v>20</v>
      </c>
      <c r="I265" t="s">
        <v>21</v>
      </c>
      <c r="J265" t="s">
        <v>22</v>
      </c>
      <c r="K265" t="s">
        <v>23</v>
      </c>
      <c r="L265" t="s">
        <v>24</v>
      </c>
      <c r="M265" t="str">
        <f t="shared" si="12"/>
        <v>charge-altering-6kiw</v>
      </c>
      <c r="N265" t="str">
        <f t="shared" si="13"/>
        <v>6kiw</v>
      </c>
      <c r="O265" s="2" t="s">
        <v>38</v>
      </c>
      <c r="P265" s="2" t="str">
        <f t="shared" si="14"/>
        <v>E-E50Q</v>
      </c>
    </row>
    <row r="266" spans="1:16">
      <c r="A266" s="1" t="s">
        <v>26</v>
      </c>
      <c r="B266" s="1" t="s">
        <v>27</v>
      </c>
      <c r="C266" s="1" t="s">
        <v>29</v>
      </c>
      <c r="D266" s="1">
        <v>73</v>
      </c>
      <c r="E266" s="1" t="s">
        <v>29</v>
      </c>
      <c r="F266" s="1" t="s">
        <v>40</v>
      </c>
      <c r="G266" s="1">
        <v>1.03</v>
      </c>
      <c r="H266" s="1" t="s">
        <v>20</v>
      </c>
      <c r="I266" t="s">
        <v>50</v>
      </c>
      <c r="J266" t="s">
        <v>51</v>
      </c>
      <c r="K266" t="s">
        <v>52</v>
      </c>
      <c r="L266" t="s">
        <v>24</v>
      </c>
      <c r="M266" t="str">
        <f t="shared" si="12"/>
        <v>charge-altering-6kiw</v>
      </c>
      <c r="N266" t="str">
        <f t="shared" si="13"/>
        <v>6kiw</v>
      </c>
      <c r="O266" s="2" t="s">
        <v>38</v>
      </c>
      <c r="P266" s="2" t="str">
        <f t="shared" si="14"/>
        <v>E-E73K</v>
      </c>
    </row>
    <row r="267" spans="1:16">
      <c r="A267" s="1" t="s">
        <v>26</v>
      </c>
      <c r="B267" s="1" t="s">
        <v>27</v>
      </c>
      <c r="C267" s="1" t="s">
        <v>29</v>
      </c>
      <c r="D267" s="1">
        <v>73</v>
      </c>
      <c r="E267" s="1" t="s">
        <v>29</v>
      </c>
      <c r="F267" s="1" t="s">
        <v>30</v>
      </c>
      <c r="G267" s="1">
        <v>0.92</v>
      </c>
      <c r="H267" s="1" t="s">
        <v>20</v>
      </c>
      <c r="I267" t="s">
        <v>21</v>
      </c>
      <c r="J267" t="s">
        <v>22</v>
      </c>
      <c r="K267" t="s">
        <v>23</v>
      </c>
      <c r="L267" t="s">
        <v>24</v>
      </c>
      <c r="M267" t="str">
        <f t="shared" si="12"/>
        <v>charge-altering-6kiw</v>
      </c>
      <c r="N267" t="str">
        <f t="shared" si="13"/>
        <v>6kiw</v>
      </c>
      <c r="O267" s="2" t="s">
        <v>38</v>
      </c>
      <c r="P267" s="2" t="str">
        <f t="shared" si="14"/>
        <v>E-E73Q</v>
      </c>
    </row>
    <row r="268" spans="1:16">
      <c r="A268" s="1" t="s">
        <v>26</v>
      </c>
      <c r="B268" s="1" t="s">
        <v>27</v>
      </c>
      <c r="C268" s="1" t="s">
        <v>29</v>
      </c>
      <c r="D268" s="1">
        <v>94</v>
      </c>
      <c r="E268" s="1" t="s">
        <v>29</v>
      </c>
      <c r="F268" s="1" t="s">
        <v>40</v>
      </c>
      <c r="G268" s="1">
        <v>1.39</v>
      </c>
      <c r="H268" s="1" t="s">
        <v>20</v>
      </c>
      <c r="I268" t="s">
        <v>50</v>
      </c>
      <c r="J268" t="s">
        <v>51</v>
      </c>
      <c r="K268" t="s">
        <v>52</v>
      </c>
      <c r="L268" t="s">
        <v>24</v>
      </c>
      <c r="M268" t="str">
        <f t="shared" si="12"/>
        <v>charge-altering-6kiw</v>
      </c>
      <c r="N268" t="str">
        <f t="shared" si="13"/>
        <v>6kiw</v>
      </c>
      <c r="O268" s="2" t="s">
        <v>38</v>
      </c>
      <c r="P268" s="2" t="str">
        <f t="shared" si="14"/>
        <v>E-E94K</v>
      </c>
    </row>
    <row r="269" spans="1:16">
      <c r="A269" s="1" t="s">
        <v>26</v>
      </c>
      <c r="B269" s="1" t="s">
        <v>27</v>
      </c>
      <c r="C269" s="1" t="s">
        <v>29</v>
      </c>
      <c r="D269" s="1">
        <v>94</v>
      </c>
      <c r="E269" s="1" t="s">
        <v>29</v>
      </c>
      <c r="F269" s="1" t="s">
        <v>30</v>
      </c>
      <c r="G269" s="1">
        <v>1.35</v>
      </c>
      <c r="H269" s="1" t="s">
        <v>20</v>
      </c>
      <c r="I269" t="s">
        <v>21</v>
      </c>
      <c r="J269" t="s">
        <v>22</v>
      </c>
      <c r="K269" t="s">
        <v>23</v>
      </c>
      <c r="L269" t="s">
        <v>24</v>
      </c>
      <c r="M269" t="str">
        <f t="shared" si="12"/>
        <v>charge-altering-6kiw</v>
      </c>
      <c r="N269" t="str">
        <f t="shared" si="13"/>
        <v>6kiw</v>
      </c>
      <c r="O269" s="2" t="s">
        <v>38</v>
      </c>
      <c r="P269" s="2" t="str">
        <f t="shared" si="14"/>
        <v>E-E94Q</v>
      </c>
    </row>
    <row r="270" spans="1:16">
      <c r="A270" s="1" t="s">
        <v>26</v>
      </c>
      <c r="B270" s="1" t="s">
        <v>27</v>
      </c>
      <c r="C270" s="1" t="s">
        <v>29</v>
      </c>
      <c r="D270" s="1">
        <v>97</v>
      </c>
      <c r="E270" s="1" t="s">
        <v>29</v>
      </c>
      <c r="F270" s="1" t="s">
        <v>40</v>
      </c>
      <c r="G270" s="1">
        <v>1.06</v>
      </c>
      <c r="H270" s="1" t="s">
        <v>20</v>
      </c>
      <c r="I270" t="s">
        <v>50</v>
      </c>
      <c r="J270" t="s">
        <v>51</v>
      </c>
      <c r="K270" t="s">
        <v>52</v>
      </c>
      <c r="L270" t="s">
        <v>24</v>
      </c>
      <c r="M270" t="str">
        <f t="shared" si="12"/>
        <v>charge-altering-6kiw</v>
      </c>
      <c r="N270" t="str">
        <f t="shared" si="13"/>
        <v>6kiw</v>
      </c>
      <c r="O270" s="2" t="s">
        <v>38</v>
      </c>
      <c r="P270" s="2" t="str">
        <f t="shared" si="14"/>
        <v>E-E97K</v>
      </c>
    </row>
    <row r="271" spans="1:16">
      <c r="A271" s="1" t="s">
        <v>26</v>
      </c>
      <c r="B271" s="1" t="s">
        <v>27</v>
      </c>
      <c r="C271" s="1" t="s">
        <v>29</v>
      </c>
      <c r="D271" s="1">
        <v>97</v>
      </c>
      <c r="E271" s="1" t="s">
        <v>29</v>
      </c>
      <c r="F271" s="1" t="s">
        <v>30</v>
      </c>
      <c r="G271" s="1">
        <v>1.18</v>
      </c>
      <c r="H271" s="1" t="s">
        <v>20</v>
      </c>
      <c r="I271" t="s">
        <v>21</v>
      </c>
      <c r="J271" t="s">
        <v>22</v>
      </c>
      <c r="K271" t="s">
        <v>23</v>
      </c>
      <c r="L271" t="s">
        <v>24</v>
      </c>
      <c r="M271" t="str">
        <f t="shared" si="12"/>
        <v>charge-altering-6kiw</v>
      </c>
      <c r="N271" t="str">
        <f t="shared" si="13"/>
        <v>6kiw</v>
      </c>
      <c r="O271" s="2" t="s">
        <v>38</v>
      </c>
      <c r="P271" s="2" t="str">
        <f t="shared" si="14"/>
        <v>E-E97Q</v>
      </c>
    </row>
    <row r="272" spans="1:16">
      <c r="A272" s="1" t="s">
        <v>26</v>
      </c>
      <c r="B272" s="1" t="s">
        <v>27</v>
      </c>
      <c r="C272" s="1" t="s">
        <v>29</v>
      </c>
      <c r="D272" s="1">
        <v>44</v>
      </c>
      <c r="E272" s="1" t="s">
        <v>19</v>
      </c>
      <c r="F272" s="1" t="s">
        <v>18</v>
      </c>
      <c r="G272" s="1">
        <v>0.49</v>
      </c>
      <c r="H272" s="1" t="s">
        <v>20</v>
      </c>
      <c r="I272" t="s">
        <v>53</v>
      </c>
      <c r="J272" t="s">
        <v>54</v>
      </c>
      <c r="K272" t="s">
        <v>55</v>
      </c>
      <c r="L272" t="s">
        <v>24</v>
      </c>
      <c r="M272" t="str">
        <f t="shared" si="12"/>
        <v>charge-altering-6kiw</v>
      </c>
      <c r="N272" t="str">
        <f t="shared" si="13"/>
        <v>6kiw</v>
      </c>
      <c r="O272" s="2" t="s">
        <v>38</v>
      </c>
      <c r="P272" s="2" t="str">
        <f t="shared" si="14"/>
        <v>E-G44D</v>
      </c>
    </row>
    <row r="273" spans="1:16">
      <c r="A273" s="1" t="s">
        <v>26</v>
      </c>
      <c r="B273" s="1" t="s">
        <v>27</v>
      </c>
      <c r="C273" s="1" t="s">
        <v>29</v>
      </c>
      <c r="D273" s="1">
        <v>113</v>
      </c>
      <c r="E273" s="1" t="s">
        <v>56</v>
      </c>
      <c r="F273" s="1" t="s">
        <v>41</v>
      </c>
      <c r="G273" s="1">
        <v>0.89</v>
      </c>
      <c r="H273" s="1" t="s">
        <v>20</v>
      </c>
      <c r="I273" t="s">
        <v>42</v>
      </c>
      <c r="J273" t="s">
        <v>22</v>
      </c>
      <c r="K273" t="s">
        <v>23</v>
      </c>
      <c r="L273" t="s">
        <v>24</v>
      </c>
      <c r="M273" t="str">
        <f t="shared" si="12"/>
        <v>charge-altering-6kiw</v>
      </c>
      <c r="N273" t="str">
        <f t="shared" si="13"/>
        <v>6kiw</v>
      </c>
      <c r="O273" s="2" t="s">
        <v>38</v>
      </c>
      <c r="P273" s="2" t="str">
        <f t="shared" si="14"/>
        <v>E-H113N</v>
      </c>
    </row>
    <row r="274" spans="1:16">
      <c r="A274" s="1" t="s">
        <v>26</v>
      </c>
      <c r="B274" s="1" t="s">
        <v>27</v>
      </c>
      <c r="C274" s="1" t="s">
        <v>29</v>
      </c>
      <c r="D274" s="1">
        <v>79</v>
      </c>
      <c r="E274" s="1" t="s">
        <v>40</v>
      </c>
      <c r="F274" s="1" t="s">
        <v>41</v>
      </c>
      <c r="G274" s="1">
        <v>1.04</v>
      </c>
      <c r="H274" s="1" t="s">
        <v>20</v>
      </c>
      <c r="I274" t="s">
        <v>42</v>
      </c>
      <c r="J274" t="s">
        <v>22</v>
      </c>
      <c r="K274" t="s">
        <v>23</v>
      </c>
      <c r="L274" t="s">
        <v>24</v>
      </c>
      <c r="M274" t="str">
        <f t="shared" si="12"/>
        <v>charge-altering-6kiw</v>
      </c>
      <c r="N274" t="str">
        <f t="shared" si="13"/>
        <v>6kiw</v>
      </c>
      <c r="O274" s="2" t="s">
        <v>38</v>
      </c>
      <c r="P274" s="2" t="str">
        <f t="shared" si="14"/>
        <v>E-K79N</v>
      </c>
    </row>
    <row r="275" spans="1:16">
      <c r="A275" s="1" t="s">
        <v>26</v>
      </c>
      <c r="B275" s="1" t="s">
        <v>27</v>
      </c>
      <c r="C275" s="1" t="s">
        <v>29</v>
      </c>
      <c r="D275" s="1">
        <v>108</v>
      </c>
      <c r="E275" s="1" t="s">
        <v>41</v>
      </c>
      <c r="F275" s="1" t="s">
        <v>40</v>
      </c>
      <c r="G275" s="1">
        <v>0.94</v>
      </c>
      <c r="H275" s="1" t="s">
        <v>20</v>
      </c>
      <c r="I275" t="s">
        <v>57</v>
      </c>
      <c r="J275" t="s">
        <v>54</v>
      </c>
      <c r="K275" t="s">
        <v>55</v>
      </c>
      <c r="L275" t="s">
        <v>24</v>
      </c>
      <c r="M275" t="str">
        <f t="shared" si="12"/>
        <v>charge-altering-6kiw</v>
      </c>
      <c r="N275" t="str">
        <f t="shared" si="13"/>
        <v>6kiw</v>
      </c>
      <c r="O275" s="2" t="s">
        <v>38</v>
      </c>
      <c r="P275" s="2" t="str">
        <f t="shared" si="14"/>
        <v>E-N108K</v>
      </c>
    </row>
    <row r="276" spans="1:16">
      <c r="A276" s="1" t="s">
        <v>26</v>
      </c>
      <c r="B276" s="1" t="s">
        <v>27</v>
      </c>
      <c r="C276" s="1" t="s">
        <v>29</v>
      </c>
      <c r="D276" s="1">
        <v>125</v>
      </c>
      <c r="E276" s="1" t="s">
        <v>30</v>
      </c>
      <c r="F276" s="1" t="s">
        <v>56</v>
      </c>
      <c r="G276" s="1">
        <v>0.68</v>
      </c>
      <c r="H276" s="1" t="s">
        <v>20</v>
      </c>
      <c r="I276" t="s">
        <v>57</v>
      </c>
      <c r="J276" t="s">
        <v>54</v>
      </c>
      <c r="K276" t="s">
        <v>55</v>
      </c>
      <c r="L276" t="s">
        <v>24</v>
      </c>
      <c r="M276" t="str">
        <f t="shared" si="12"/>
        <v>charge-altering-6kiw</v>
      </c>
      <c r="N276" t="str">
        <f t="shared" si="13"/>
        <v>6kiw</v>
      </c>
      <c r="O276" s="2" t="s">
        <v>38</v>
      </c>
      <c r="P276" s="2" t="str">
        <f t="shared" si="14"/>
        <v>E-Q125H</v>
      </c>
    </row>
    <row r="277" spans="1:16">
      <c r="A277" s="1" t="s">
        <v>26</v>
      </c>
      <c r="B277" s="1" t="s">
        <v>27</v>
      </c>
      <c r="C277" s="1" t="s">
        <v>29</v>
      </c>
      <c r="D277" s="1">
        <v>125</v>
      </c>
      <c r="E277" s="1" t="s">
        <v>30</v>
      </c>
      <c r="F277" s="1" t="s">
        <v>40</v>
      </c>
      <c r="G277" s="1">
        <v>0.57</v>
      </c>
      <c r="H277" s="1" t="s">
        <v>20</v>
      </c>
      <c r="I277" t="s">
        <v>57</v>
      </c>
      <c r="J277" t="s">
        <v>54</v>
      </c>
      <c r="K277" t="s">
        <v>55</v>
      </c>
      <c r="L277" t="s">
        <v>24</v>
      </c>
      <c r="M277" t="str">
        <f t="shared" si="12"/>
        <v>charge-altering-6kiw</v>
      </c>
      <c r="N277" t="str">
        <f t="shared" si="13"/>
        <v>6kiw</v>
      </c>
      <c r="O277" s="2" t="s">
        <v>38</v>
      </c>
      <c r="P277" s="2" t="str">
        <f t="shared" si="14"/>
        <v>E-Q125K</v>
      </c>
    </row>
    <row r="278" spans="1:16">
      <c r="A278" s="1" t="s">
        <v>26</v>
      </c>
      <c r="B278" s="1" t="s">
        <v>27</v>
      </c>
      <c r="C278" s="1" t="s">
        <v>29</v>
      </c>
      <c r="D278" s="1">
        <v>55</v>
      </c>
      <c r="E278" s="1" t="s">
        <v>30</v>
      </c>
      <c r="F278" s="1" t="s">
        <v>29</v>
      </c>
      <c r="G278" s="1">
        <v>1.52</v>
      </c>
      <c r="H278" s="1" t="s">
        <v>20</v>
      </c>
      <c r="I278" t="s">
        <v>53</v>
      </c>
      <c r="J278" t="s">
        <v>54</v>
      </c>
      <c r="K278" t="s">
        <v>55</v>
      </c>
      <c r="L278" t="s">
        <v>24</v>
      </c>
      <c r="M278" t="str">
        <f t="shared" si="12"/>
        <v>charge-altering-6kiw</v>
      </c>
      <c r="N278" t="str">
        <f t="shared" si="13"/>
        <v>6kiw</v>
      </c>
      <c r="O278" s="2" t="s">
        <v>38</v>
      </c>
      <c r="P278" s="2" t="str">
        <f t="shared" si="14"/>
        <v>E-Q55E</v>
      </c>
    </row>
    <row r="279" spans="1:16">
      <c r="A279" s="1" t="s">
        <v>26</v>
      </c>
      <c r="B279" s="1" t="s">
        <v>27</v>
      </c>
      <c r="C279" s="1" t="s">
        <v>29</v>
      </c>
      <c r="D279" s="1">
        <v>55</v>
      </c>
      <c r="E279" s="1" t="s">
        <v>30</v>
      </c>
      <c r="F279" s="1" t="s">
        <v>56</v>
      </c>
      <c r="G279" s="1">
        <v>1.29</v>
      </c>
      <c r="H279" s="1" t="s">
        <v>20</v>
      </c>
      <c r="I279" t="s">
        <v>57</v>
      </c>
      <c r="J279" t="s">
        <v>54</v>
      </c>
      <c r="K279" t="s">
        <v>55</v>
      </c>
      <c r="L279" t="s">
        <v>24</v>
      </c>
      <c r="M279" t="str">
        <f t="shared" si="12"/>
        <v>charge-altering-6kiw</v>
      </c>
      <c r="N279" t="str">
        <f t="shared" si="13"/>
        <v>6kiw</v>
      </c>
      <c r="O279" s="2" t="s">
        <v>38</v>
      </c>
      <c r="P279" s="2" t="str">
        <f t="shared" si="14"/>
        <v>E-Q55H</v>
      </c>
    </row>
    <row r="280" spans="1:16">
      <c r="A280" s="1" t="s">
        <v>26</v>
      </c>
      <c r="B280" s="1" t="s">
        <v>27</v>
      </c>
      <c r="C280" s="1" t="s">
        <v>29</v>
      </c>
      <c r="D280" s="1">
        <v>116</v>
      </c>
      <c r="E280" s="1" t="s">
        <v>43</v>
      </c>
      <c r="F280" s="1" t="s">
        <v>58</v>
      </c>
      <c r="G280" s="1">
        <v>2.05</v>
      </c>
      <c r="H280" s="1" t="s">
        <v>20</v>
      </c>
      <c r="I280" t="s">
        <v>42</v>
      </c>
      <c r="J280" t="s">
        <v>22</v>
      </c>
      <c r="K280" t="s">
        <v>23</v>
      </c>
      <c r="L280" t="s">
        <v>24</v>
      </c>
      <c r="M280" t="str">
        <f t="shared" si="12"/>
        <v>charge-altering-6kiw</v>
      </c>
      <c r="N280" t="str">
        <f t="shared" si="13"/>
        <v>6kiw</v>
      </c>
      <c r="O280" s="2" t="s">
        <v>38</v>
      </c>
      <c r="P280" s="2" t="str">
        <f t="shared" si="14"/>
        <v>E-R116P</v>
      </c>
    </row>
    <row r="281" spans="1:16">
      <c r="A281" s="1" t="s">
        <v>26</v>
      </c>
      <c r="B281" s="1" t="s">
        <v>27</v>
      </c>
      <c r="C281" s="1" t="s">
        <v>29</v>
      </c>
      <c r="D281" s="1">
        <v>116</v>
      </c>
      <c r="E281" s="1" t="s">
        <v>43</v>
      </c>
      <c r="F281" s="1" t="s">
        <v>30</v>
      </c>
      <c r="G281" s="1">
        <v>1</v>
      </c>
      <c r="H281" s="1" t="s">
        <v>20</v>
      </c>
      <c r="I281" t="s">
        <v>42</v>
      </c>
      <c r="J281" t="s">
        <v>22</v>
      </c>
      <c r="K281" t="s">
        <v>23</v>
      </c>
      <c r="L281" t="s">
        <v>24</v>
      </c>
      <c r="M281" t="str">
        <f t="shared" si="12"/>
        <v>charge-altering-6kiw</v>
      </c>
      <c r="N281" t="str">
        <f t="shared" si="13"/>
        <v>6kiw</v>
      </c>
      <c r="O281" s="2" t="s">
        <v>38</v>
      </c>
      <c r="P281" s="2" t="str">
        <f t="shared" si="14"/>
        <v>E-R116Q</v>
      </c>
    </row>
    <row r="282" spans="1:16">
      <c r="A282" s="1" t="s">
        <v>26</v>
      </c>
      <c r="B282" s="1" t="s">
        <v>27</v>
      </c>
      <c r="C282" s="1" t="s">
        <v>29</v>
      </c>
      <c r="D282" s="1">
        <v>129</v>
      </c>
      <c r="E282" s="1" t="s">
        <v>43</v>
      </c>
      <c r="F282" s="1" t="s">
        <v>17</v>
      </c>
      <c r="G282" s="1">
        <v>0.98</v>
      </c>
      <c r="H282" s="1" t="s">
        <v>20</v>
      </c>
      <c r="I282" t="s">
        <v>42</v>
      </c>
      <c r="J282" t="s">
        <v>22</v>
      </c>
      <c r="K282" t="s">
        <v>23</v>
      </c>
      <c r="L282" t="s">
        <v>24</v>
      </c>
      <c r="M282" t="str">
        <f t="shared" si="12"/>
        <v>charge-altering-6kiw</v>
      </c>
      <c r="N282" t="str">
        <f t="shared" si="13"/>
        <v>6kiw</v>
      </c>
      <c r="O282" s="2" t="s">
        <v>38</v>
      </c>
      <c r="P282" s="2" t="str">
        <f t="shared" si="14"/>
        <v>E-R129C</v>
      </c>
    </row>
    <row r="283" spans="1:16">
      <c r="A283" s="1" t="s">
        <v>26</v>
      </c>
      <c r="B283" s="1" t="s">
        <v>27</v>
      </c>
      <c r="C283" s="1" t="s">
        <v>29</v>
      </c>
      <c r="D283" s="1">
        <v>129</v>
      </c>
      <c r="E283" s="1" t="s">
        <v>43</v>
      </c>
      <c r="F283" s="1" t="s">
        <v>30</v>
      </c>
      <c r="G283" s="1">
        <v>1.24</v>
      </c>
      <c r="H283" s="1" t="s">
        <v>20</v>
      </c>
      <c r="I283" t="s">
        <v>42</v>
      </c>
      <c r="J283" t="s">
        <v>22</v>
      </c>
      <c r="K283" t="s">
        <v>23</v>
      </c>
      <c r="L283" t="s">
        <v>24</v>
      </c>
      <c r="M283" t="str">
        <f t="shared" si="12"/>
        <v>charge-altering-6kiw</v>
      </c>
      <c r="N283" t="str">
        <f t="shared" si="13"/>
        <v>6kiw</v>
      </c>
      <c r="O283" s="2" t="s">
        <v>38</v>
      </c>
      <c r="P283" s="2" t="str">
        <f t="shared" si="14"/>
        <v>E-R129Q</v>
      </c>
    </row>
    <row r="284" spans="1:16">
      <c r="A284" s="1" t="s">
        <v>26</v>
      </c>
      <c r="B284" s="1" t="s">
        <v>27</v>
      </c>
      <c r="C284" s="1" t="s">
        <v>29</v>
      </c>
      <c r="D284" s="1">
        <v>131</v>
      </c>
      <c r="E284" s="1" t="s">
        <v>43</v>
      </c>
      <c r="F284" s="1" t="s">
        <v>17</v>
      </c>
      <c r="G284" s="1">
        <v>1.22</v>
      </c>
      <c r="H284" s="1" t="s">
        <v>20</v>
      </c>
      <c r="I284" t="s">
        <v>42</v>
      </c>
      <c r="J284" t="s">
        <v>22</v>
      </c>
      <c r="K284" t="s">
        <v>23</v>
      </c>
      <c r="L284" t="s">
        <v>24</v>
      </c>
      <c r="M284" t="str">
        <f t="shared" si="12"/>
        <v>charge-altering-6kiw</v>
      </c>
      <c r="N284" t="str">
        <f t="shared" si="13"/>
        <v>6kiw</v>
      </c>
      <c r="O284" s="2" t="s">
        <v>38</v>
      </c>
      <c r="P284" s="2" t="str">
        <f t="shared" si="14"/>
        <v>E-R131C</v>
      </c>
    </row>
    <row r="285" spans="1:16">
      <c r="A285" s="1" t="s">
        <v>26</v>
      </c>
      <c r="B285" s="1" t="s">
        <v>27</v>
      </c>
      <c r="C285" s="1" t="s">
        <v>29</v>
      </c>
      <c r="D285" s="1">
        <v>131</v>
      </c>
      <c r="E285" s="1" t="s">
        <v>43</v>
      </c>
      <c r="F285" s="1" t="s">
        <v>19</v>
      </c>
      <c r="G285" s="1">
        <v>1.71</v>
      </c>
      <c r="H285" s="1" t="s">
        <v>20</v>
      </c>
      <c r="I285" t="s">
        <v>42</v>
      </c>
      <c r="J285" t="s">
        <v>22</v>
      </c>
      <c r="K285" t="s">
        <v>23</v>
      </c>
      <c r="L285" t="s">
        <v>24</v>
      </c>
      <c r="M285" t="str">
        <f t="shared" si="12"/>
        <v>charge-altering-6kiw</v>
      </c>
      <c r="N285" t="str">
        <f t="shared" si="13"/>
        <v>6kiw</v>
      </c>
      <c r="O285" s="2" t="s">
        <v>38</v>
      </c>
      <c r="P285" s="2" t="str">
        <f t="shared" si="14"/>
        <v>E-R131G</v>
      </c>
    </row>
    <row r="286" spans="1:16">
      <c r="A286" s="1" t="s">
        <v>26</v>
      </c>
      <c r="B286" s="1" t="s">
        <v>27</v>
      </c>
      <c r="C286" s="1" t="s">
        <v>29</v>
      </c>
      <c r="D286" s="1">
        <v>131</v>
      </c>
      <c r="E286" s="1" t="s">
        <v>43</v>
      </c>
      <c r="F286" s="1" t="s">
        <v>58</v>
      </c>
      <c r="G286" s="1">
        <v>2.96</v>
      </c>
      <c r="H286" s="1" t="s">
        <v>20</v>
      </c>
      <c r="I286" t="s">
        <v>42</v>
      </c>
      <c r="J286" t="s">
        <v>22</v>
      </c>
      <c r="K286" t="s">
        <v>23</v>
      </c>
      <c r="L286" t="s">
        <v>24</v>
      </c>
      <c r="M286" t="str">
        <f t="shared" si="12"/>
        <v>charge-altering-6kiw</v>
      </c>
      <c r="N286" t="str">
        <f t="shared" si="13"/>
        <v>6kiw</v>
      </c>
      <c r="O286" s="2" t="s">
        <v>38</v>
      </c>
      <c r="P286" s="2" t="str">
        <f t="shared" si="14"/>
        <v>E-R131P</v>
      </c>
    </row>
    <row r="287" spans="1:16">
      <c r="A287" s="1" t="s">
        <v>26</v>
      </c>
      <c r="B287" s="1" t="s">
        <v>27</v>
      </c>
      <c r="C287" s="1" t="s">
        <v>29</v>
      </c>
      <c r="D287" s="1">
        <v>52</v>
      </c>
      <c r="E287" s="1" t="s">
        <v>43</v>
      </c>
      <c r="F287" s="1" t="s">
        <v>17</v>
      </c>
      <c r="G287" s="1">
        <v>1.52</v>
      </c>
      <c r="H287" s="1" t="s">
        <v>20</v>
      </c>
      <c r="I287" t="s">
        <v>42</v>
      </c>
      <c r="J287" t="s">
        <v>22</v>
      </c>
      <c r="K287" t="s">
        <v>23</v>
      </c>
      <c r="L287" t="s">
        <v>24</v>
      </c>
      <c r="M287" t="str">
        <f t="shared" si="12"/>
        <v>charge-altering-6kiw</v>
      </c>
      <c r="N287" t="str">
        <f t="shared" si="13"/>
        <v>6kiw</v>
      </c>
      <c r="O287" s="2" t="s">
        <v>38</v>
      </c>
      <c r="P287" s="2" t="str">
        <f t="shared" si="14"/>
        <v>E-R52C</v>
      </c>
    </row>
    <row r="288" spans="1:16">
      <c r="A288" s="1" t="s">
        <v>26</v>
      </c>
      <c r="B288" s="1" t="s">
        <v>27</v>
      </c>
      <c r="C288" s="1" t="s">
        <v>29</v>
      </c>
      <c r="D288" s="1">
        <v>83</v>
      </c>
      <c r="E288" s="1" t="s">
        <v>43</v>
      </c>
      <c r="F288" s="1" t="s">
        <v>17</v>
      </c>
      <c r="G288" s="1">
        <v>1.41</v>
      </c>
      <c r="H288" s="1" t="s">
        <v>20</v>
      </c>
      <c r="I288" t="s">
        <v>42</v>
      </c>
      <c r="J288" t="s">
        <v>22</v>
      </c>
      <c r="K288" t="s">
        <v>23</v>
      </c>
      <c r="L288" t="s">
        <v>24</v>
      </c>
      <c r="M288" t="str">
        <f t="shared" si="12"/>
        <v>charge-altering-6kiw</v>
      </c>
      <c r="N288" t="str">
        <f t="shared" si="13"/>
        <v>6kiw</v>
      </c>
      <c r="O288" s="2" t="s">
        <v>38</v>
      </c>
      <c r="P288" s="2" t="str">
        <f t="shared" si="14"/>
        <v>E-R83C</v>
      </c>
    </row>
    <row r="289" spans="1:16">
      <c r="A289" s="1" t="s">
        <v>26</v>
      </c>
      <c r="B289" s="1" t="s">
        <v>27</v>
      </c>
      <c r="C289" s="1" t="s">
        <v>29</v>
      </c>
      <c r="D289" s="1">
        <v>83</v>
      </c>
      <c r="E289" s="1" t="s">
        <v>43</v>
      </c>
      <c r="F289" s="1" t="s">
        <v>46</v>
      </c>
      <c r="G289" s="1">
        <v>1.37</v>
      </c>
      <c r="H289" s="1" t="s">
        <v>20</v>
      </c>
      <c r="I289" t="s">
        <v>42</v>
      </c>
      <c r="J289" t="s">
        <v>22</v>
      </c>
      <c r="K289" t="s">
        <v>23</v>
      </c>
      <c r="L289" t="s">
        <v>24</v>
      </c>
      <c r="M289" t="str">
        <f t="shared" si="12"/>
        <v>charge-altering-6kiw</v>
      </c>
      <c r="N289" t="str">
        <f t="shared" si="13"/>
        <v>6kiw</v>
      </c>
      <c r="O289" s="2" t="s">
        <v>38</v>
      </c>
      <c r="P289" s="2" t="str">
        <f t="shared" si="14"/>
        <v>E-R83S</v>
      </c>
    </row>
    <row r="290" spans="1:16">
      <c r="A290" s="1" t="s">
        <v>26</v>
      </c>
      <c r="B290" s="1" t="s">
        <v>27</v>
      </c>
      <c r="C290" s="1" t="s">
        <v>28</v>
      </c>
      <c r="D290" s="1">
        <v>24</v>
      </c>
      <c r="E290" s="1" t="s">
        <v>18</v>
      </c>
      <c r="F290" s="1" t="s">
        <v>19</v>
      </c>
      <c r="G290" s="1">
        <v>1.17</v>
      </c>
      <c r="H290" s="1" t="s">
        <v>20</v>
      </c>
      <c r="I290" t="s">
        <v>21</v>
      </c>
      <c r="J290" t="s">
        <v>22</v>
      </c>
      <c r="K290" t="s">
        <v>23</v>
      </c>
      <c r="L290" t="s">
        <v>24</v>
      </c>
      <c r="M290" t="str">
        <f t="shared" si="12"/>
        <v>charge-altering-6kiw</v>
      </c>
      <c r="N290" t="str">
        <f t="shared" si="13"/>
        <v>6kiw</v>
      </c>
      <c r="O290" s="2" t="s">
        <v>31</v>
      </c>
      <c r="P290" s="2" t="str">
        <f t="shared" si="14"/>
        <v>B-D24G</v>
      </c>
    </row>
    <row r="291" spans="1:16">
      <c r="A291" s="1" t="s">
        <v>26</v>
      </c>
      <c r="B291" s="1" t="s">
        <v>27</v>
      </c>
      <c r="C291" s="1" t="s">
        <v>28</v>
      </c>
      <c r="D291" s="1">
        <v>68</v>
      </c>
      <c r="E291" s="1" t="s">
        <v>18</v>
      </c>
      <c r="F291" s="1" t="s">
        <v>56</v>
      </c>
      <c r="G291" s="1">
        <v>0.71</v>
      </c>
      <c r="H291" s="1" t="s">
        <v>20</v>
      </c>
      <c r="I291" t="s">
        <v>50</v>
      </c>
      <c r="J291" t="s">
        <v>51</v>
      </c>
      <c r="K291" t="s">
        <v>52</v>
      </c>
      <c r="L291" t="s">
        <v>24</v>
      </c>
      <c r="M291" t="str">
        <f t="shared" si="12"/>
        <v>charge-altering-6kiw</v>
      </c>
      <c r="N291" t="str">
        <f t="shared" si="13"/>
        <v>6kiw</v>
      </c>
      <c r="O291" s="2" t="s">
        <v>31</v>
      </c>
      <c r="P291" s="2" t="str">
        <f t="shared" si="14"/>
        <v>B-D68H</v>
      </c>
    </row>
    <row r="292" spans="1:16">
      <c r="A292" s="1" t="s">
        <v>26</v>
      </c>
      <c r="B292" s="1" t="s">
        <v>27</v>
      </c>
      <c r="C292" s="1" t="s">
        <v>28</v>
      </c>
      <c r="D292" s="1">
        <v>68</v>
      </c>
      <c r="E292" s="1" t="s">
        <v>18</v>
      </c>
      <c r="F292" s="1" t="s">
        <v>41</v>
      </c>
      <c r="G292" s="1">
        <v>1.1</v>
      </c>
      <c r="H292" s="1" t="s">
        <v>20</v>
      </c>
      <c r="I292" t="s">
        <v>21</v>
      </c>
      <c r="J292" t="s">
        <v>22</v>
      </c>
      <c r="K292" t="s">
        <v>23</v>
      </c>
      <c r="L292" t="s">
        <v>24</v>
      </c>
      <c r="M292" t="str">
        <f t="shared" si="12"/>
        <v>charge-altering-6kiw</v>
      </c>
      <c r="N292" t="str">
        <f t="shared" si="13"/>
        <v>6kiw</v>
      </c>
      <c r="O292" s="2" t="s">
        <v>31</v>
      </c>
      <c r="P292" s="2" t="str">
        <f t="shared" si="14"/>
        <v>B-D68N</v>
      </c>
    </row>
    <row r="293" spans="1:16">
      <c r="A293" s="1" t="s">
        <v>26</v>
      </c>
      <c r="B293" s="1" t="s">
        <v>27</v>
      </c>
      <c r="C293" s="1" t="s">
        <v>28</v>
      </c>
      <c r="D293" s="1">
        <v>68</v>
      </c>
      <c r="E293" s="1" t="s">
        <v>18</v>
      </c>
      <c r="F293" s="1" t="s">
        <v>49</v>
      </c>
      <c r="G293" s="1">
        <v>0.68</v>
      </c>
      <c r="H293" s="1" t="s">
        <v>20</v>
      </c>
      <c r="I293" t="s">
        <v>21</v>
      </c>
      <c r="J293" t="s">
        <v>22</v>
      </c>
      <c r="K293" t="s">
        <v>23</v>
      </c>
      <c r="L293" t="s">
        <v>24</v>
      </c>
      <c r="M293" t="str">
        <f t="shared" si="12"/>
        <v>charge-altering-6kiw</v>
      </c>
      <c r="N293" t="str">
        <f t="shared" si="13"/>
        <v>6kiw</v>
      </c>
      <c r="O293" s="2" t="s">
        <v>31</v>
      </c>
      <c r="P293" s="2" t="str">
        <f t="shared" si="14"/>
        <v>B-D68Y</v>
      </c>
    </row>
    <row r="294" spans="1:16">
      <c r="A294" s="1" t="s">
        <v>26</v>
      </c>
      <c r="B294" s="1" t="s">
        <v>27</v>
      </c>
      <c r="C294" s="1" t="s">
        <v>28</v>
      </c>
      <c r="D294" s="1">
        <v>53</v>
      </c>
      <c r="E294" s="1" t="s">
        <v>29</v>
      </c>
      <c r="F294" s="1" t="s">
        <v>40</v>
      </c>
      <c r="G294" s="1">
        <v>1.21</v>
      </c>
      <c r="H294" s="1" t="s">
        <v>20</v>
      </c>
      <c r="I294" t="s">
        <v>50</v>
      </c>
      <c r="J294" t="s">
        <v>51</v>
      </c>
      <c r="K294" t="s">
        <v>52</v>
      </c>
      <c r="L294" t="s">
        <v>24</v>
      </c>
      <c r="M294" t="str">
        <f t="shared" si="12"/>
        <v>charge-altering-6kiw</v>
      </c>
      <c r="N294" t="str">
        <f t="shared" si="13"/>
        <v>6kiw</v>
      </c>
      <c r="O294" s="2" t="s">
        <v>31</v>
      </c>
      <c r="P294" s="2" t="str">
        <f t="shared" si="14"/>
        <v>B-E53K</v>
      </c>
    </row>
    <row r="295" spans="1:16">
      <c r="A295" s="1" t="s">
        <v>26</v>
      </c>
      <c r="B295" s="1" t="s">
        <v>27</v>
      </c>
      <c r="C295" s="1" t="s">
        <v>28</v>
      </c>
      <c r="D295" s="1">
        <v>63</v>
      </c>
      <c r="E295" s="1" t="s">
        <v>29</v>
      </c>
      <c r="F295" s="1" t="s">
        <v>30</v>
      </c>
      <c r="G295" s="1">
        <v>1.34</v>
      </c>
      <c r="H295" s="1" t="s">
        <v>20</v>
      </c>
      <c r="I295" t="s">
        <v>21</v>
      </c>
      <c r="J295" t="s">
        <v>22</v>
      </c>
      <c r="K295" t="s">
        <v>23</v>
      </c>
      <c r="L295" t="s">
        <v>24</v>
      </c>
      <c r="M295" t="str">
        <f t="shared" si="12"/>
        <v>charge-altering-6kiw</v>
      </c>
      <c r="N295" t="str">
        <f t="shared" si="13"/>
        <v>6kiw</v>
      </c>
      <c r="O295" s="2" t="s">
        <v>31</v>
      </c>
      <c r="P295" s="2" t="str">
        <f t="shared" si="14"/>
        <v>B-E63Q</v>
      </c>
    </row>
    <row r="296" spans="1:16">
      <c r="A296" s="1" t="s">
        <v>26</v>
      </c>
      <c r="B296" s="1" t="s">
        <v>27</v>
      </c>
      <c r="C296" s="1" t="s">
        <v>28</v>
      </c>
      <c r="D296" s="1">
        <v>74</v>
      </c>
      <c r="E296" s="1" t="s">
        <v>29</v>
      </c>
      <c r="F296" s="1" t="s">
        <v>30</v>
      </c>
      <c r="G296" s="1">
        <v>1.21</v>
      </c>
      <c r="H296" s="1" t="s">
        <v>20</v>
      </c>
      <c r="I296" t="s">
        <v>21</v>
      </c>
      <c r="J296" t="s">
        <v>22</v>
      </c>
      <c r="K296" t="s">
        <v>23</v>
      </c>
      <c r="L296" t="s">
        <v>24</v>
      </c>
      <c r="M296" t="str">
        <f t="shared" si="12"/>
        <v>charge-altering-6kiw</v>
      </c>
      <c r="N296" t="str">
        <f t="shared" si="13"/>
        <v>6kiw</v>
      </c>
      <c r="O296" s="2" t="s">
        <v>31</v>
      </c>
      <c r="P296" s="2" t="str">
        <f t="shared" si="14"/>
        <v>B-E74Q</v>
      </c>
    </row>
    <row r="297" spans="1:16">
      <c r="A297" s="1" t="s">
        <v>26</v>
      </c>
      <c r="B297" s="1" t="s">
        <v>27</v>
      </c>
      <c r="C297" s="1" t="s">
        <v>28</v>
      </c>
      <c r="D297" s="1">
        <v>101</v>
      </c>
      <c r="E297" s="1" t="s">
        <v>19</v>
      </c>
      <c r="F297" s="1" t="s">
        <v>18</v>
      </c>
      <c r="G297" s="1">
        <v>0.35</v>
      </c>
      <c r="H297" s="1" t="s">
        <v>20</v>
      </c>
      <c r="I297" t="s">
        <v>53</v>
      </c>
      <c r="J297" t="s">
        <v>54</v>
      </c>
      <c r="K297" t="s">
        <v>55</v>
      </c>
      <c r="L297" t="s">
        <v>24</v>
      </c>
      <c r="M297" t="str">
        <f t="shared" si="12"/>
        <v>charge-altering-6kiw</v>
      </c>
      <c r="N297" t="str">
        <f t="shared" si="13"/>
        <v>6kiw</v>
      </c>
      <c r="O297" s="2" t="s">
        <v>31</v>
      </c>
      <c r="P297" s="2" t="str">
        <f t="shared" si="14"/>
        <v>B-G101D</v>
      </c>
    </row>
    <row r="298" spans="1:16">
      <c r="A298" s="1" t="s">
        <v>26</v>
      </c>
      <c r="B298" s="1" t="s">
        <v>27</v>
      </c>
      <c r="C298" s="1" t="s">
        <v>28</v>
      </c>
      <c r="D298" s="1">
        <v>94</v>
      </c>
      <c r="E298" s="1" t="s">
        <v>19</v>
      </c>
      <c r="F298" s="1" t="s">
        <v>29</v>
      </c>
      <c r="G298" s="1">
        <v>0.65</v>
      </c>
      <c r="H298" s="1" t="s">
        <v>20</v>
      </c>
      <c r="I298" t="s">
        <v>53</v>
      </c>
      <c r="J298" t="s">
        <v>54</v>
      </c>
      <c r="K298" t="s">
        <v>55</v>
      </c>
      <c r="L298" t="s">
        <v>24</v>
      </c>
      <c r="M298" t="str">
        <f t="shared" si="12"/>
        <v>charge-altering-6kiw</v>
      </c>
      <c r="N298" t="str">
        <f t="shared" si="13"/>
        <v>6kiw</v>
      </c>
      <c r="O298" s="2" t="s">
        <v>31</v>
      </c>
      <c r="P298" s="2" t="str">
        <f t="shared" si="14"/>
        <v>B-G94E</v>
      </c>
    </row>
    <row r="299" spans="1:16">
      <c r="A299" s="1" t="s">
        <v>26</v>
      </c>
      <c r="B299" s="1" t="s">
        <v>27</v>
      </c>
      <c r="C299" s="1" t="s">
        <v>28</v>
      </c>
      <c r="D299" s="1">
        <v>99</v>
      </c>
      <c r="E299" s="1" t="s">
        <v>19</v>
      </c>
      <c r="F299" s="1" t="s">
        <v>18</v>
      </c>
      <c r="G299" s="1">
        <v>0.78</v>
      </c>
      <c r="H299" s="1" t="s">
        <v>20</v>
      </c>
      <c r="I299" t="s">
        <v>53</v>
      </c>
      <c r="J299" t="s">
        <v>54</v>
      </c>
      <c r="K299" t="s">
        <v>55</v>
      </c>
      <c r="L299" t="s">
        <v>24</v>
      </c>
      <c r="M299" t="str">
        <f t="shared" si="12"/>
        <v>charge-altering-6kiw</v>
      </c>
      <c r="N299" t="str">
        <f t="shared" si="13"/>
        <v>6kiw</v>
      </c>
      <c r="O299" s="2" t="s">
        <v>31</v>
      </c>
      <c r="P299" s="2" t="str">
        <f t="shared" si="14"/>
        <v>B-G99D</v>
      </c>
    </row>
    <row r="300" spans="1:16">
      <c r="A300" s="1" t="s">
        <v>26</v>
      </c>
      <c r="B300" s="1" t="s">
        <v>27</v>
      </c>
      <c r="C300" s="1" t="s">
        <v>28</v>
      </c>
      <c r="D300" s="1">
        <v>75</v>
      </c>
      <c r="E300" s="1" t="s">
        <v>56</v>
      </c>
      <c r="F300" s="1" t="s">
        <v>30</v>
      </c>
      <c r="G300" s="1">
        <v>0.89</v>
      </c>
      <c r="H300" s="1" t="s">
        <v>20</v>
      </c>
      <c r="I300" t="s">
        <v>42</v>
      </c>
      <c r="J300" t="s">
        <v>22</v>
      </c>
      <c r="K300" t="s">
        <v>23</v>
      </c>
      <c r="L300" t="s">
        <v>24</v>
      </c>
      <c r="M300" t="str">
        <f t="shared" si="12"/>
        <v>charge-altering-6kiw</v>
      </c>
      <c r="N300" t="str">
        <f t="shared" si="13"/>
        <v>6kiw</v>
      </c>
      <c r="O300" s="2" t="s">
        <v>31</v>
      </c>
      <c r="P300" s="2" t="str">
        <f t="shared" si="14"/>
        <v>B-H75Q</v>
      </c>
    </row>
    <row r="301" spans="1:16">
      <c r="A301" s="1" t="s">
        <v>26</v>
      </c>
      <c r="B301" s="1" t="s">
        <v>27</v>
      </c>
      <c r="C301" s="1" t="s">
        <v>28</v>
      </c>
      <c r="D301" s="1">
        <v>59</v>
      </c>
      <c r="E301" s="1" t="s">
        <v>40</v>
      </c>
      <c r="F301" s="1" t="s">
        <v>29</v>
      </c>
      <c r="G301" s="1">
        <v>1.58</v>
      </c>
      <c r="H301" s="1" t="s">
        <v>20</v>
      </c>
      <c r="I301" t="s">
        <v>60</v>
      </c>
      <c r="J301" t="s">
        <v>51</v>
      </c>
      <c r="K301" t="s">
        <v>52</v>
      </c>
      <c r="L301" t="s">
        <v>24</v>
      </c>
      <c r="M301" t="str">
        <f t="shared" si="12"/>
        <v>charge-altering-6kiw</v>
      </c>
      <c r="N301" t="str">
        <f t="shared" si="13"/>
        <v>6kiw</v>
      </c>
      <c r="O301" s="2" t="s">
        <v>31</v>
      </c>
      <c r="P301" s="2" t="str">
        <f t="shared" si="14"/>
        <v>B-K59E</v>
      </c>
    </row>
    <row r="302" spans="1:16">
      <c r="A302" s="1" t="s">
        <v>26</v>
      </c>
      <c r="B302" s="1" t="s">
        <v>27</v>
      </c>
      <c r="C302" s="1" t="s">
        <v>28</v>
      </c>
      <c r="D302" s="1">
        <v>79</v>
      </c>
      <c r="E302" s="1" t="s">
        <v>40</v>
      </c>
      <c r="F302" s="1" t="s">
        <v>41</v>
      </c>
      <c r="G302" s="1">
        <v>1.24</v>
      </c>
      <c r="H302" s="1" t="s">
        <v>20</v>
      </c>
      <c r="I302" t="s">
        <v>42</v>
      </c>
      <c r="J302" t="s">
        <v>22</v>
      </c>
      <c r="K302" t="s">
        <v>23</v>
      </c>
      <c r="L302" t="s">
        <v>24</v>
      </c>
      <c r="M302" t="str">
        <f t="shared" si="12"/>
        <v>charge-altering-6kiw</v>
      </c>
      <c r="N302" t="str">
        <f t="shared" si="13"/>
        <v>6kiw</v>
      </c>
      <c r="O302" s="2" t="s">
        <v>31</v>
      </c>
      <c r="P302" s="2" t="str">
        <f t="shared" si="14"/>
        <v>B-K79N</v>
      </c>
    </row>
    <row r="303" spans="1:16">
      <c r="A303" s="1" t="s">
        <v>26</v>
      </c>
      <c r="B303" s="1" t="s">
        <v>27</v>
      </c>
      <c r="C303" s="1" t="s">
        <v>28</v>
      </c>
      <c r="D303" s="1">
        <v>91</v>
      </c>
      <c r="E303" s="1" t="s">
        <v>40</v>
      </c>
      <c r="F303" s="1" t="s">
        <v>41</v>
      </c>
      <c r="G303" s="1">
        <v>1.25</v>
      </c>
      <c r="H303" s="1" t="s">
        <v>20</v>
      </c>
      <c r="I303" t="s">
        <v>42</v>
      </c>
      <c r="J303" t="s">
        <v>22</v>
      </c>
      <c r="K303" t="s">
        <v>23</v>
      </c>
      <c r="L303" t="s">
        <v>24</v>
      </c>
      <c r="M303" t="str">
        <f t="shared" si="12"/>
        <v>charge-altering-6kiw</v>
      </c>
      <c r="N303" t="str">
        <f t="shared" si="13"/>
        <v>6kiw</v>
      </c>
      <c r="O303" s="2" t="s">
        <v>31</v>
      </c>
      <c r="P303" s="2" t="str">
        <f t="shared" si="14"/>
        <v>B-K91N</v>
      </c>
    </row>
    <row r="304" spans="1:16">
      <c r="A304" s="1" t="s">
        <v>26</v>
      </c>
      <c r="B304" s="1" t="s">
        <v>27</v>
      </c>
      <c r="C304" s="1" t="s">
        <v>28</v>
      </c>
      <c r="D304" s="1">
        <v>39</v>
      </c>
      <c r="E304" s="1" t="s">
        <v>43</v>
      </c>
      <c r="F304" s="1" t="s">
        <v>17</v>
      </c>
      <c r="G304" s="1">
        <v>1.61</v>
      </c>
      <c r="H304" s="1" t="s">
        <v>20</v>
      </c>
      <c r="I304" t="s">
        <v>42</v>
      </c>
      <c r="J304" t="s">
        <v>22</v>
      </c>
      <c r="K304" t="s">
        <v>23</v>
      </c>
      <c r="L304" t="s">
        <v>24</v>
      </c>
      <c r="M304" t="str">
        <f t="shared" si="12"/>
        <v>charge-altering-6kiw</v>
      </c>
      <c r="N304" t="str">
        <f t="shared" si="13"/>
        <v>6kiw</v>
      </c>
      <c r="O304" s="2" t="s">
        <v>31</v>
      </c>
      <c r="P304" s="2" t="str">
        <f t="shared" si="14"/>
        <v>B-R39C</v>
      </c>
    </row>
    <row r="305" spans="1:16">
      <c r="A305" s="1" t="s">
        <v>26</v>
      </c>
      <c r="B305" s="1" t="s">
        <v>27</v>
      </c>
      <c r="C305" s="1" t="s">
        <v>28</v>
      </c>
      <c r="D305" s="1">
        <v>39</v>
      </c>
      <c r="E305" s="1" t="s">
        <v>43</v>
      </c>
      <c r="F305" s="1" t="s">
        <v>19</v>
      </c>
      <c r="G305" s="1">
        <v>1.99</v>
      </c>
      <c r="H305" s="1" t="s">
        <v>20</v>
      </c>
      <c r="I305" t="s">
        <v>42</v>
      </c>
      <c r="J305" t="s">
        <v>22</v>
      </c>
      <c r="K305" t="s">
        <v>23</v>
      </c>
      <c r="L305" t="s">
        <v>24</v>
      </c>
      <c r="M305" t="str">
        <f t="shared" si="12"/>
        <v>charge-altering-6kiw</v>
      </c>
      <c r="N305" t="str">
        <f t="shared" si="13"/>
        <v>6kiw</v>
      </c>
      <c r="O305" s="2" t="s">
        <v>31</v>
      </c>
      <c r="P305" s="2" t="str">
        <f t="shared" si="14"/>
        <v>B-R39G</v>
      </c>
    </row>
    <row r="306" spans="1:16">
      <c r="A306" s="1" t="s">
        <v>26</v>
      </c>
      <c r="B306" s="1" t="s">
        <v>27</v>
      </c>
      <c r="C306" s="1" t="s">
        <v>28</v>
      </c>
      <c r="D306" s="1">
        <v>40</v>
      </c>
      <c r="E306" s="1" t="s">
        <v>43</v>
      </c>
      <c r="F306" s="1" t="s">
        <v>17</v>
      </c>
      <c r="G306" s="1">
        <v>1.47</v>
      </c>
      <c r="H306" s="1" t="s">
        <v>20</v>
      </c>
      <c r="I306" t="s">
        <v>42</v>
      </c>
      <c r="J306" t="s">
        <v>22</v>
      </c>
      <c r="K306" t="s">
        <v>23</v>
      </c>
      <c r="L306" t="s">
        <v>24</v>
      </c>
      <c r="M306" t="str">
        <f t="shared" si="12"/>
        <v>charge-altering-6kiw</v>
      </c>
      <c r="N306" t="str">
        <f t="shared" si="13"/>
        <v>6kiw</v>
      </c>
      <c r="O306" s="2" t="s">
        <v>31</v>
      </c>
      <c r="P306" s="2" t="str">
        <f t="shared" si="14"/>
        <v>B-R40C</v>
      </c>
    </row>
    <row r="307" spans="1:16">
      <c r="A307" s="1" t="s">
        <v>26</v>
      </c>
      <c r="B307" s="1" t="s">
        <v>27</v>
      </c>
      <c r="C307" s="1" t="s">
        <v>28</v>
      </c>
      <c r="D307" s="1">
        <v>45</v>
      </c>
      <c r="E307" s="1" t="s">
        <v>43</v>
      </c>
      <c r="F307" s="1" t="s">
        <v>30</v>
      </c>
      <c r="G307" s="1">
        <v>1.46</v>
      </c>
      <c r="H307" s="1" t="s">
        <v>20</v>
      </c>
      <c r="I307" t="s">
        <v>42</v>
      </c>
      <c r="J307" t="s">
        <v>22</v>
      </c>
      <c r="K307" t="s">
        <v>23</v>
      </c>
      <c r="L307" t="s">
        <v>24</v>
      </c>
      <c r="M307" t="str">
        <f t="shared" si="12"/>
        <v>charge-altering-6kiw</v>
      </c>
      <c r="N307" t="str">
        <f t="shared" si="13"/>
        <v>6kiw</v>
      </c>
      <c r="O307" s="2" t="s">
        <v>31</v>
      </c>
      <c r="P307" s="2" t="str">
        <f t="shared" si="14"/>
        <v>B-R45Q</v>
      </c>
    </row>
    <row r="308" spans="1:16">
      <c r="A308" s="1" t="s">
        <v>26</v>
      </c>
      <c r="B308" s="1" t="s">
        <v>27</v>
      </c>
      <c r="C308" s="1" t="s">
        <v>28</v>
      </c>
      <c r="D308" s="1">
        <v>67</v>
      </c>
      <c r="E308" s="1" t="s">
        <v>43</v>
      </c>
      <c r="F308" s="1" t="s">
        <v>58</v>
      </c>
      <c r="G308" s="1">
        <v>2.46</v>
      </c>
      <c r="H308" s="1" t="s">
        <v>20</v>
      </c>
      <c r="I308" t="s">
        <v>42</v>
      </c>
      <c r="J308" t="s">
        <v>22</v>
      </c>
      <c r="K308" t="s">
        <v>23</v>
      </c>
      <c r="L308" t="s">
        <v>24</v>
      </c>
      <c r="M308" t="str">
        <f t="shared" si="12"/>
        <v>charge-altering-6kiw</v>
      </c>
      <c r="N308" t="str">
        <f t="shared" si="13"/>
        <v>6kiw</v>
      </c>
      <c r="O308" s="2" t="s">
        <v>31</v>
      </c>
      <c r="P308" s="2" t="str">
        <f t="shared" si="14"/>
        <v>B-R67P</v>
      </c>
    </row>
    <row r="309" spans="1:16">
      <c r="A309" s="1" t="s">
        <v>26</v>
      </c>
      <c r="B309" s="1" t="s">
        <v>27</v>
      </c>
      <c r="C309" s="1" t="s">
        <v>28</v>
      </c>
      <c r="D309" s="1">
        <v>92</v>
      </c>
      <c r="E309" s="1" t="s">
        <v>43</v>
      </c>
      <c r="F309" s="1" t="s">
        <v>39</v>
      </c>
      <c r="G309" s="1">
        <v>1.26</v>
      </c>
      <c r="H309" s="1" t="s">
        <v>20</v>
      </c>
      <c r="I309" t="s">
        <v>42</v>
      </c>
      <c r="J309" t="s">
        <v>22</v>
      </c>
      <c r="K309" t="s">
        <v>23</v>
      </c>
      <c r="L309" t="s">
        <v>24</v>
      </c>
      <c r="M309" t="str">
        <f t="shared" si="12"/>
        <v>charge-altering-6kiw</v>
      </c>
      <c r="N309" t="str">
        <f t="shared" si="13"/>
        <v>6kiw</v>
      </c>
      <c r="O309" s="2" t="s">
        <v>31</v>
      </c>
      <c r="P309" s="2" t="str">
        <f t="shared" si="14"/>
        <v>B-R92L</v>
      </c>
    </row>
    <row r="310" spans="1:16">
      <c r="A310" s="1" t="s">
        <v>26</v>
      </c>
      <c r="B310" s="1" t="s">
        <v>27</v>
      </c>
      <c r="C310" s="1" t="s">
        <v>28</v>
      </c>
      <c r="D310" s="1">
        <v>92</v>
      </c>
      <c r="E310" s="1" t="s">
        <v>43</v>
      </c>
      <c r="F310" s="1" t="s">
        <v>47</v>
      </c>
      <c r="G310" s="1">
        <v>0.79</v>
      </c>
      <c r="H310" s="1" t="s">
        <v>20</v>
      </c>
      <c r="I310" t="s">
        <v>42</v>
      </c>
      <c r="J310" t="s">
        <v>22</v>
      </c>
      <c r="K310" t="s">
        <v>23</v>
      </c>
      <c r="L310" t="s">
        <v>24</v>
      </c>
      <c r="M310" t="str">
        <f t="shared" si="12"/>
        <v>charge-altering-6kiw</v>
      </c>
      <c r="N310" t="str">
        <f t="shared" si="13"/>
        <v>6kiw</v>
      </c>
      <c r="O310" s="2" t="s">
        <v>31</v>
      </c>
      <c r="P310" s="2" t="str">
        <f t="shared" si="14"/>
        <v>B-R92T</v>
      </c>
    </row>
    <row r="311" spans="1:16">
      <c r="A311" s="1" t="s">
        <v>26</v>
      </c>
      <c r="B311" s="1" t="s">
        <v>27</v>
      </c>
      <c r="C311" s="1" t="s">
        <v>28</v>
      </c>
      <c r="D311" s="1">
        <v>65</v>
      </c>
      <c r="E311" s="1" t="s">
        <v>61</v>
      </c>
      <c r="F311" s="1" t="s">
        <v>29</v>
      </c>
      <c r="G311" s="1">
        <v>0.24</v>
      </c>
      <c r="H311" s="1" t="s">
        <v>20</v>
      </c>
      <c r="I311" t="s">
        <v>53</v>
      </c>
      <c r="J311" t="s">
        <v>54</v>
      </c>
      <c r="K311" t="s">
        <v>55</v>
      </c>
      <c r="L311" t="s">
        <v>24</v>
      </c>
      <c r="M311" t="str">
        <f t="shared" si="12"/>
        <v>charge-altering-6kiw</v>
      </c>
      <c r="N311" t="str">
        <f t="shared" si="13"/>
        <v>6kiw</v>
      </c>
      <c r="O311" s="2" t="s">
        <v>31</v>
      </c>
      <c r="P311" s="2" t="str">
        <f t="shared" si="14"/>
        <v>B-V65E</v>
      </c>
    </row>
    <row r="312" spans="1:16">
      <c r="A312" s="1" t="s">
        <v>26</v>
      </c>
      <c r="B312" s="1" t="s">
        <v>27</v>
      </c>
      <c r="C312" s="1" t="s">
        <v>28</v>
      </c>
      <c r="D312" s="1">
        <v>98</v>
      </c>
      <c r="E312" s="1" t="s">
        <v>49</v>
      </c>
      <c r="F312" s="1" t="s">
        <v>18</v>
      </c>
      <c r="G312" s="1">
        <v>2.9</v>
      </c>
      <c r="H312" s="1" t="s">
        <v>20</v>
      </c>
      <c r="I312" t="s">
        <v>53</v>
      </c>
      <c r="J312" t="s">
        <v>54</v>
      </c>
      <c r="K312" t="s">
        <v>55</v>
      </c>
      <c r="L312" t="s">
        <v>24</v>
      </c>
      <c r="M312" t="str">
        <f t="shared" si="12"/>
        <v>charge-altering-6kiw</v>
      </c>
      <c r="N312" t="str">
        <f t="shared" si="13"/>
        <v>6kiw</v>
      </c>
      <c r="O312" s="2" t="s">
        <v>31</v>
      </c>
      <c r="P312" s="2" t="str">
        <f t="shared" si="14"/>
        <v>B-Y98D</v>
      </c>
    </row>
    <row r="313" spans="1:16">
      <c r="A313" s="1" t="s">
        <v>26</v>
      </c>
      <c r="B313" s="1" t="s">
        <v>27</v>
      </c>
      <c r="C313" s="1" t="s">
        <v>33</v>
      </c>
      <c r="D313" s="1">
        <v>24</v>
      </c>
      <c r="E313" s="1" t="s">
        <v>18</v>
      </c>
      <c r="F313" s="1" t="s">
        <v>19</v>
      </c>
      <c r="G313" s="1">
        <v>1.18</v>
      </c>
      <c r="H313" s="1" t="s">
        <v>20</v>
      </c>
      <c r="I313" t="s">
        <v>21</v>
      </c>
      <c r="J313" t="s">
        <v>22</v>
      </c>
      <c r="K313" t="s">
        <v>23</v>
      </c>
      <c r="L313" t="s">
        <v>24</v>
      </c>
      <c r="M313" t="str">
        <f t="shared" si="12"/>
        <v>charge-altering-6kiw</v>
      </c>
      <c r="N313" t="str">
        <f t="shared" si="13"/>
        <v>6kiw</v>
      </c>
      <c r="O313" s="2" t="s">
        <v>31</v>
      </c>
      <c r="P313" s="2" t="str">
        <f t="shared" si="14"/>
        <v>F-D24G</v>
      </c>
    </row>
    <row r="314" spans="1:16">
      <c r="A314" s="1" t="s">
        <v>26</v>
      </c>
      <c r="B314" s="1" t="s">
        <v>27</v>
      </c>
      <c r="C314" s="1" t="s">
        <v>33</v>
      </c>
      <c r="D314" s="1">
        <v>68</v>
      </c>
      <c r="E314" s="1" t="s">
        <v>18</v>
      </c>
      <c r="F314" s="1" t="s">
        <v>56</v>
      </c>
      <c r="G314" s="1">
        <v>0.71</v>
      </c>
      <c r="H314" s="1" t="s">
        <v>20</v>
      </c>
      <c r="I314" t="s">
        <v>50</v>
      </c>
      <c r="J314" t="s">
        <v>51</v>
      </c>
      <c r="K314" t="s">
        <v>52</v>
      </c>
      <c r="L314" t="s">
        <v>24</v>
      </c>
      <c r="M314" t="str">
        <f t="shared" si="12"/>
        <v>charge-altering-6kiw</v>
      </c>
      <c r="N314" t="str">
        <f t="shared" si="13"/>
        <v>6kiw</v>
      </c>
      <c r="O314" s="2" t="s">
        <v>31</v>
      </c>
      <c r="P314" s="2" t="str">
        <f t="shared" si="14"/>
        <v>F-D68H</v>
      </c>
    </row>
    <row r="315" spans="1:16">
      <c r="A315" s="1" t="s">
        <v>26</v>
      </c>
      <c r="B315" s="1" t="s">
        <v>27</v>
      </c>
      <c r="C315" s="1" t="s">
        <v>33</v>
      </c>
      <c r="D315" s="1">
        <v>68</v>
      </c>
      <c r="E315" s="1" t="s">
        <v>18</v>
      </c>
      <c r="F315" s="1" t="s">
        <v>41</v>
      </c>
      <c r="G315" s="1">
        <v>1.1</v>
      </c>
      <c r="H315" s="1" t="s">
        <v>20</v>
      </c>
      <c r="I315" t="s">
        <v>21</v>
      </c>
      <c r="J315" t="s">
        <v>22</v>
      </c>
      <c r="K315" t="s">
        <v>23</v>
      </c>
      <c r="L315" t="s">
        <v>24</v>
      </c>
      <c r="M315" t="str">
        <f t="shared" si="12"/>
        <v>charge-altering-6kiw</v>
      </c>
      <c r="N315" t="str">
        <f t="shared" si="13"/>
        <v>6kiw</v>
      </c>
      <c r="O315" s="2" t="s">
        <v>31</v>
      </c>
      <c r="P315" s="2" t="str">
        <f t="shared" si="14"/>
        <v>F-D68N</v>
      </c>
    </row>
    <row r="316" spans="1:16">
      <c r="A316" s="1" t="s">
        <v>26</v>
      </c>
      <c r="B316" s="1" t="s">
        <v>27</v>
      </c>
      <c r="C316" s="1" t="s">
        <v>33</v>
      </c>
      <c r="D316" s="1">
        <v>68</v>
      </c>
      <c r="E316" s="1" t="s">
        <v>18</v>
      </c>
      <c r="F316" s="1" t="s">
        <v>49</v>
      </c>
      <c r="G316" s="1">
        <v>0.68</v>
      </c>
      <c r="H316" s="1" t="s">
        <v>20</v>
      </c>
      <c r="I316" t="s">
        <v>21</v>
      </c>
      <c r="J316" t="s">
        <v>22</v>
      </c>
      <c r="K316" t="s">
        <v>23</v>
      </c>
      <c r="L316" t="s">
        <v>24</v>
      </c>
      <c r="M316" t="str">
        <f t="shared" si="12"/>
        <v>charge-altering-6kiw</v>
      </c>
      <c r="N316" t="str">
        <f t="shared" si="13"/>
        <v>6kiw</v>
      </c>
      <c r="O316" s="2" t="s">
        <v>31</v>
      </c>
      <c r="P316" s="2" t="str">
        <f t="shared" si="14"/>
        <v>F-D68Y</v>
      </c>
    </row>
    <row r="317" spans="1:16">
      <c r="A317" s="1" t="s">
        <v>26</v>
      </c>
      <c r="B317" s="1" t="s">
        <v>27</v>
      </c>
      <c r="C317" s="1" t="s">
        <v>33</v>
      </c>
      <c r="D317" s="1">
        <v>53</v>
      </c>
      <c r="E317" s="1" t="s">
        <v>29</v>
      </c>
      <c r="F317" s="1" t="s">
        <v>40</v>
      </c>
      <c r="G317" s="1">
        <v>1.22</v>
      </c>
      <c r="H317" s="1" t="s">
        <v>20</v>
      </c>
      <c r="I317" t="s">
        <v>50</v>
      </c>
      <c r="J317" t="s">
        <v>51</v>
      </c>
      <c r="K317" t="s">
        <v>52</v>
      </c>
      <c r="L317" t="s">
        <v>24</v>
      </c>
      <c r="M317" t="str">
        <f t="shared" si="12"/>
        <v>charge-altering-6kiw</v>
      </c>
      <c r="N317" t="str">
        <f t="shared" si="13"/>
        <v>6kiw</v>
      </c>
      <c r="O317" s="2" t="s">
        <v>31</v>
      </c>
      <c r="P317" s="2" t="str">
        <f t="shared" si="14"/>
        <v>F-E53K</v>
      </c>
    </row>
    <row r="318" spans="1:16">
      <c r="A318" s="1" t="s">
        <v>26</v>
      </c>
      <c r="B318" s="1" t="s">
        <v>27</v>
      </c>
      <c r="C318" s="1" t="s">
        <v>33</v>
      </c>
      <c r="D318" s="1">
        <v>63</v>
      </c>
      <c r="E318" s="1" t="s">
        <v>29</v>
      </c>
      <c r="F318" s="1" t="s">
        <v>30</v>
      </c>
      <c r="G318" s="1">
        <v>1.34</v>
      </c>
      <c r="H318" s="1" t="s">
        <v>20</v>
      </c>
      <c r="I318" t="s">
        <v>21</v>
      </c>
      <c r="J318" t="s">
        <v>22</v>
      </c>
      <c r="K318" t="s">
        <v>23</v>
      </c>
      <c r="L318" t="s">
        <v>24</v>
      </c>
      <c r="M318" t="str">
        <f t="shared" si="12"/>
        <v>charge-altering-6kiw</v>
      </c>
      <c r="N318" t="str">
        <f t="shared" si="13"/>
        <v>6kiw</v>
      </c>
      <c r="O318" s="2" t="s">
        <v>31</v>
      </c>
      <c r="P318" s="2" t="str">
        <f t="shared" si="14"/>
        <v>F-E63Q</v>
      </c>
    </row>
    <row r="319" spans="1:16">
      <c r="A319" s="1" t="s">
        <v>26</v>
      </c>
      <c r="B319" s="1" t="s">
        <v>27</v>
      </c>
      <c r="C319" s="1" t="s">
        <v>33</v>
      </c>
      <c r="D319" s="1">
        <v>74</v>
      </c>
      <c r="E319" s="1" t="s">
        <v>29</v>
      </c>
      <c r="F319" s="1" t="s">
        <v>30</v>
      </c>
      <c r="G319" s="1">
        <v>1.04</v>
      </c>
      <c r="H319" s="1" t="s">
        <v>20</v>
      </c>
      <c r="I319" t="s">
        <v>21</v>
      </c>
      <c r="J319" t="s">
        <v>22</v>
      </c>
      <c r="K319" t="s">
        <v>23</v>
      </c>
      <c r="L319" t="s">
        <v>24</v>
      </c>
      <c r="M319" t="str">
        <f t="shared" si="12"/>
        <v>charge-altering-6kiw</v>
      </c>
      <c r="N319" t="str">
        <f t="shared" si="13"/>
        <v>6kiw</v>
      </c>
      <c r="O319" s="2" t="s">
        <v>31</v>
      </c>
      <c r="P319" s="2" t="str">
        <f t="shared" si="14"/>
        <v>F-E74Q</v>
      </c>
    </row>
    <row r="320" spans="1:16">
      <c r="A320" s="1" t="s">
        <v>26</v>
      </c>
      <c r="B320" s="1" t="s">
        <v>27</v>
      </c>
      <c r="C320" s="1" t="s">
        <v>33</v>
      </c>
      <c r="D320" s="1">
        <v>101</v>
      </c>
      <c r="E320" s="1" t="s">
        <v>19</v>
      </c>
      <c r="F320" s="1" t="s">
        <v>18</v>
      </c>
      <c r="G320" s="1">
        <v>0.38</v>
      </c>
      <c r="H320" s="1" t="s">
        <v>20</v>
      </c>
      <c r="I320" t="s">
        <v>53</v>
      </c>
      <c r="J320" t="s">
        <v>54</v>
      </c>
      <c r="K320" t="s">
        <v>55</v>
      </c>
      <c r="L320" t="s">
        <v>24</v>
      </c>
      <c r="M320" t="str">
        <f t="shared" si="12"/>
        <v>charge-altering-6kiw</v>
      </c>
      <c r="N320" t="str">
        <f t="shared" si="13"/>
        <v>6kiw</v>
      </c>
      <c r="O320" s="2" t="s">
        <v>31</v>
      </c>
      <c r="P320" s="2" t="str">
        <f t="shared" si="14"/>
        <v>F-G101D</v>
      </c>
    </row>
    <row r="321" spans="1:16">
      <c r="A321" s="1" t="s">
        <v>26</v>
      </c>
      <c r="B321" s="1" t="s">
        <v>27</v>
      </c>
      <c r="C321" s="1" t="s">
        <v>33</v>
      </c>
      <c r="D321" s="1">
        <v>94</v>
      </c>
      <c r="E321" s="1" t="s">
        <v>19</v>
      </c>
      <c r="F321" s="1" t="s">
        <v>29</v>
      </c>
      <c r="G321" s="1">
        <v>0.65</v>
      </c>
      <c r="H321" s="1" t="s">
        <v>20</v>
      </c>
      <c r="I321" t="s">
        <v>53</v>
      </c>
      <c r="J321" t="s">
        <v>54</v>
      </c>
      <c r="K321" t="s">
        <v>55</v>
      </c>
      <c r="L321" t="s">
        <v>24</v>
      </c>
      <c r="M321" t="str">
        <f t="shared" si="12"/>
        <v>charge-altering-6kiw</v>
      </c>
      <c r="N321" t="str">
        <f t="shared" si="13"/>
        <v>6kiw</v>
      </c>
      <c r="O321" s="2" t="s">
        <v>31</v>
      </c>
      <c r="P321" s="2" t="str">
        <f t="shared" si="14"/>
        <v>F-G94E</v>
      </c>
    </row>
    <row r="322" spans="1:16">
      <c r="A322" s="1" t="s">
        <v>26</v>
      </c>
      <c r="B322" s="1" t="s">
        <v>27</v>
      </c>
      <c r="C322" s="1" t="s">
        <v>33</v>
      </c>
      <c r="D322" s="1">
        <v>99</v>
      </c>
      <c r="E322" s="1" t="s">
        <v>19</v>
      </c>
      <c r="F322" s="1" t="s">
        <v>18</v>
      </c>
      <c r="G322" s="1">
        <v>0.54</v>
      </c>
      <c r="H322" s="1" t="s">
        <v>20</v>
      </c>
      <c r="I322" t="s">
        <v>53</v>
      </c>
      <c r="J322" t="s">
        <v>54</v>
      </c>
      <c r="K322" t="s">
        <v>55</v>
      </c>
      <c r="L322" t="s">
        <v>24</v>
      </c>
      <c r="M322" t="str">
        <f t="shared" ref="M322:M385" si="15">L322&amp;"-"&amp;LEFT(A322,4)</f>
        <v>charge-altering-6kiw</v>
      </c>
      <c r="N322" t="str">
        <f t="shared" ref="N322:N385" si="16">LEFT(A322,4)</f>
        <v>6kiw</v>
      </c>
      <c r="O322" s="2" t="s">
        <v>31</v>
      </c>
      <c r="P322" s="2" t="str">
        <f t="shared" ref="P322:P385" si="17">C322&amp;"-"&amp;E322&amp;D322&amp;F322</f>
        <v>F-G99D</v>
      </c>
    </row>
    <row r="323" spans="1:16">
      <c r="A323" s="1" t="s">
        <v>26</v>
      </c>
      <c r="B323" s="1" t="s">
        <v>27</v>
      </c>
      <c r="C323" s="1" t="s">
        <v>33</v>
      </c>
      <c r="D323" s="1">
        <v>75</v>
      </c>
      <c r="E323" s="1" t="s">
        <v>56</v>
      </c>
      <c r="F323" s="1" t="s">
        <v>30</v>
      </c>
      <c r="G323" s="1">
        <v>0.89</v>
      </c>
      <c r="H323" s="1" t="s">
        <v>20</v>
      </c>
      <c r="I323" t="s">
        <v>42</v>
      </c>
      <c r="J323" t="s">
        <v>22</v>
      </c>
      <c r="K323" t="s">
        <v>23</v>
      </c>
      <c r="L323" t="s">
        <v>24</v>
      </c>
      <c r="M323" t="str">
        <f t="shared" si="15"/>
        <v>charge-altering-6kiw</v>
      </c>
      <c r="N323" t="str">
        <f t="shared" si="16"/>
        <v>6kiw</v>
      </c>
      <c r="O323" s="2" t="s">
        <v>31</v>
      </c>
      <c r="P323" s="2" t="str">
        <f t="shared" si="17"/>
        <v>F-H75Q</v>
      </c>
    </row>
    <row r="324" spans="1:16">
      <c r="A324" s="1" t="s">
        <v>26</v>
      </c>
      <c r="B324" s="1" t="s">
        <v>27</v>
      </c>
      <c r="C324" s="1" t="s">
        <v>33</v>
      </c>
      <c r="D324" s="1">
        <v>59</v>
      </c>
      <c r="E324" s="1" t="s">
        <v>40</v>
      </c>
      <c r="F324" s="1" t="s">
        <v>29</v>
      </c>
      <c r="G324" s="1">
        <v>1.58</v>
      </c>
      <c r="H324" s="1" t="s">
        <v>20</v>
      </c>
      <c r="I324" t="s">
        <v>60</v>
      </c>
      <c r="J324" t="s">
        <v>51</v>
      </c>
      <c r="K324" t="s">
        <v>52</v>
      </c>
      <c r="L324" t="s">
        <v>24</v>
      </c>
      <c r="M324" t="str">
        <f t="shared" si="15"/>
        <v>charge-altering-6kiw</v>
      </c>
      <c r="N324" t="str">
        <f t="shared" si="16"/>
        <v>6kiw</v>
      </c>
      <c r="O324" s="2" t="s">
        <v>31</v>
      </c>
      <c r="P324" s="2" t="str">
        <f t="shared" si="17"/>
        <v>F-K59E</v>
      </c>
    </row>
    <row r="325" spans="1:16">
      <c r="A325" s="1" t="s">
        <v>26</v>
      </c>
      <c r="B325" s="1" t="s">
        <v>27</v>
      </c>
      <c r="C325" s="1" t="s">
        <v>33</v>
      </c>
      <c r="D325" s="1">
        <v>79</v>
      </c>
      <c r="E325" s="1" t="s">
        <v>40</v>
      </c>
      <c r="F325" s="1" t="s">
        <v>41</v>
      </c>
      <c r="G325" s="1">
        <v>1</v>
      </c>
      <c r="H325" s="1" t="s">
        <v>20</v>
      </c>
      <c r="I325" t="s">
        <v>42</v>
      </c>
      <c r="J325" t="s">
        <v>22</v>
      </c>
      <c r="K325" t="s">
        <v>23</v>
      </c>
      <c r="L325" t="s">
        <v>24</v>
      </c>
      <c r="M325" t="str">
        <f t="shared" si="15"/>
        <v>charge-altering-6kiw</v>
      </c>
      <c r="N325" t="str">
        <f t="shared" si="16"/>
        <v>6kiw</v>
      </c>
      <c r="O325" s="2" t="s">
        <v>31</v>
      </c>
      <c r="P325" s="2" t="str">
        <f t="shared" si="17"/>
        <v>F-K79N</v>
      </c>
    </row>
    <row r="326" spans="1:16">
      <c r="A326" s="1" t="s">
        <v>26</v>
      </c>
      <c r="B326" s="1" t="s">
        <v>27</v>
      </c>
      <c r="C326" s="1" t="s">
        <v>33</v>
      </c>
      <c r="D326" s="1">
        <v>91</v>
      </c>
      <c r="E326" s="1" t="s">
        <v>40</v>
      </c>
      <c r="F326" s="1" t="s">
        <v>41</v>
      </c>
      <c r="G326" s="1">
        <v>1.25</v>
      </c>
      <c r="H326" s="1" t="s">
        <v>20</v>
      </c>
      <c r="I326" t="s">
        <v>42</v>
      </c>
      <c r="J326" t="s">
        <v>22</v>
      </c>
      <c r="K326" t="s">
        <v>23</v>
      </c>
      <c r="L326" t="s">
        <v>24</v>
      </c>
      <c r="M326" t="str">
        <f t="shared" si="15"/>
        <v>charge-altering-6kiw</v>
      </c>
      <c r="N326" t="str">
        <f t="shared" si="16"/>
        <v>6kiw</v>
      </c>
      <c r="O326" s="2" t="s">
        <v>31</v>
      </c>
      <c r="P326" s="2" t="str">
        <f t="shared" si="17"/>
        <v>F-K91N</v>
      </c>
    </row>
    <row r="327" spans="1:16">
      <c r="A327" s="1" t="s">
        <v>26</v>
      </c>
      <c r="B327" s="1" t="s">
        <v>27</v>
      </c>
      <c r="C327" s="1" t="s">
        <v>33</v>
      </c>
      <c r="D327" s="1">
        <v>39</v>
      </c>
      <c r="E327" s="1" t="s">
        <v>43</v>
      </c>
      <c r="F327" s="1" t="s">
        <v>17</v>
      </c>
      <c r="G327" s="1">
        <v>1.61</v>
      </c>
      <c r="H327" s="1" t="s">
        <v>20</v>
      </c>
      <c r="I327" t="s">
        <v>42</v>
      </c>
      <c r="J327" t="s">
        <v>22</v>
      </c>
      <c r="K327" t="s">
        <v>23</v>
      </c>
      <c r="L327" t="s">
        <v>24</v>
      </c>
      <c r="M327" t="str">
        <f t="shared" si="15"/>
        <v>charge-altering-6kiw</v>
      </c>
      <c r="N327" t="str">
        <f t="shared" si="16"/>
        <v>6kiw</v>
      </c>
      <c r="O327" s="2" t="s">
        <v>31</v>
      </c>
      <c r="P327" s="2" t="str">
        <f t="shared" si="17"/>
        <v>F-R39C</v>
      </c>
    </row>
    <row r="328" spans="1:16">
      <c r="A328" s="1" t="s">
        <v>26</v>
      </c>
      <c r="B328" s="1" t="s">
        <v>27</v>
      </c>
      <c r="C328" s="1" t="s">
        <v>33</v>
      </c>
      <c r="D328" s="1">
        <v>39</v>
      </c>
      <c r="E328" s="1" t="s">
        <v>43</v>
      </c>
      <c r="F328" s="1" t="s">
        <v>19</v>
      </c>
      <c r="G328" s="1">
        <v>1.99</v>
      </c>
      <c r="H328" s="1" t="s">
        <v>20</v>
      </c>
      <c r="I328" t="s">
        <v>42</v>
      </c>
      <c r="J328" t="s">
        <v>22</v>
      </c>
      <c r="K328" t="s">
        <v>23</v>
      </c>
      <c r="L328" t="s">
        <v>24</v>
      </c>
      <c r="M328" t="str">
        <f t="shared" si="15"/>
        <v>charge-altering-6kiw</v>
      </c>
      <c r="N328" t="str">
        <f t="shared" si="16"/>
        <v>6kiw</v>
      </c>
      <c r="O328" s="2" t="s">
        <v>31</v>
      </c>
      <c r="P328" s="2" t="str">
        <f t="shared" si="17"/>
        <v>F-R39G</v>
      </c>
    </row>
    <row r="329" spans="1:16">
      <c r="A329" s="1" t="s">
        <v>26</v>
      </c>
      <c r="B329" s="1" t="s">
        <v>27</v>
      </c>
      <c r="C329" s="1" t="s">
        <v>33</v>
      </c>
      <c r="D329" s="1">
        <v>40</v>
      </c>
      <c r="E329" s="1" t="s">
        <v>43</v>
      </c>
      <c r="F329" s="1" t="s">
        <v>17</v>
      </c>
      <c r="G329" s="1">
        <v>1.68</v>
      </c>
      <c r="H329" s="1" t="s">
        <v>20</v>
      </c>
      <c r="I329" t="s">
        <v>42</v>
      </c>
      <c r="J329" t="s">
        <v>22</v>
      </c>
      <c r="K329" t="s">
        <v>23</v>
      </c>
      <c r="L329" t="s">
        <v>24</v>
      </c>
      <c r="M329" t="str">
        <f t="shared" si="15"/>
        <v>charge-altering-6kiw</v>
      </c>
      <c r="N329" t="str">
        <f t="shared" si="16"/>
        <v>6kiw</v>
      </c>
      <c r="O329" s="2" t="s">
        <v>31</v>
      </c>
      <c r="P329" s="2" t="str">
        <f t="shared" si="17"/>
        <v>F-R40C</v>
      </c>
    </row>
    <row r="330" spans="1:16">
      <c r="A330" s="1" t="s">
        <v>26</v>
      </c>
      <c r="B330" s="1" t="s">
        <v>27</v>
      </c>
      <c r="C330" s="1" t="s">
        <v>33</v>
      </c>
      <c r="D330" s="1">
        <v>45</v>
      </c>
      <c r="E330" s="1" t="s">
        <v>43</v>
      </c>
      <c r="F330" s="1" t="s">
        <v>30</v>
      </c>
      <c r="G330" s="1">
        <v>1.45</v>
      </c>
      <c r="H330" s="1" t="s">
        <v>20</v>
      </c>
      <c r="I330" t="s">
        <v>42</v>
      </c>
      <c r="J330" t="s">
        <v>22</v>
      </c>
      <c r="K330" t="s">
        <v>23</v>
      </c>
      <c r="L330" t="s">
        <v>24</v>
      </c>
      <c r="M330" t="str">
        <f t="shared" si="15"/>
        <v>charge-altering-6kiw</v>
      </c>
      <c r="N330" t="str">
        <f t="shared" si="16"/>
        <v>6kiw</v>
      </c>
      <c r="O330" s="2" t="s">
        <v>31</v>
      </c>
      <c r="P330" s="2" t="str">
        <f t="shared" si="17"/>
        <v>F-R45Q</v>
      </c>
    </row>
    <row r="331" spans="1:16">
      <c r="A331" s="1" t="s">
        <v>26</v>
      </c>
      <c r="B331" s="1" t="s">
        <v>27</v>
      </c>
      <c r="C331" s="1" t="s">
        <v>33</v>
      </c>
      <c r="D331" s="1">
        <v>67</v>
      </c>
      <c r="E331" s="1" t="s">
        <v>43</v>
      </c>
      <c r="F331" s="1" t="s">
        <v>58</v>
      </c>
      <c r="G331" s="1">
        <v>3</v>
      </c>
      <c r="H331" s="1" t="s">
        <v>20</v>
      </c>
      <c r="I331" t="s">
        <v>42</v>
      </c>
      <c r="J331" t="s">
        <v>22</v>
      </c>
      <c r="K331" t="s">
        <v>23</v>
      </c>
      <c r="L331" t="s">
        <v>24</v>
      </c>
      <c r="M331" t="str">
        <f t="shared" si="15"/>
        <v>charge-altering-6kiw</v>
      </c>
      <c r="N331" t="str">
        <f t="shared" si="16"/>
        <v>6kiw</v>
      </c>
      <c r="O331" s="2" t="s">
        <v>31</v>
      </c>
      <c r="P331" s="2" t="str">
        <f t="shared" si="17"/>
        <v>F-R67P</v>
      </c>
    </row>
    <row r="332" spans="1:16">
      <c r="A332" s="1" t="s">
        <v>26</v>
      </c>
      <c r="B332" s="1" t="s">
        <v>27</v>
      </c>
      <c r="C332" s="1" t="s">
        <v>33</v>
      </c>
      <c r="D332" s="1">
        <v>92</v>
      </c>
      <c r="E332" s="1" t="s">
        <v>43</v>
      </c>
      <c r="F332" s="1" t="s">
        <v>39</v>
      </c>
      <c r="G332" s="1">
        <v>1.13</v>
      </c>
      <c r="H332" s="1" t="s">
        <v>20</v>
      </c>
      <c r="I332" t="s">
        <v>42</v>
      </c>
      <c r="J332" t="s">
        <v>22</v>
      </c>
      <c r="K332" t="s">
        <v>23</v>
      </c>
      <c r="L332" t="s">
        <v>24</v>
      </c>
      <c r="M332" t="str">
        <f t="shared" si="15"/>
        <v>charge-altering-6kiw</v>
      </c>
      <c r="N332" t="str">
        <f t="shared" si="16"/>
        <v>6kiw</v>
      </c>
      <c r="O332" s="2" t="s">
        <v>31</v>
      </c>
      <c r="P332" s="2" t="str">
        <f t="shared" si="17"/>
        <v>F-R92L</v>
      </c>
    </row>
    <row r="333" spans="1:16">
      <c r="A333" s="1" t="s">
        <v>26</v>
      </c>
      <c r="B333" s="1" t="s">
        <v>27</v>
      </c>
      <c r="C333" s="1" t="s">
        <v>33</v>
      </c>
      <c r="D333" s="1">
        <v>92</v>
      </c>
      <c r="E333" s="1" t="s">
        <v>43</v>
      </c>
      <c r="F333" s="1" t="s">
        <v>47</v>
      </c>
      <c r="G333" s="1">
        <v>0.7</v>
      </c>
      <c r="H333" s="1" t="s">
        <v>20</v>
      </c>
      <c r="I333" t="s">
        <v>42</v>
      </c>
      <c r="J333" t="s">
        <v>22</v>
      </c>
      <c r="K333" t="s">
        <v>23</v>
      </c>
      <c r="L333" t="s">
        <v>24</v>
      </c>
      <c r="M333" t="str">
        <f t="shared" si="15"/>
        <v>charge-altering-6kiw</v>
      </c>
      <c r="N333" t="str">
        <f t="shared" si="16"/>
        <v>6kiw</v>
      </c>
      <c r="O333" s="2" t="s">
        <v>31</v>
      </c>
      <c r="P333" s="2" t="str">
        <f t="shared" si="17"/>
        <v>F-R92T</v>
      </c>
    </row>
    <row r="334" spans="1:16">
      <c r="A334" s="1" t="s">
        <v>26</v>
      </c>
      <c r="B334" s="1" t="s">
        <v>27</v>
      </c>
      <c r="C334" s="1" t="s">
        <v>33</v>
      </c>
      <c r="D334" s="1">
        <v>65</v>
      </c>
      <c r="E334" s="1" t="s">
        <v>61</v>
      </c>
      <c r="F334" s="1" t="s">
        <v>29</v>
      </c>
      <c r="G334" s="1">
        <v>0.24</v>
      </c>
      <c r="H334" s="1" t="s">
        <v>20</v>
      </c>
      <c r="I334" t="s">
        <v>53</v>
      </c>
      <c r="J334" t="s">
        <v>54</v>
      </c>
      <c r="K334" t="s">
        <v>55</v>
      </c>
      <c r="L334" t="s">
        <v>24</v>
      </c>
      <c r="M334" t="str">
        <f t="shared" si="15"/>
        <v>charge-altering-6kiw</v>
      </c>
      <c r="N334" t="str">
        <f t="shared" si="16"/>
        <v>6kiw</v>
      </c>
      <c r="O334" s="2" t="s">
        <v>31</v>
      </c>
      <c r="P334" s="2" t="str">
        <f t="shared" si="17"/>
        <v>F-V65E</v>
      </c>
    </row>
    <row r="335" spans="1:16">
      <c r="A335" s="1" t="s">
        <v>26</v>
      </c>
      <c r="B335" s="1" t="s">
        <v>27</v>
      </c>
      <c r="C335" s="1" t="s">
        <v>33</v>
      </c>
      <c r="D335" s="1">
        <v>98</v>
      </c>
      <c r="E335" s="1" t="s">
        <v>49</v>
      </c>
      <c r="F335" s="1" t="s">
        <v>18</v>
      </c>
      <c r="G335" s="1">
        <v>2.69</v>
      </c>
      <c r="H335" s="1" t="s">
        <v>20</v>
      </c>
      <c r="I335" t="s">
        <v>53</v>
      </c>
      <c r="J335" t="s">
        <v>54</v>
      </c>
      <c r="K335" t="s">
        <v>55</v>
      </c>
      <c r="L335" t="s">
        <v>24</v>
      </c>
      <c r="M335" t="str">
        <f t="shared" si="15"/>
        <v>charge-altering-6kiw</v>
      </c>
      <c r="N335" t="str">
        <f t="shared" si="16"/>
        <v>6kiw</v>
      </c>
      <c r="O335" s="2" t="s">
        <v>31</v>
      </c>
      <c r="P335" s="2" t="str">
        <f t="shared" si="17"/>
        <v>F-Y98D</v>
      </c>
    </row>
    <row r="336" spans="1:16">
      <c r="A336" s="1" t="s">
        <v>15</v>
      </c>
      <c r="B336" s="1" t="s">
        <v>16</v>
      </c>
      <c r="C336" s="1" t="s">
        <v>17</v>
      </c>
      <c r="D336" s="1">
        <v>103</v>
      </c>
      <c r="E336" s="1" t="s">
        <v>32</v>
      </c>
      <c r="F336" s="1" t="s">
        <v>58</v>
      </c>
      <c r="G336" s="1">
        <v>1.53</v>
      </c>
      <c r="H336" s="1" t="s">
        <v>20</v>
      </c>
      <c r="I336" t="s">
        <v>34</v>
      </c>
      <c r="J336" t="s">
        <v>35</v>
      </c>
      <c r="K336" t="s">
        <v>36</v>
      </c>
      <c r="L336" t="s">
        <v>37</v>
      </c>
      <c r="M336" t="str">
        <f t="shared" si="15"/>
        <v>non-charge-altering-6kiu</v>
      </c>
      <c r="N336" t="str">
        <f t="shared" si="16"/>
        <v>6kiu</v>
      </c>
      <c r="O336" s="2" t="s">
        <v>25</v>
      </c>
      <c r="P336" s="2" t="str">
        <f t="shared" si="17"/>
        <v>C-A103P</v>
      </c>
    </row>
    <row r="337" spans="1:16">
      <c r="A337" s="1" t="s">
        <v>15</v>
      </c>
      <c r="B337" s="1" t="s">
        <v>16</v>
      </c>
      <c r="C337" s="1" t="s">
        <v>17</v>
      </c>
      <c r="D337" s="1">
        <v>103</v>
      </c>
      <c r="E337" s="1" t="s">
        <v>32</v>
      </c>
      <c r="F337" s="1" t="s">
        <v>47</v>
      </c>
      <c r="G337" s="1">
        <v>0.77</v>
      </c>
      <c r="H337" s="1" t="s">
        <v>20</v>
      </c>
      <c r="I337" t="s">
        <v>34</v>
      </c>
      <c r="J337" t="s">
        <v>35</v>
      </c>
      <c r="K337" t="s">
        <v>36</v>
      </c>
      <c r="L337" t="s">
        <v>37</v>
      </c>
      <c r="M337" t="str">
        <f t="shared" si="15"/>
        <v>non-charge-altering-6kiu</v>
      </c>
      <c r="N337" t="str">
        <f t="shared" si="16"/>
        <v>6kiu</v>
      </c>
      <c r="O337" s="2" t="s">
        <v>25</v>
      </c>
      <c r="P337" s="2" t="str">
        <f t="shared" si="17"/>
        <v>C-A103T</v>
      </c>
    </row>
    <row r="338" spans="1:16">
      <c r="A338" s="1" t="s">
        <v>15</v>
      </c>
      <c r="B338" s="1" t="s">
        <v>16</v>
      </c>
      <c r="C338" s="1" t="s">
        <v>17</v>
      </c>
      <c r="D338" s="1">
        <v>53</v>
      </c>
      <c r="E338" s="1" t="s">
        <v>32</v>
      </c>
      <c r="F338" s="1" t="s">
        <v>47</v>
      </c>
      <c r="G338" s="1">
        <v>0.28</v>
      </c>
      <c r="H338" s="1" t="s">
        <v>20</v>
      </c>
      <c r="I338" t="s">
        <v>34</v>
      </c>
      <c r="J338" t="s">
        <v>35</v>
      </c>
      <c r="K338" t="s">
        <v>36</v>
      </c>
      <c r="L338" t="s">
        <v>37</v>
      </c>
      <c r="M338" t="str">
        <f t="shared" si="15"/>
        <v>non-charge-altering-6kiu</v>
      </c>
      <c r="N338" t="str">
        <f t="shared" si="16"/>
        <v>6kiu</v>
      </c>
      <c r="O338" s="2" t="s">
        <v>25</v>
      </c>
      <c r="P338" s="2" t="str">
        <f t="shared" si="17"/>
        <v>C-A53T</v>
      </c>
    </row>
    <row r="339" spans="1:16">
      <c r="A339" s="1" t="s">
        <v>15</v>
      </c>
      <c r="B339" s="1" t="s">
        <v>16</v>
      </c>
      <c r="C339" s="1" t="s">
        <v>17</v>
      </c>
      <c r="D339" s="1">
        <v>53</v>
      </c>
      <c r="E339" s="1" t="s">
        <v>32</v>
      </c>
      <c r="F339" s="1" t="s">
        <v>61</v>
      </c>
      <c r="G339" s="1">
        <v>0.56</v>
      </c>
      <c r="H339" s="1" t="s">
        <v>20</v>
      </c>
      <c r="I339" t="s">
        <v>34</v>
      </c>
      <c r="J339" t="s">
        <v>35</v>
      </c>
      <c r="K339" t="s">
        <v>36</v>
      </c>
      <c r="L339" t="s">
        <v>37</v>
      </c>
      <c r="M339" t="str">
        <f t="shared" si="15"/>
        <v>non-charge-altering-6kiu</v>
      </c>
      <c r="N339" t="str">
        <f t="shared" si="16"/>
        <v>6kiu</v>
      </c>
      <c r="O339" s="2" t="s">
        <v>25</v>
      </c>
      <c r="P339" s="2" t="str">
        <f t="shared" si="17"/>
        <v>C-A53V</v>
      </c>
    </row>
    <row r="340" spans="1:16">
      <c r="A340" s="1" t="s">
        <v>15</v>
      </c>
      <c r="B340" s="1" t="s">
        <v>16</v>
      </c>
      <c r="C340" s="1" t="s">
        <v>17</v>
      </c>
      <c r="D340" s="1">
        <v>60</v>
      </c>
      <c r="E340" s="1" t="s">
        <v>32</v>
      </c>
      <c r="F340" s="1" t="s">
        <v>58</v>
      </c>
      <c r="G340" s="1">
        <v>0.87</v>
      </c>
      <c r="H340" s="1" t="s">
        <v>20</v>
      </c>
      <c r="I340" t="s">
        <v>34</v>
      </c>
      <c r="J340" t="s">
        <v>35</v>
      </c>
      <c r="K340" t="s">
        <v>36</v>
      </c>
      <c r="L340" t="s">
        <v>37</v>
      </c>
      <c r="M340" t="str">
        <f t="shared" si="15"/>
        <v>non-charge-altering-6kiu</v>
      </c>
      <c r="N340" t="str">
        <f t="shared" si="16"/>
        <v>6kiu</v>
      </c>
      <c r="O340" s="2" t="s">
        <v>25</v>
      </c>
      <c r="P340" s="2" t="str">
        <f t="shared" si="17"/>
        <v>C-A60P</v>
      </c>
    </row>
    <row r="341" spans="1:16">
      <c r="A341" s="1" t="s">
        <v>15</v>
      </c>
      <c r="B341" s="1" t="s">
        <v>16</v>
      </c>
      <c r="C341" s="1" t="s">
        <v>17</v>
      </c>
      <c r="D341" s="1">
        <v>60</v>
      </c>
      <c r="E341" s="1" t="s">
        <v>32</v>
      </c>
      <c r="F341" s="1" t="s">
        <v>47</v>
      </c>
      <c r="G341" s="1">
        <v>0.39</v>
      </c>
      <c r="H341" s="1" t="s">
        <v>20</v>
      </c>
      <c r="I341" t="s">
        <v>34</v>
      </c>
      <c r="J341" t="s">
        <v>35</v>
      </c>
      <c r="K341" t="s">
        <v>36</v>
      </c>
      <c r="L341" t="s">
        <v>37</v>
      </c>
      <c r="M341" t="str">
        <f t="shared" si="15"/>
        <v>non-charge-altering-6kiu</v>
      </c>
      <c r="N341" t="str">
        <f t="shared" si="16"/>
        <v>6kiu</v>
      </c>
      <c r="O341" s="2" t="s">
        <v>25</v>
      </c>
      <c r="P341" s="2" t="str">
        <f t="shared" si="17"/>
        <v>C-A60T</v>
      </c>
    </row>
    <row r="342" spans="1:16">
      <c r="A342" s="1" t="s">
        <v>15</v>
      </c>
      <c r="B342" s="1" t="s">
        <v>16</v>
      </c>
      <c r="C342" s="1" t="s">
        <v>17</v>
      </c>
      <c r="D342" s="1">
        <v>61</v>
      </c>
      <c r="E342" s="1" t="s">
        <v>29</v>
      </c>
      <c r="F342" s="1" t="s">
        <v>18</v>
      </c>
      <c r="G342" s="1">
        <v>1.01</v>
      </c>
      <c r="H342" s="1" t="s">
        <v>20</v>
      </c>
      <c r="I342" t="s">
        <v>62</v>
      </c>
      <c r="J342" t="s">
        <v>35</v>
      </c>
      <c r="K342" t="s">
        <v>36</v>
      </c>
      <c r="L342" t="s">
        <v>37</v>
      </c>
      <c r="M342" t="str">
        <f t="shared" si="15"/>
        <v>non-charge-altering-6kiu</v>
      </c>
      <c r="N342" t="str">
        <f t="shared" si="16"/>
        <v>6kiu</v>
      </c>
      <c r="O342" s="2" t="s">
        <v>25</v>
      </c>
      <c r="P342" s="2" t="str">
        <f t="shared" si="17"/>
        <v>C-E61D</v>
      </c>
    </row>
    <row r="343" spans="1:16">
      <c r="A343" s="1" t="s">
        <v>15</v>
      </c>
      <c r="B343" s="1" t="s">
        <v>16</v>
      </c>
      <c r="C343" s="1" t="s">
        <v>17</v>
      </c>
      <c r="D343" s="1">
        <v>92</v>
      </c>
      <c r="E343" s="1" t="s">
        <v>29</v>
      </c>
      <c r="F343" s="1" t="s">
        <v>18</v>
      </c>
      <c r="G343" s="1">
        <v>0.83</v>
      </c>
      <c r="H343" s="1" t="s">
        <v>20</v>
      </c>
      <c r="I343" t="s">
        <v>62</v>
      </c>
      <c r="J343" t="s">
        <v>35</v>
      </c>
      <c r="K343" t="s">
        <v>36</v>
      </c>
      <c r="L343" t="s">
        <v>37</v>
      </c>
      <c r="M343" t="str">
        <f t="shared" si="15"/>
        <v>non-charge-altering-6kiu</v>
      </c>
      <c r="N343" t="str">
        <f t="shared" si="16"/>
        <v>6kiu</v>
      </c>
      <c r="O343" s="2" t="s">
        <v>25</v>
      </c>
      <c r="P343" s="2" t="str">
        <f t="shared" si="17"/>
        <v>C-E92D</v>
      </c>
    </row>
    <row r="344" spans="1:16">
      <c r="A344" s="1" t="s">
        <v>15</v>
      </c>
      <c r="B344" s="1" t="s">
        <v>16</v>
      </c>
      <c r="C344" s="1" t="s">
        <v>17</v>
      </c>
      <c r="D344" s="1">
        <v>78</v>
      </c>
      <c r="E344" s="1" t="s">
        <v>48</v>
      </c>
      <c r="F344" s="1" t="s">
        <v>61</v>
      </c>
      <c r="G344" s="1">
        <v>1.21</v>
      </c>
      <c r="H344" s="1" t="s">
        <v>20</v>
      </c>
      <c r="I344" t="s">
        <v>34</v>
      </c>
      <c r="J344" t="s">
        <v>35</v>
      </c>
      <c r="K344" t="s">
        <v>36</v>
      </c>
      <c r="L344" t="s">
        <v>37</v>
      </c>
      <c r="M344" t="str">
        <f t="shared" si="15"/>
        <v>non-charge-altering-6kiu</v>
      </c>
      <c r="N344" t="str">
        <f t="shared" si="16"/>
        <v>6kiu</v>
      </c>
      <c r="O344" s="2" t="s">
        <v>25</v>
      </c>
      <c r="P344" s="2" t="str">
        <f t="shared" si="17"/>
        <v>C-I78V</v>
      </c>
    </row>
    <row r="345" spans="1:16">
      <c r="A345" s="1" t="s">
        <v>15</v>
      </c>
      <c r="B345" s="1" t="s">
        <v>16</v>
      </c>
      <c r="C345" s="1" t="s">
        <v>17</v>
      </c>
      <c r="D345" s="1">
        <v>51</v>
      </c>
      <c r="E345" s="1" t="s">
        <v>39</v>
      </c>
      <c r="F345" s="1" t="s">
        <v>63</v>
      </c>
      <c r="G345" s="1">
        <v>0.59</v>
      </c>
      <c r="H345" s="1" t="s">
        <v>20</v>
      </c>
      <c r="I345" t="s">
        <v>34</v>
      </c>
      <c r="J345" t="s">
        <v>35</v>
      </c>
      <c r="K345" t="s">
        <v>36</v>
      </c>
      <c r="L345" t="s">
        <v>37</v>
      </c>
      <c r="M345" t="str">
        <f t="shared" si="15"/>
        <v>non-charge-altering-6kiu</v>
      </c>
      <c r="N345" t="str">
        <f t="shared" si="16"/>
        <v>6kiu</v>
      </c>
      <c r="O345" s="2" t="s">
        <v>25</v>
      </c>
      <c r="P345" s="2" t="str">
        <f t="shared" si="17"/>
        <v>C-L51M</v>
      </c>
    </row>
    <row r="346" spans="1:16">
      <c r="A346" s="1" t="s">
        <v>15</v>
      </c>
      <c r="B346" s="1" t="s">
        <v>16</v>
      </c>
      <c r="C346" s="1" t="s">
        <v>17</v>
      </c>
      <c r="D346" s="1">
        <v>51</v>
      </c>
      <c r="E346" s="1" t="s">
        <v>39</v>
      </c>
      <c r="F346" s="1" t="s">
        <v>61</v>
      </c>
      <c r="G346" s="1">
        <v>0.8</v>
      </c>
      <c r="H346" s="1" t="s">
        <v>20</v>
      </c>
      <c r="I346" t="s">
        <v>34</v>
      </c>
      <c r="J346" t="s">
        <v>35</v>
      </c>
      <c r="K346" t="s">
        <v>36</v>
      </c>
      <c r="L346" t="s">
        <v>37</v>
      </c>
      <c r="M346" t="str">
        <f t="shared" si="15"/>
        <v>non-charge-altering-6kiu</v>
      </c>
      <c r="N346" t="str">
        <f t="shared" si="16"/>
        <v>6kiu</v>
      </c>
      <c r="O346" s="2" t="s">
        <v>25</v>
      </c>
      <c r="P346" s="2" t="str">
        <f t="shared" si="17"/>
        <v>C-L51V</v>
      </c>
    </row>
    <row r="347" spans="1:16">
      <c r="A347" s="1" t="s">
        <v>15</v>
      </c>
      <c r="B347" s="1" t="s">
        <v>16</v>
      </c>
      <c r="C347" s="1" t="s">
        <v>17</v>
      </c>
      <c r="D347" s="1">
        <v>58</v>
      </c>
      <c r="E347" s="1" t="s">
        <v>39</v>
      </c>
      <c r="F347" s="1" t="s">
        <v>61</v>
      </c>
      <c r="G347" s="1">
        <v>0.85</v>
      </c>
      <c r="H347" s="1" t="s">
        <v>20</v>
      </c>
      <c r="I347" t="s">
        <v>34</v>
      </c>
      <c r="J347" t="s">
        <v>35</v>
      </c>
      <c r="K347" t="s">
        <v>36</v>
      </c>
      <c r="L347" t="s">
        <v>37</v>
      </c>
      <c r="M347" t="str">
        <f t="shared" si="15"/>
        <v>non-charge-altering-6kiu</v>
      </c>
      <c r="N347" t="str">
        <f t="shared" si="16"/>
        <v>6kiu</v>
      </c>
      <c r="O347" s="2" t="s">
        <v>25</v>
      </c>
      <c r="P347" s="2" t="str">
        <f t="shared" si="17"/>
        <v>C-L58V</v>
      </c>
    </row>
    <row r="348" spans="1:16">
      <c r="A348" s="1" t="s">
        <v>15</v>
      </c>
      <c r="B348" s="1" t="s">
        <v>16</v>
      </c>
      <c r="C348" s="1" t="s">
        <v>17</v>
      </c>
      <c r="D348" s="1">
        <v>83</v>
      </c>
      <c r="E348" s="1" t="s">
        <v>39</v>
      </c>
      <c r="F348" s="1" t="s">
        <v>33</v>
      </c>
      <c r="G348" s="1">
        <v>0.58</v>
      </c>
      <c r="H348" s="1" t="s">
        <v>20</v>
      </c>
      <c r="I348" t="s">
        <v>34</v>
      </c>
      <c r="J348" t="s">
        <v>35</v>
      </c>
      <c r="K348" t="s">
        <v>36</v>
      </c>
      <c r="L348" t="s">
        <v>37</v>
      </c>
      <c r="M348" t="str">
        <f t="shared" si="15"/>
        <v>non-charge-altering-6kiu</v>
      </c>
      <c r="N348" t="str">
        <f t="shared" si="16"/>
        <v>6kiu</v>
      </c>
      <c r="O348" s="2" t="s">
        <v>25</v>
      </c>
      <c r="P348" s="2" t="str">
        <f t="shared" si="17"/>
        <v>C-L83F</v>
      </c>
    </row>
    <row r="349" spans="1:16">
      <c r="A349" s="1" t="s">
        <v>15</v>
      </c>
      <c r="B349" s="1" t="s">
        <v>16</v>
      </c>
      <c r="C349" s="1" t="s">
        <v>17</v>
      </c>
      <c r="D349" s="1">
        <v>93</v>
      </c>
      <c r="E349" s="1" t="s">
        <v>39</v>
      </c>
      <c r="F349" s="1" t="s">
        <v>61</v>
      </c>
      <c r="G349" s="1">
        <v>1.36</v>
      </c>
      <c r="H349" s="1" t="s">
        <v>20</v>
      </c>
      <c r="I349" t="s">
        <v>34</v>
      </c>
      <c r="J349" t="s">
        <v>35</v>
      </c>
      <c r="K349" t="s">
        <v>36</v>
      </c>
      <c r="L349" t="s">
        <v>37</v>
      </c>
      <c r="M349" t="str">
        <f t="shared" si="15"/>
        <v>non-charge-altering-6kiu</v>
      </c>
      <c r="N349" t="str">
        <f t="shared" si="16"/>
        <v>6kiu</v>
      </c>
      <c r="O349" s="2" t="s">
        <v>25</v>
      </c>
      <c r="P349" s="2" t="str">
        <f t="shared" si="17"/>
        <v>C-L93V</v>
      </c>
    </row>
    <row r="350" spans="1:16">
      <c r="A350" s="1" t="s">
        <v>15</v>
      </c>
      <c r="B350" s="1" t="s">
        <v>16</v>
      </c>
      <c r="C350" s="1" t="s">
        <v>17</v>
      </c>
      <c r="D350" s="1">
        <v>26</v>
      </c>
      <c r="E350" s="1" t="s">
        <v>58</v>
      </c>
      <c r="F350" s="1" t="s">
        <v>30</v>
      </c>
      <c r="G350" s="1">
        <v>0.47</v>
      </c>
      <c r="H350" s="1" t="s">
        <v>20</v>
      </c>
      <c r="I350" t="s">
        <v>34</v>
      </c>
      <c r="J350" t="s">
        <v>35</v>
      </c>
      <c r="K350" t="s">
        <v>36</v>
      </c>
      <c r="L350" t="s">
        <v>37</v>
      </c>
      <c r="M350" t="str">
        <f t="shared" si="15"/>
        <v>non-charge-altering-6kiu</v>
      </c>
      <c r="N350" t="str">
        <f t="shared" si="16"/>
        <v>6kiu</v>
      </c>
      <c r="O350" s="2" t="s">
        <v>25</v>
      </c>
      <c r="P350" s="2" t="str">
        <f t="shared" si="17"/>
        <v>C-P26Q</v>
      </c>
    </row>
    <row r="351" spans="1:16">
      <c r="A351" s="1" t="s">
        <v>15</v>
      </c>
      <c r="B351" s="1" t="s">
        <v>16</v>
      </c>
      <c r="C351" s="1" t="s">
        <v>17</v>
      </c>
      <c r="D351" s="1">
        <v>104</v>
      </c>
      <c r="E351" s="1" t="s">
        <v>30</v>
      </c>
      <c r="F351" s="1" t="s">
        <v>58</v>
      </c>
      <c r="G351" s="1">
        <v>1.4</v>
      </c>
      <c r="H351" s="1" t="s">
        <v>20</v>
      </c>
      <c r="I351" t="s">
        <v>34</v>
      </c>
      <c r="J351" t="s">
        <v>35</v>
      </c>
      <c r="K351" t="s">
        <v>36</v>
      </c>
      <c r="L351" t="s">
        <v>37</v>
      </c>
      <c r="M351" t="str">
        <f t="shared" si="15"/>
        <v>non-charge-altering-6kiu</v>
      </c>
      <c r="N351" t="str">
        <f t="shared" si="16"/>
        <v>6kiu</v>
      </c>
      <c r="O351" s="2" t="s">
        <v>25</v>
      </c>
      <c r="P351" s="2" t="str">
        <f t="shared" si="17"/>
        <v>C-Q104P</v>
      </c>
    </row>
    <row r="352" spans="1:16">
      <c r="A352" s="1" t="s">
        <v>15</v>
      </c>
      <c r="B352" s="1" t="s">
        <v>16</v>
      </c>
      <c r="C352" s="1" t="s">
        <v>17</v>
      </c>
      <c r="D352" s="1">
        <v>71</v>
      </c>
      <c r="E352" s="1" t="s">
        <v>43</v>
      </c>
      <c r="F352" s="1" t="s">
        <v>56</v>
      </c>
      <c r="G352" s="1">
        <v>1.44</v>
      </c>
      <c r="H352" s="1" t="s">
        <v>20</v>
      </c>
      <c r="I352" t="s">
        <v>44</v>
      </c>
      <c r="J352" t="s">
        <v>35</v>
      </c>
      <c r="K352" t="s">
        <v>36</v>
      </c>
      <c r="L352" t="s">
        <v>37</v>
      </c>
      <c r="M352" t="str">
        <f t="shared" si="15"/>
        <v>non-charge-altering-6kiu</v>
      </c>
      <c r="N352" t="str">
        <f t="shared" si="16"/>
        <v>6kiu</v>
      </c>
      <c r="O352" s="2" t="s">
        <v>25</v>
      </c>
      <c r="P352" s="2" t="str">
        <f t="shared" si="17"/>
        <v>C-R71H</v>
      </c>
    </row>
    <row r="353" spans="1:16">
      <c r="A353" s="1" t="s">
        <v>15</v>
      </c>
      <c r="B353" s="1" t="s">
        <v>16</v>
      </c>
      <c r="C353" s="1" t="s">
        <v>17</v>
      </c>
      <c r="D353" s="1">
        <v>59</v>
      </c>
      <c r="E353" s="1" t="s">
        <v>47</v>
      </c>
      <c r="F353" s="1" t="s">
        <v>48</v>
      </c>
      <c r="G353" s="1">
        <v>0.68</v>
      </c>
      <c r="H353" s="1" t="s">
        <v>20</v>
      </c>
      <c r="I353" t="s">
        <v>34</v>
      </c>
      <c r="J353" t="s">
        <v>35</v>
      </c>
      <c r="K353" t="s">
        <v>36</v>
      </c>
      <c r="L353" t="s">
        <v>37</v>
      </c>
      <c r="M353" t="str">
        <f t="shared" si="15"/>
        <v>non-charge-altering-6kiu</v>
      </c>
      <c r="N353" t="str">
        <f t="shared" si="16"/>
        <v>6kiu</v>
      </c>
      <c r="O353" s="2" t="s">
        <v>25</v>
      </c>
      <c r="P353" s="2" t="str">
        <f t="shared" si="17"/>
        <v>C-T59I</v>
      </c>
    </row>
    <row r="354" spans="1:16">
      <c r="A354" s="1" t="s">
        <v>15</v>
      </c>
      <c r="B354" s="1" t="s">
        <v>16</v>
      </c>
      <c r="C354" s="1" t="s">
        <v>17</v>
      </c>
      <c r="D354" s="1">
        <v>30</v>
      </c>
      <c r="E354" s="1" t="s">
        <v>61</v>
      </c>
      <c r="F354" s="1" t="s">
        <v>19</v>
      </c>
      <c r="G354" s="1">
        <v>0.58</v>
      </c>
      <c r="H354" s="1" t="s">
        <v>20</v>
      </c>
      <c r="I354" t="s">
        <v>34</v>
      </c>
      <c r="J354" t="s">
        <v>35</v>
      </c>
      <c r="K354" t="s">
        <v>36</v>
      </c>
      <c r="L354" t="s">
        <v>37</v>
      </c>
      <c r="M354" t="str">
        <f t="shared" si="15"/>
        <v>non-charge-altering-6kiu</v>
      </c>
      <c r="N354" t="str">
        <f t="shared" si="16"/>
        <v>6kiu</v>
      </c>
      <c r="O354" s="2" t="s">
        <v>25</v>
      </c>
      <c r="P354" s="2" t="str">
        <f t="shared" si="17"/>
        <v>C-V30G</v>
      </c>
    </row>
    <row r="355" spans="1:16">
      <c r="A355" s="1" t="s">
        <v>15</v>
      </c>
      <c r="B355" s="1" t="s">
        <v>16</v>
      </c>
      <c r="C355" s="1" t="s">
        <v>17</v>
      </c>
      <c r="D355" s="1">
        <v>30</v>
      </c>
      <c r="E355" s="1" t="s">
        <v>61</v>
      </c>
      <c r="F355" s="1" t="s">
        <v>63</v>
      </c>
      <c r="G355" s="1">
        <v>0.35</v>
      </c>
      <c r="H355" s="1" t="s">
        <v>20</v>
      </c>
      <c r="I355" t="s">
        <v>34</v>
      </c>
      <c r="J355" t="s">
        <v>35</v>
      </c>
      <c r="K355" t="s">
        <v>36</v>
      </c>
      <c r="L355" t="s">
        <v>37</v>
      </c>
      <c r="M355" t="str">
        <f t="shared" si="15"/>
        <v>non-charge-altering-6kiu</v>
      </c>
      <c r="N355" t="str">
        <f t="shared" si="16"/>
        <v>6kiu</v>
      </c>
      <c r="O355" s="2" t="s">
        <v>25</v>
      </c>
      <c r="P355" s="2" t="str">
        <f t="shared" si="17"/>
        <v>C-V30M</v>
      </c>
    </row>
    <row r="356" spans="1:16">
      <c r="A356" s="1" t="s">
        <v>15</v>
      </c>
      <c r="B356" s="1" t="s">
        <v>16</v>
      </c>
      <c r="C356" s="1" t="s">
        <v>17</v>
      </c>
      <c r="D356" s="1">
        <v>43</v>
      </c>
      <c r="E356" s="1" t="s">
        <v>61</v>
      </c>
      <c r="F356" s="1" t="s">
        <v>39</v>
      </c>
      <c r="G356" s="1">
        <v>0.44</v>
      </c>
      <c r="H356" s="1" t="s">
        <v>20</v>
      </c>
      <c r="I356" t="s">
        <v>34</v>
      </c>
      <c r="J356" t="s">
        <v>35</v>
      </c>
      <c r="K356" t="s">
        <v>36</v>
      </c>
      <c r="L356" t="s">
        <v>37</v>
      </c>
      <c r="M356" t="str">
        <f t="shared" si="15"/>
        <v>non-charge-altering-6kiu</v>
      </c>
      <c r="N356" t="str">
        <f t="shared" si="16"/>
        <v>6kiu</v>
      </c>
      <c r="O356" s="2" t="s">
        <v>25</v>
      </c>
      <c r="P356" s="2" t="str">
        <f t="shared" si="17"/>
        <v>C-V43L</v>
      </c>
    </row>
    <row r="357" spans="1:16">
      <c r="A357" s="1" t="s">
        <v>15</v>
      </c>
      <c r="B357" s="1" t="s">
        <v>16</v>
      </c>
      <c r="C357" s="1" t="s">
        <v>17</v>
      </c>
      <c r="D357" s="1">
        <v>50</v>
      </c>
      <c r="E357" s="1" t="s">
        <v>49</v>
      </c>
      <c r="F357" s="1" t="s">
        <v>33</v>
      </c>
      <c r="G357" s="1">
        <v>1.1</v>
      </c>
      <c r="H357" s="1" t="s">
        <v>20</v>
      </c>
      <c r="I357" t="s">
        <v>34</v>
      </c>
      <c r="J357" t="s">
        <v>35</v>
      </c>
      <c r="K357" t="s">
        <v>36</v>
      </c>
      <c r="L357" t="s">
        <v>37</v>
      </c>
      <c r="M357" t="str">
        <f t="shared" si="15"/>
        <v>non-charge-altering-6kiu</v>
      </c>
      <c r="N357" t="str">
        <f t="shared" si="16"/>
        <v>6kiu</v>
      </c>
      <c r="O357" s="2" t="s">
        <v>25</v>
      </c>
      <c r="P357" s="2" t="str">
        <f t="shared" si="17"/>
        <v>C-Y50F</v>
      </c>
    </row>
    <row r="358" spans="1:16">
      <c r="A358" s="1" t="s">
        <v>15</v>
      </c>
      <c r="B358" s="1" t="s">
        <v>16</v>
      </c>
      <c r="C358" s="1" t="s">
        <v>17</v>
      </c>
      <c r="D358" s="1">
        <v>50</v>
      </c>
      <c r="E358" s="1" t="s">
        <v>49</v>
      </c>
      <c r="F358" s="1" t="s">
        <v>41</v>
      </c>
      <c r="G358" s="1">
        <v>2.56</v>
      </c>
      <c r="H358" s="1" t="s">
        <v>20</v>
      </c>
      <c r="I358" t="s">
        <v>34</v>
      </c>
      <c r="J358" t="s">
        <v>35</v>
      </c>
      <c r="K358" t="s">
        <v>36</v>
      </c>
      <c r="L358" t="s">
        <v>37</v>
      </c>
      <c r="M358" t="str">
        <f t="shared" si="15"/>
        <v>non-charge-altering-6kiu</v>
      </c>
      <c r="N358" t="str">
        <f t="shared" si="16"/>
        <v>6kiu</v>
      </c>
      <c r="O358" s="2" t="s">
        <v>25</v>
      </c>
      <c r="P358" s="2" t="str">
        <f t="shared" si="17"/>
        <v>C-Y50N</v>
      </c>
    </row>
    <row r="359" spans="1:16">
      <c r="A359" s="1" t="s">
        <v>15</v>
      </c>
      <c r="B359" s="1" t="s">
        <v>16</v>
      </c>
      <c r="C359" s="1" t="s">
        <v>19</v>
      </c>
      <c r="D359" s="1">
        <v>103</v>
      </c>
      <c r="E359" s="1" t="s">
        <v>32</v>
      </c>
      <c r="F359" s="1" t="s">
        <v>58</v>
      </c>
      <c r="G359" s="1">
        <v>1.59</v>
      </c>
      <c r="H359" s="1" t="s">
        <v>20</v>
      </c>
      <c r="I359" t="s">
        <v>34</v>
      </c>
      <c r="J359" t="s">
        <v>35</v>
      </c>
      <c r="K359" t="s">
        <v>36</v>
      </c>
      <c r="L359" t="s">
        <v>37</v>
      </c>
      <c r="M359" t="str">
        <f t="shared" si="15"/>
        <v>non-charge-altering-6kiu</v>
      </c>
      <c r="N359" t="str">
        <f t="shared" si="16"/>
        <v>6kiu</v>
      </c>
      <c r="O359" s="2" t="s">
        <v>25</v>
      </c>
      <c r="P359" s="2" t="str">
        <f t="shared" si="17"/>
        <v>G-A103P</v>
      </c>
    </row>
    <row r="360" spans="1:16">
      <c r="A360" s="1" t="s">
        <v>15</v>
      </c>
      <c r="B360" s="1" t="s">
        <v>16</v>
      </c>
      <c r="C360" s="1" t="s">
        <v>19</v>
      </c>
      <c r="D360" s="1">
        <v>103</v>
      </c>
      <c r="E360" s="1" t="s">
        <v>32</v>
      </c>
      <c r="F360" s="1" t="s">
        <v>47</v>
      </c>
      <c r="G360" s="1">
        <v>0.78</v>
      </c>
      <c r="H360" s="1" t="s">
        <v>20</v>
      </c>
      <c r="I360" t="s">
        <v>34</v>
      </c>
      <c r="J360" t="s">
        <v>35</v>
      </c>
      <c r="K360" t="s">
        <v>36</v>
      </c>
      <c r="L360" t="s">
        <v>37</v>
      </c>
      <c r="M360" t="str">
        <f t="shared" si="15"/>
        <v>non-charge-altering-6kiu</v>
      </c>
      <c r="N360" t="str">
        <f t="shared" si="16"/>
        <v>6kiu</v>
      </c>
      <c r="O360" s="2" t="s">
        <v>25</v>
      </c>
      <c r="P360" s="2" t="str">
        <f t="shared" si="17"/>
        <v>G-A103T</v>
      </c>
    </row>
    <row r="361" spans="1:16">
      <c r="A361" s="1" t="s">
        <v>15</v>
      </c>
      <c r="B361" s="1" t="s">
        <v>16</v>
      </c>
      <c r="C361" s="1" t="s">
        <v>19</v>
      </c>
      <c r="D361" s="1">
        <v>53</v>
      </c>
      <c r="E361" s="1" t="s">
        <v>32</v>
      </c>
      <c r="F361" s="1" t="s">
        <v>47</v>
      </c>
      <c r="G361" s="1">
        <v>0.09</v>
      </c>
      <c r="H361" s="1" t="s">
        <v>20</v>
      </c>
      <c r="I361" t="s">
        <v>34</v>
      </c>
      <c r="J361" t="s">
        <v>35</v>
      </c>
      <c r="K361" t="s">
        <v>36</v>
      </c>
      <c r="L361" t="s">
        <v>37</v>
      </c>
      <c r="M361" t="str">
        <f t="shared" si="15"/>
        <v>non-charge-altering-6kiu</v>
      </c>
      <c r="N361" t="str">
        <f t="shared" si="16"/>
        <v>6kiu</v>
      </c>
      <c r="O361" s="2" t="s">
        <v>25</v>
      </c>
      <c r="P361" s="2" t="str">
        <f t="shared" si="17"/>
        <v>G-A53T</v>
      </c>
    </row>
    <row r="362" spans="1:16">
      <c r="A362" s="1" t="s">
        <v>15</v>
      </c>
      <c r="B362" s="1" t="s">
        <v>16</v>
      </c>
      <c r="C362" s="1" t="s">
        <v>19</v>
      </c>
      <c r="D362" s="1">
        <v>53</v>
      </c>
      <c r="E362" s="1" t="s">
        <v>32</v>
      </c>
      <c r="F362" s="1" t="s">
        <v>61</v>
      </c>
      <c r="G362" s="1">
        <v>0.29</v>
      </c>
      <c r="H362" s="1" t="s">
        <v>20</v>
      </c>
      <c r="I362" t="s">
        <v>34</v>
      </c>
      <c r="J362" t="s">
        <v>35</v>
      </c>
      <c r="K362" t="s">
        <v>36</v>
      </c>
      <c r="L362" t="s">
        <v>37</v>
      </c>
      <c r="M362" t="str">
        <f t="shared" si="15"/>
        <v>non-charge-altering-6kiu</v>
      </c>
      <c r="N362" t="str">
        <f t="shared" si="16"/>
        <v>6kiu</v>
      </c>
      <c r="O362" s="2" t="s">
        <v>25</v>
      </c>
      <c r="P362" s="2" t="str">
        <f t="shared" si="17"/>
        <v>G-A53V</v>
      </c>
    </row>
    <row r="363" spans="1:16">
      <c r="A363" s="1" t="s">
        <v>15</v>
      </c>
      <c r="B363" s="1" t="s">
        <v>16</v>
      </c>
      <c r="C363" s="1" t="s">
        <v>19</v>
      </c>
      <c r="D363" s="1">
        <v>60</v>
      </c>
      <c r="E363" s="1" t="s">
        <v>32</v>
      </c>
      <c r="F363" s="1" t="s">
        <v>58</v>
      </c>
      <c r="G363" s="1">
        <v>0.87</v>
      </c>
      <c r="H363" s="1" t="s">
        <v>20</v>
      </c>
      <c r="I363" t="s">
        <v>34</v>
      </c>
      <c r="J363" t="s">
        <v>35</v>
      </c>
      <c r="K363" t="s">
        <v>36</v>
      </c>
      <c r="L363" t="s">
        <v>37</v>
      </c>
      <c r="M363" t="str">
        <f t="shared" si="15"/>
        <v>non-charge-altering-6kiu</v>
      </c>
      <c r="N363" t="str">
        <f t="shared" si="16"/>
        <v>6kiu</v>
      </c>
      <c r="O363" s="2" t="s">
        <v>25</v>
      </c>
      <c r="P363" s="2" t="str">
        <f t="shared" si="17"/>
        <v>G-A60P</v>
      </c>
    </row>
    <row r="364" spans="1:16">
      <c r="A364" s="1" t="s">
        <v>15</v>
      </c>
      <c r="B364" s="1" t="s">
        <v>16</v>
      </c>
      <c r="C364" s="1" t="s">
        <v>19</v>
      </c>
      <c r="D364" s="1">
        <v>60</v>
      </c>
      <c r="E364" s="1" t="s">
        <v>32</v>
      </c>
      <c r="F364" s="1" t="s">
        <v>47</v>
      </c>
      <c r="G364" s="1">
        <v>0.39</v>
      </c>
      <c r="H364" s="1" t="s">
        <v>20</v>
      </c>
      <c r="I364" t="s">
        <v>34</v>
      </c>
      <c r="J364" t="s">
        <v>35</v>
      </c>
      <c r="K364" t="s">
        <v>36</v>
      </c>
      <c r="L364" t="s">
        <v>37</v>
      </c>
      <c r="M364" t="str">
        <f t="shared" si="15"/>
        <v>non-charge-altering-6kiu</v>
      </c>
      <c r="N364" t="str">
        <f t="shared" si="16"/>
        <v>6kiu</v>
      </c>
      <c r="O364" s="2" t="s">
        <v>25</v>
      </c>
      <c r="P364" s="2" t="str">
        <f t="shared" si="17"/>
        <v>G-A60T</v>
      </c>
    </row>
    <row r="365" spans="1:16">
      <c r="A365" s="1" t="s">
        <v>15</v>
      </c>
      <c r="B365" s="1" t="s">
        <v>16</v>
      </c>
      <c r="C365" s="1" t="s">
        <v>19</v>
      </c>
      <c r="D365" s="1">
        <v>61</v>
      </c>
      <c r="E365" s="1" t="s">
        <v>29</v>
      </c>
      <c r="F365" s="1" t="s">
        <v>18</v>
      </c>
      <c r="G365" s="1">
        <v>1.09</v>
      </c>
      <c r="H365" s="1" t="s">
        <v>20</v>
      </c>
      <c r="I365" t="s">
        <v>62</v>
      </c>
      <c r="J365" t="s">
        <v>35</v>
      </c>
      <c r="K365" t="s">
        <v>36</v>
      </c>
      <c r="L365" t="s">
        <v>37</v>
      </c>
      <c r="M365" t="str">
        <f t="shared" si="15"/>
        <v>non-charge-altering-6kiu</v>
      </c>
      <c r="N365" t="str">
        <f t="shared" si="16"/>
        <v>6kiu</v>
      </c>
      <c r="O365" s="2" t="s">
        <v>25</v>
      </c>
      <c r="P365" s="2" t="str">
        <f t="shared" si="17"/>
        <v>G-E61D</v>
      </c>
    </row>
    <row r="366" spans="1:16">
      <c r="A366" s="1" t="s">
        <v>15</v>
      </c>
      <c r="B366" s="1" t="s">
        <v>16</v>
      </c>
      <c r="C366" s="1" t="s">
        <v>19</v>
      </c>
      <c r="D366" s="1">
        <v>92</v>
      </c>
      <c r="E366" s="1" t="s">
        <v>29</v>
      </c>
      <c r="F366" s="1" t="s">
        <v>18</v>
      </c>
      <c r="G366" s="1">
        <v>0.85</v>
      </c>
      <c r="H366" s="1" t="s">
        <v>20</v>
      </c>
      <c r="I366" t="s">
        <v>62</v>
      </c>
      <c r="J366" t="s">
        <v>35</v>
      </c>
      <c r="K366" t="s">
        <v>36</v>
      </c>
      <c r="L366" t="s">
        <v>37</v>
      </c>
      <c r="M366" t="str">
        <f t="shared" si="15"/>
        <v>non-charge-altering-6kiu</v>
      </c>
      <c r="N366" t="str">
        <f t="shared" si="16"/>
        <v>6kiu</v>
      </c>
      <c r="O366" s="2" t="s">
        <v>25</v>
      </c>
      <c r="P366" s="2" t="str">
        <f t="shared" si="17"/>
        <v>G-E92D</v>
      </c>
    </row>
    <row r="367" spans="1:16">
      <c r="A367" s="1" t="s">
        <v>15</v>
      </c>
      <c r="B367" s="1" t="s">
        <v>16</v>
      </c>
      <c r="C367" s="1" t="s">
        <v>19</v>
      </c>
      <c r="D367" s="1">
        <v>37</v>
      </c>
      <c r="E367" s="1" t="s">
        <v>19</v>
      </c>
      <c r="F367" s="1" t="s">
        <v>46</v>
      </c>
      <c r="G367" s="1">
        <v>0.38</v>
      </c>
      <c r="H367" s="1" t="s">
        <v>20</v>
      </c>
      <c r="I367" t="s">
        <v>34</v>
      </c>
      <c r="J367" t="s">
        <v>35</v>
      </c>
      <c r="K367" t="s">
        <v>36</v>
      </c>
      <c r="L367" t="s">
        <v>37</v>
      </c>
      <c r="M367" t="str">
        <f t="shared" si="15"/>
        <v>non-charge-altering-6kiu</v>
      </c>
      <c r="N367" t="str">
        <f t="shared" si="16"/>
        <v>6kiu</v>
      </c>
      <c r="O367" s="2" t="s">
        <v>25</v>
      </c>
      <c r="P367" s="2" t="str">
        <f t="shared" si="17"/>
        <v>G-G37S</v>
      </c>
    </row>
    <row r="368" spans="1:16">
      <c r="A368" s="1" t="s">
        <v>15</v>
      </c>
      <c r="B368" s="1" t="s">
        <v>16</v>
      </c>
      <c r="C368" s="1" t="s">
        <v>19</v>
      </c>
      <c r="D368" s="1">
        <v>78</v>
      </c>
      <c r="E368" s="1" t="s">
        <v>48</v>
      </c>
      <c r="F368" s="1" t="s">
        <v>61</v>
      </c>
      <c r="G368" s="1">
        <v>1.21</v>
      </c>
      <c r="H368" s="1" t="s">
        <v>20</v>
      </c>
      <c r="I368" t="s">
        <v>34</v>
      </c>
      <c r="J368" t="s">
        <v>35</v>
      </c>
      <c r="K368" t="s">
        <v>36</v>
      </c>
      <c r="L368" t="s">
        <v>37</v>
      </c>
      <c r="M368" t="str">
        <f t="shared" si="15"/>
        <v>non-charge-altering-6kiu</v>
      </c>
      <c r="N368" t="str">
        <f t="shared" si="16"/>
        <v>6kiu</v>
      </c>
      <c r="O368" s="2" t="s">
        <v>25</v>
      </c>
      <c r="P368" s="2" t="str">
        <f t="shared" si="17"/>
        <v>G-I78V</v>
      </c>
    </row>
    <row r="369" spans="1:16">
      <c r="A369" s="1" t="s">
        <v>15</v>
      </c>
      <c r="B369" s="1" t="s">
        <v>16</v>
      </c>
      <c r="C369" s="1" t="s">
        <v>19</v>
      </c>
      <c r="D369" s="1">
        <v>51</v>
      </c>
      <c r="E369" s="1" t="s">
        <v>39</v>
      </c>
      <c r="F369" s="1" t="s">
        <v>63</v>
      </c>
      <c r="G369" s="1">
        <v>0.53</v>
      </c>
      <c r="H369" s="1" t="s">
        <v>20</v>
      </c>
      <c r="I369" t="s">
        <v>34</v>
      </c>
      <c r="J369" t="s">
        <v>35</v>
      </c>
      <c r="K369" t="s">
        <v>36</v>
      </c>
      <c r="L369" t="s">
        <v>37</v>
      </c>
      <c r="M369" t="str">
        <f t="shared" si="15"/>
        <v>non-charge-altering-6kiu</v>
      </c>
      <c r="N369" t="str">
        <f t="shared" si="16"/>
        <v>6kiu</v>
      </c>
      <c r="O369" s="2" t="s">
        <v>25</v>
      </c>
      <c r="P369" s="2" t="str">
        <f t="shared" si="17"/>
        <v>G-L51M</v>
      </c>
    </row>
    <row r="370" spans="1:16">
      <c r="A370" s="1" t="s">
        <v>15</v>
      </c>
      <c r="B370" s="1" t="s">
        <v>16</v>
      </c>
      <c r="C370" s="1" t="s">
        <v>19</v>
      </c>
      <c r="D370" s="1">
        <v>51</v>
      </c>
      <c r="E370" s="1" t="s">
        <v>39</v>
      </c>
      <c r="F370" s="1" t="s">
        <v>61</v>
      </c>
      <c r="G370" s="1">
        <v>0.79</v>
      </c>
      <c r="H370" s="1" t="s">
        <v>20</v>
      </c>
      <c r="I370" t="s">
        <v>34</v>
      </c>
      <c r="J370" t="s">
        <v>35</v>
      </c>
      <c r="K370" t="s">
        <v>36</v>
      </c>
      <c r="L370" t="s">
        <v>37</v>
      </c>
      <c r="M370" t="str">
        <f t="shared" si="15"/>
        <v>non-charge-altering-6kiu</v>
      </c>
      <c r="N370" t="str">
        <f t="shared" si="16"/>
        <v>6kiu</v>
      </c>
      <c r="O370" s="2" t="s">
        <v>25</v>
      </c>
      <c r="P370" s="2" t="str">
        <f t="shared" si="17"/>
        <v>G-L51V</v>
      </c>
    </row>
    <row r="371" spans="1:16">
      <c r="A371" s="1" t="s">
        <v>15</v>
      </c>
      <c r="B371" s="1" t="s">
        <v>16</v>
      </c>
      <c r="C371" s="1" t="s">
        <v>19</v>
      </c>
      <c r="D371" s="1">
        <v>58</v>
      </c>
      <c r="E371" s="1" t="s">
        <v>39</v>
      </c>
      <c r="F371" s="1" t="s">
        <v>61</v>
      </c>
      <c r="G371" s="1">
        <v>0.82</v>
      </c>
      <c r="H371" s="1" t="s">
        <v>20</v>
      </c>
      <c r="I371" t="s">
        <v>34</v>
      </c>
      <c r="J371" t="s">
        <v>35</v>
      </c>
      <c r="K371" t="s">
        <v>36</v>
      </c>
      <c r="L371" t="s">
        <v>37</v>
      </c>
      <c r="M371" t="str">
        <f t="shared" si="15"/>
        <v>non-charge-altering-6kiu</v>
      </c>
      <c r="N371" t="str">
        <f t="shared" si="16"/>
        <v>6kiu</v>
      </c>
      <c r="O371" s="2" t="s">
        <v>25</v>
      </c>
      <c r="P371" s="2" t="str">
        <f t="shared" si="17"/>
        <v>G-L58V</v>
      </c>
    </row>
    <row r="372" spans="1:16">
      <c r="A372" s="1" t="s">
        <v>15</v>
      </c>
      <c r="B372" s="1" t="s">
        <v>16</v>
      </c>
      <c r="C372" s="1" t="s">
        <v>19</v>
      </c>
      <c r="D372" s="1">
        <v>83</v>
      </c>
      <c r="E372" s="1" t="s">
        <v>39</v>
      </c>
      <c r="F372" s="1" t="s">
        <v>33</v>
      </c>
      <c r="G372" s="1">
        <v>0.58</v>
      </c>
      <c r="H372" s="1" t="s">
        <v>20</v>
      </c>
      <c r="I372" t="s">
        <v>34</v>
      </c>
      <c r="J372" t="s">
        <v>35</v>
      </c>
      <c r="K372" t="s">
        <v>36</v>
      </c>
      <c r="L372" t="s">
        <v>37</v>
      </c>
      <c r="M372" t="str">
        <f t="shared" si="15"/>
        <v>non-charge-altering-6kiu</v>
      </c>
      <c r="N372" t="str">
        <f t="shared" si="16"/>
        <v>6kiu</v>
      </c>
      <c r="O372" s="2" t="s">
        <v>25</v>
      </c>
      <c r="P372" s="2" t="str">
        <f t="shared" si="17"/>
        <v>G-L83F</v>
      </c>
    </row>
    <row r="373" spans="1:16">
      <c r="A373" s="1" t="s">
        <v>15</v>
      </c>
      <c r="B373" s="1" t="s">
        <v>16</v>
      </c>
      <c r="C373" s="1" t="s">
        <v>19</v>
      </c>
      <c r="D373" s="1">
        <v>93</v>
      </c>
      <c r="E373" s="1" t="s">
        <v>39</v>
      </c>
      <c r="F373" s="1" t="s">
        <v>61</v>
      </c>
      <c r="G373" s="1">
        <v>1.15</v>
      </c>
      <c r="H373" s="1" t="s">
        <v>20</v>
      </c>
      <c r="I373" t="s">
        <v>34</v>
      </c>
      <c r="J373" t="s">
        <v>35</v>
      </c>
      <c r="K373" t="s">
        <v>36</v>
      </c>
      <c r="L373" t="s">
        <v>37</v>
      </c>
      <c r="M373" t="str">
        <f t="shared" si="15"/>
        <v>non-charge-altering-6kiu</v>
      </c>
      <c r="N373" t="str">
        <f t="shared" si="16"/>
        <v>6kiu</v>
      </c>
      <c r="O373" s="2" t="s">
        <v>25</v>
      </c>
      <c r="P373" s="2" t="str">
        <f t="shared" si="17"/>
        <v>G-L93V</v>
      </c>
    </row>
    <row r="374" spans="1:16">
      <c r="A374" s="1" t="s">
        <v>15</v>
      </c>
      <c r="B374" s="1" t="s">
        <v>16</v>
      </c>
      <c r="C374" s="1" t="s">
        <v>19</v>
      </c>
      <c r="D374" s="1">
        <v>26</v>
      </c>
      <c r="E374" s="1" t="s">
        <v>58</v>
      </c>
      <c r="F374" s="1" t="s">
        <v>30</v>
      </c>
      <c r="G374" s="1">
        <v>0.47</v>
      </c>
      <c r="H374" s="1" t="s">
        <v>20</v>
      </c>
      <c r="I374" t="s">
        <v>34</v>
      </c>
      <c r="J374" t="s">
        <v>35</v>
      </c>
      <c r="K374" t="s">
        <v>36</v>
      </c>
      <c r="L374" t="s">
        <v>37</v>
      </c>
      <c r="M374" t="str">
        <f t="shared" si="15"/>
        <v>non-charge-altering-6kiu</v>
      </c>
      <c r="N374" t="str">
        <f t="shared" si="16"/>
        <v>6kiu</v>
      </c>
      <c r="O374" s="2" t="s">
        <v>25</v>
      </c>
      <c r="P374" s="2" t="str">
        <f t="shared" si="17"/>
        <v>G-P26Q</v>
      </c>
    </row>
    <row r="375" spans="1:16">
      <c r="A375" s="1" t="s">
        <v>15</v>
      </c>
      <c r="B375" s="1" t="s">
        <v>16</v>
      </c>
      <c r="C375" s="1" t="s">
        <v>19</v>
      </c>
      <c r="D375" s="1">
        <v>104</v>
      </c>
      <c r="E375" s="1" t="s">
        <v>30</v>
      </c>
      <c r="F375" s="1" t="s">
        <v>58</v>
      </c>
      <c r="G375" s="1">
        <v>1.32</v>
      </c>
      <c r="H375" s="1" t="s">
        <v>20</v>
      </c>
      <c r="I375" t="s">
        <v>34</v>
      </c>
      <c r="J375" t="s">
        <v>35</v>
      </c>
      <c r="K375" t="s">
        <v>36</v>
      </c>
      <c r="L375" t="s">
        <v>37</v>
      </c>
      <c r="M375" t="str">
        <f t="shared" si="15"/>
        <v>non-charge-altering-6kiu</v>
      </c>
      <c r="N375" t="str">
        <f t="shared" si="16"/>
        <v>6kiu</v>
      </c>
      <c r="O375" s="2" t="s">
        <v>25</v>
      </c>
      <c r="P375" s="2" t="str">
        <f t="shared" si="17"/>
        <v>G-Q104P</v>
      </c>
    </row>
    <row r="376" spans="1:16">
      <c r="A376" s="1" t="s">
        <v>15</v>
      </c>
      <c r="B376" s="1" t="s">
        <v>16</v>
      </c>
      <c r="C376" s="1" t="s">
        <v>19</v>
      </c>
      <c r="D376" s="1">
        <v>71</v>
      </c>
      <c r="E376" s="1" t="s">
        <v>43</v>
      </c>
      <c r="F376" s="1" t="s">
        <v>56</v>
      </c>
      <c r="G376" s="1">
        <v>1.03</v>
      </c>
      <c r="H376" s="1" t="s">
        <v>20</v>
      </c>
      <c r="I376" t="s">
        <v>44</v>
      </c>
      <c r="J376" t="s">
        <v>35</v>
      </c>
      <c r="K376" t="s">
        <v>36</v>
      </c>
      <c r="L376" t="s">
        <v>37</v>
      </c>
      <c r="M376" t="str">
        <f t="shared" si="15"/>
        <v>non-charge-altering-6kiu</v>
      </c>
      <c r="N376" t="str">
        <f t="shared" si="16"/>
        <v>6kiu</v>
      </c>
      <c r="O376" s="2" t="s">
        <v>25</v>
      </c>
      <c r="P376" s="2" t="str">
        <f t="shared" si="17"/>
        <v>G-R71H</v>
      </c>
    </row>
    <row r="377" spans="1:16">
      <c r="A377" s="1" t="s">
        <v>15</v>
      </c>
      <c r="B377" s="1" t="s">
        <v>16</v>
      </c>
      <c r="C377" s="1" t="s">
        <v>19</v>
      </c>
      <c r="D377" s="1">
        <v>59</v>
      </c>
      <c r="E377" s="1" t="s">
        <v>47</v>
      </c>
      <c r="F377" s="1" t="s">
        <v>48</v>
      </c>
      <c r="G377" s="1">
        <v>0.86</v>
      </c>
      <c r="H377" s="1" t="s">
        <v>20</v>
      </c>
      <c r="I377" t="s">
        <v>34</v>
      </c>
      <c r="J377" t="s">
        <v>35</v>
      </c>
      <c r="K377" t="s">
        <v>36</v>
      </c>
      <c r="L377" t="s">
        <v>37</v>
      </c>
      <c r="M377" t="str">
        <f t="shared" si="15"/>
        <v>non-charge-altering-6kiu</v>
      </c>
      <c r="N377" t="str">
        <f t="shared" si="16"/>
        <v>6kiu</v>
      </c>
      <c r="O377" s="2" t="s">
        <v>25</v>
      </c>
      <c r="P377" s="2" t="str">
        <f t="shared" si="17"/>
        <v>G-T59I</v>
      </c>
    </row>
    <row r="378" spans="1:16">
      <c r="A378" s="1" t="s">
        <v>15</v>
      </c>
      <c r="B378" s="1" t="s">
        <v>16</v>
      </c>
      <c r="C378" s="1" t="s">
        <v>19</v>
      </c>
      <c r="D378" s="1">
        <v>30</v>
      </c>
      <c r="E378" s="1" t="s">
        <v>61</v>
      </c>
      <c r="F378" s="1" t="s">
        <v>19</v>
      </c>
      <c r="G378" s="1">
        <v>0.58</v>
      </c>
      <c r="H378" s="1" t="s">
        <v>20</v>
      </c>
      <c r="I378" t="s">
        <v>34</v>
      </c>
      <c r="J378" t="s">
        <v>35</v>
      </c>
      <c r="K378" t="s">
        <v>36</v>
      </c>
      <c r="L378" t="s">
        <v>37</v>
      </c>
      <c r="M378" t="str">
        <f t="shared" si="15"/>
        <v>non-charge-altering-6kiu</v>
      </c>
      <c r="N378" t="str">
        <f t="shared" si="16"/>
        <v>6kiu</v>
      </c>
      <c r="O378" s="2" t="s">
        <v>25</v>
      </c>
      <c r="P378" s="2" t="str">
        <f t="shared" si="17"/>
        <v>G-V30G</v>
      </c>
    </row>
    <row r="379" spans="1:16">
      <c r="A379" s="1" t="s">
        <v>15</v>
      </c>
      <c r="B379" s="1" t="s">
        <v>16</v>
      </c>
      <c r="C379" s="1" t="s">
        <v>19</v>
      </c>
      <c r="D379" s="1">
        <v>30</v>
      </c>
      <c r="E379" s="1" t="s">
        <v>61</v>
      </c>
      <c r="F379" s="1" t="s">
        <v>63</v>
      </c>
      <c r="G379" s="1">
        <v>0.35</v>
      </c>
      <c r="H379" s="1" t="s">
        <v>20</v>
      </c>
      <c r="I379" t="s">
        <v>34</v>
      </c>
      <c r="J379" t="s">
        <v>35</v>
      </c>
      <c r="K379" t="s">
        <v>36</v>
      </c>
      <c r="L379" t="s">
        <v>37</v>
      </c>
      <c r="M379" t="str">
        <f t="shared" si="15"/>
        <v>non-charge-altering-6kiu</v>
      </c>
      <c r="N379" t="str">
        <f t="shared" si="16"/>
        <v>6kiu</v>
      </c>
      <c r="O379" s="2" t="s">
        <v>25</v>
      </c>
      <c r="P379" s="2" t="str">
        <f t="shared" si="17"/>
        <v>G-V30M</v>
      </c>
    </row>
    <row r="380" spans="1:16">
      <c r="A380" s="1" t="s">
        <v>15</v>
      </c>
      <c r="B380" s="1" t="s">
        <v>16</v>
      </c>
      <c r="C380" s="1" t="s">
        <v>19</v>
      </c>
      <c r="D380" s="1">
        <v>43</v>
      </c>
      <c r="E380" s="1" t="s">
        <v>61</v>
      </c>
      <c r="F380" s="1" t="s">
        <v>39</v>
      </c>
      <c r="G380" s="1">
        <v>0.44</v>
      </c>
      <c r="H380" s="1" t="s">
        <v>20</v>
      </c>
      <c r="I380" t="s">
        <v>34</v>
      </c>
      <c r="J380" t="s">
        <v>35</v>
      </c>
      <c r="K380" t="s">
        <v>36</v>
      </c>
      <c r="L380" t="s">
        <v>37</v>
      </c>
      <c r="M380" t="str">
        <f t="shared" si="15"/>
        <v>non-charge-altering-6kiu</v>
      </c>
      <c r="N380" t="str">
        <f t="shared" si="16"/>
        <v>6kiu</v>
      </c>
      <c r="O380" s="2" t="s">
        <v>25</v>
      </c>
      <c r="P380" s="2" t="str">
        <f t="shared" si="17"/>
        <v>G-V43L</v>
      </c>
    </row>
    <row r="381" spans="1:16">
      <c r="A381" s="1" t="s">
        <v>15</v>
      </c>
      <c r="B381" s="1" t="s">
        <v>16</v>
      </c>
      <c r="C381" s="1" t="s">
        <v>19</v>
      </c>
      <c r="D381" s="1">
        <v>50</v>
      </c>
      <c r="E381" s="1" t="s">
        <v>49</v>
      </c>
      <c r="F381" s="1" t="s">
        <v>33</v>
      </c>
      <c r="G381" s="1">
        <v>1.07</v>
      </c>
      <c r="H381" s="1" t="s">
        <v>20</v>
      </c>
      <c r="I381" t="s">
        <v>34</v>
      </c>
      <c r="J381" t="s">
        <v>35</v>
      </c>
      <c r="K381" t="s">
        <v>36</v>
      </c>
      <c r="L381" t="s">
        <v>37</v>
      </c>
      <c r="M381" t="str">
        <f t="shared" si="15"/>
        <v>non-charge-altering-6kiu</v>
      </c>
      <c r="N381" t="str">
        <f t="shared" si="16"/>
        <v>6kiu</v>
      </c>
      <c r="O381" s="2" t="s">
        <v>25</v>
      </c>
      <c r="P381" s="2" t="str">
        <f t="shared" si="17"/>
        <v>G-Y50F</v>
      </c>
    </row>
    <row r="382" spans="1:16">
      <c r="A382" s="1" t="s">
        <v>15</v>
      </c>
      <c r="B382" s="1" t="s">
        <v>16</v>
      </c>
      <c r="C382" s="1" t="s">
        <v>19</v>
      </c>
      <c r="D382" s="1">
        <v>50</v>
      </c>
      <c r="E382" s="1" t="s">
        <v>49</v>
      </c>
      <c r="F382" s="1" t="s">
        <v>41</v>
      </c>
      <c r="G382" s="1">
        <v>2.52</v>
      </c>
      <c r="H382" s="1" t="s">
        <v>20</v>
      </c>
      <c r="I382" t="s">
        <v>34</v>
      </c>
      <c r="J382" t="s">
        <v>35</v>
      </c>
      <c r="K382" t="s">
        <v>36</v>
      </c>
      <c r="L382" t="s">
        <v>37</v>
      </c>
      <c r="M382" t="str">
        <f t="shared" si="15"/>
        <v>non-charge-altering-6kiu</v>
      </c>
      <c r="N382" t="str">
        <f t="shared" si="16"/>
        <v>6kiu</v>
      </c>
      <c r="O382" s="2" t="s">
        <v>25</v>
      </c>
      <c r="P382" s="2" t="str">
        <f t="shared" si="17"/>
        <v>G-Y50N</v>
      </c>
    </row>
    <row r="383" spans="1:16">
      <c r="A383" s="1" t="s">
        <v>15</v>
      </c>
      <c r="B383" s="1" t="s">
        <v>16</v>
      </c>
      <c r="C383" s="1" t="s">
        <v>18</v>
      </c>
      <c r="D383" s="1">
        <v>90</v>
      </c>
      <c r="E383" s="1" t="s">
        <v>29</v>
      </c>
      <c r="F383" s="1" t="s">
        <v>18</v>
      </c>
      <c r="G383" s="1">
        <v>0.93</v>
      </c>
      <c r="H383" s="1" t="s">
        <v>20</v>
      </c>
      <c r="I383" t="s">
        <v>62</v>
      </c>
      <c r="J383" t="s">
        <v>35</v>
      </c>
      <c r="K383" t="s">
        <v>36</v>
      </c>
      <c r="L383" t="s">
        <v>37</v>
      </c>
      <c r="M383" t="str">
        <f t="shared" si="15"/>
        <v>non-charge-altering-6kiu</v>
      </c>
      <c r="N383" t="str">
        <f t="shared" si="16"/>
        <v>6kiu</v>
      </c>
      <c r="O383" s="2" t="s">
        <v>45</v>
      </c>
      <c r="P383" s="2" t="str">
        <f t="shared" si="17"/>
        <v>D-E90D</v>
      </c>
    </row>
    <row r="384" spans="1:16">
      <c r="A384" s="1" t="s">
        <v>15</v>
      </c>
      <c r="B384" s="1" t="s">
        <v>16</v>
      </c>
      <c r="C384" s="1" t="s">
        <v>18</v>
      </c>
      <c r="D384" s="1">
        <v>62</v>
      </c>
      <c r="E384" s="1" t="s">
        <v>33</v>
      </c>
      <c r="F384" s="1" t="s">
        <v>17</v>
      </c>
      <c r="G384" s="1">
        <v>1.48</v>
      </c>
      <c r="H384" s="1" t="s">
        <v>20</v>
      </c>
      <c r="I384" t="s">
        <v>34</v>
      </c>
      <c r="J384" t="s">
        <v>35</v>
      </c>
      <c r="K384" t="s">
        <v>36</v>
      </c>
      <c r="L384" t="s">
        <v>37</v>
      </c>
      <c r="M384" t="str">
        <f t="shared" si="15"/>
        <v>non-charge-altering-6kiu</v>
      </c>
      <c r="N384" t="str">
        <f t="shared" si="16"/>
        <v>6kiu</v>
      </c>
      <c r="O384" s="2" t="s">
        <v>45</v>
      </c>
      <c r="P384" s="2" t="str">
        <f t="shared" si="17"/>
        <v>D-F62C</v>
      </c>
    </row>
    <row r="385" spans="1:16">
      <c r="A385" s="1" t="s">
        <v>15</v>
      </c>
      <c r="B385" s="1" t="s">
        <v>16</v>
      </c>
      <c r="C385" s="1" t="s">
        <v>18</v>
      </c>
      <c r="D385" s="1">
        <v>67</v>
      </c>
      <c r="E385" s="1" t="s">
        <v>33</v>
      </c>
      <c r="F385" s="1" t="s">
        <v>39</v>
      </c>
      <c r="G385" s="1">
        <v>1.7</v>
      </c>
      <c r="H385" s="1" t="s">
        <v>20</v>
      </c>
      <c r="I385" t="s">
        <v>34</v>
      </c>
      <c r="J385" t="s">
        <v>35</v>
      </c>
      <c r="K385" t="s">
        <v>36</v>
      </c>
      <c r="L385" t="s">
        <v>37</v>
      </c>
      <c r="M385" t="str">
        <f t="shared" si="15"/>
        <v>non-charge-altering-6kiu</v>
      </c>
      <c r="N385" t="str">
        <f t="shared" si="16"/>
        <v>6kiu</v>
      </c>
      <c r="O385" s="2" t="s">
        <v>45</v>
      </c>
      <c r="P385" s="2" t="str">
        <f t="shared" si="17"/>
        <v>D-F67L</v>
      </c>
    </row>
    <row r="386" spans="1:16">
      <c r="A386" s="1" t="s">
        <v>15</v>
      </c>
      <c r="B386" s="1" t="s">
        <v>16</v>
      </c>
      <c r="C386" s="1" t="s">
        <v>18</v>
      </c>
      <c r="D386" s="1">
        <v>101</v>
      </c>
      <c r="E386" s="1" t="s">
        <v>19</v>
      </c>
      <c r="F386" s="1" t="s">
        <v>64</v>
      </c>
      <c r="G386" s="1">
        <v>0.39</v>
      </c>
      <c r="H386" s="1" t="s">
        <v>20</v>
      </c>
      <c r="I386" t="s">
        <v>34</v>
      </c>
      <c r="J386" t="s">
        <v>35</v>
      </c>
      <c r="K386" t="s">
        <v>36</v>
      </c>
      <c r="L386" t="s">
        <v>37</v>
      </c>
      <c r="M386" t="str">
        <f t="shared" ref="M386:M449" si="18">L386&amp;"-"&amp;LEFT(A386,4)</f>
        <v>non-charge-altering-6kiu</v>
      </c>
      <c r="N386" t="str">
        <f t="shared" ref="N386:N449" si="19">LEFT(A386,4)</f>
        <v>6kiu</v>
      </c>
      <c r="O386" s="2" t="s">
        <v>45</v>
      </c>
      <c r="P386" s="2" t="str">
        <f t="shared" ref="P386:P449" si="20">C386&amp;"-"&amp;E386&amp;D386&amp;F386</f>
        <v>D-G101W</v>
      </c>
    </row>
    <row r="387" spans="1:16">
      <c r="A387" s="1" t="s">
        <v>15</v>
      </c>
      <c r="B387" s="1" t="s">
        <v>16</v>
      </c>
      <c r="C387" s="1" t="s">
        <v>18</v>
      </c>
      <c r="D387" s="1">
        <v>50</v>
      </c>
      <c r="E387" s="1" t="s">
        <v>19</v>
      </c>
      <c r="F387" s="1" t="s">
        <v>32</v>
      </c>
      <c r="G387" s="1">
        <v>0.37</v>
      </c>
      <c r="H387" s="1" t="s">
        <v>20</v>
      </c>
      <c r="I387" t="s">
        <v>34</v>
      </c>
      <c r="J387" t="s">
        <v>35</v>
      </c>
      <c r="K387" t="s">
        <v>36</v>
      </c>
      <c r="L387" t="s">
        <v>37</v>
      </c>
      <c r="M387" t="str">
        <f t="shared" si="18"/>
        <v>non-charge-altering-6kiu</v>
      </c>
      <c r="N387" t="str">
        <f t="shared" si="19"/>
        <v>6kiu</v>
      </c>
      <c r="O387" s="2" t="s">
        <v>45</v>
      </c>
      <c r="P387" s="2" t="str">
        <f t="shared" si="20"/>
        <v>D-G50A</v>
      </c>
    </row>
    <row r="388" spans="1:16">
      <c r="A388" s="1" t="s">
        <v>15</v>
      </c>
      <c r="B388" s="1" t="s">
        <v>16</v>
      </c>
      <c r="C388" s="1" t="s">
        <v>18</v>
      </c>
      <c r="D388" s="1">
        <v>50</v>
      </c>
      <c r="E388" s="1" t="s">
        <v>19</v>
      </c>
      <c r="F388" s="1" t="s">
        <v>17</v>
      </c>
      <c r="G388" s="1">
        <v>0.14</v>
      </c>
      <c r="H388" s="1" t="s">
        <v>20</v>
      </c>
      <c r="I388" t="s">
        <v>34</v>
      </c>
      <c r="J388" t="s">
        <v>35</v>
      </c>
      <c r="K388" t="s">
        <v>36</v>
      </c>
      <c r="L388" t="s">
        <v>37</v>
      </c>
      <c r="M388" t="str">
        <f t="shared" si="18"/>
        <v>non-charge-altering-6kiu</v>
      </c>
      <c r="N388" t="str">
        <f t="shared" si="19"/>
        <v>6kiu</v>
      </c>
      <c r="O388" s="2" t="s">
        <v>45</v>
      </c>
      <c r="P388" s="2" t="str">
        <f t="shared" si="20"/>
        <v>D-G50C</v>
      </c>
    </row>
    <row r="389" spans="1:16">
      <c r="A389" s="1" t="s">
        <v>15</v>
      </c>
      <c r="B389" s="1" t="s">
        <v>16</v>
      </c>
      <c r="C389" s="1" t="s">
        <v>18</v>
      </c>
      <c r="D389" s="1">
        <v>86</v>
      </c>
      <c r="E389" s="1" t="s">
        <v>48</v>
      </c>
      <c r="F389" s="1" t="s">
        <v>47</v>
      </c>
      <c r="G389" s="1">
        <v>0.42</v>
      </c>
      <c r="H389" s="1" t="s">
        <v>20</v>
      </c>
      <c r="I389" t="s">
        <v>34</v>
      </c>
      <c r="J389" t="s">
        <v>35</v>
      </c>
      <c r="K389" t="s">
        <v>36</v>
      </c>
      <c r="L389" t="s">
        <v>37</v>
      </c>
      <c r="M389" t="str">
        <f t="shared" si="18"/>
        <v>non-charge-altering-6kiu</v>
      </c>
      <c r="N389" t="str">
        <f t="shared" si="19"/>
        <v>6kiu</v>
      </c>
      <c r="O389" s="2" t="s">
        <v>45</v>
      </c>
      <c r="P389" s="2" t="str">
        <f t="shared" si="20"/>
        <v>D-I86T</v>
      </c>
    </row>
    <row r="390" spans="1:16">
      <c r="A390" s="1" t="s">
        <v>15</v>
      </c>
      <c r="B390" s="1" t="s">
        <v>16</v>
      </c>
      <c r="C390" s="1" t="s">
        <v>18</v>
      </c>
      <c r="D390" s="1">
        <v>103</v>
      </c>
      <c r="E390" s="1" t="s">
        <v>39</v>
      </c>
      <c r="F390" s="1" t="s">
        <v>61</v>
      </c>
      <c r="G390" s="1">
        <v>1.16</v>
      </c>
      <c r="H390" s="1" t="s">
        <v>20</v>
      </c>
      <c r="I390" t="s">
        <v>34</v>
      </c>
      <c r="J390" t="s">
        <v>35</v>
      </c>
      <c r="K390" t="s">
        <v>36</v>
      </c>
      <c r="L390" t="s">
        <v>37</v>
      </c>
      <c r="M390" t="str">
        <f t="shared" si="18"/>
        <v>non-charge-altering-6kiu</v>
      </c>
      <c r="N390" t="str">
        <f t="shared" si="19"/>
        <v>6kiu</v>
      </c>
      <c r="O390" s="2" t="s">
        <v>45</v>
      </c>
      <c r="P390" s="2" t="str">
        <f t="shared" si="20"/>
        <v>D-L103V</v>
      </c>
    </row>
    <row r="391" spans="1:16">
      <c r="A391" s="1" t="s">
        <v>15</v>
      </c>
      <c r="B391" s="1" t="s">
        <v>16</v>
      </c>
      <c r="C391" s="1" t="s">
        <v>18</v>
      </c>
      <c r="D391" s="1">
        <v>99</v>
      </c>
      <c r="E391" s="1" t="s">
        <v>39</v>
      </c>
      <c r="F391" s="1" t="s">
        <v>61</v>
      </c>
      <c r="G391" s="1">
        <v>1.32</v>
      </c>
      <c r="H391" s="1" t="s">
        <v>20</v>
      </c>
      <c r="I391" t="s">
        <v>34</v>
      </c>
      <c r="J391" t="s">
        <v>35</v>
      </c>
      <c r="K391" t="s">
        <v>36</v>
      </c>
      <c r="L391" t="s">
        <v>37</v>
      </c>
      <c r="M391" t="str">
        <f t="shared" si="18"/>
        <v>non-charge-altering-6kiu</v>
      </c>
      <c r="N391" t="str">
        <f t="shared" si="19"/>
        <v>6kiu</v>
      </c>
      <c r="O391" s="2" t="s">
        <v>45</v>
      </c>
      <c r="P391" s="2" t="str">
        <f t="shared" si="20"/>
        <v>D-L99V</v>
      </c>
    </row>
    <row r="392" spans="1:16">
      <c r="A392" s="1" t="s">
        <v>15</v>
      </c>
      <c r="B392" s="1" t="s">
        <v>16</v>
      </c>
      <c r="C392" s="1" t="s">
        <v>18</v>
      </c>
      <c r="D392" s="1">
        <v>59</v>
      </c>
      <c r="E392" s="1" t="s">
        <v>63</v>
      </c>
      <c r="F392" s="1" t="s">
        <v>48</v>
      </c>
      <c r="G392" s="1">
        <v>1.19</v>
      </c>
      <c r="H392" s="1" t="s">
        <v>20</v>
      </c>
      <c r="I392" t="s">
        <v>34</v>
      </c>
      <c r="J392" t="s">
        <v>35</v>
      </c>
      <c r="K392" t="s">
        <v>36</v>
      </c>
      <c r="L392" t="s">
        <v>37</v>
      </c>
      <c r="M392" t="str">
        <f t="shared" si="18"/>
        <v>non-charge-altering-6kiu</v>
      </c>
      <c r="N392" t="str">
        <f t="shared" si="19"/>
        <v>6kiu</v>
      </c>
      <c r="O392" s="2" t="s">
        <v>45</v>
      </c>
      <c r="P392" s="2" t="str">
        <f t="shared" si="20"/>
        <v>D-M59I</v>
      </c>
    </row>
    <row r="393" spans="1:16">
      <c r="A393" s="1" t="s">
        <v>15</v>
      </c>
      <c r="B393" s="1" t="s">
        <v>16</v>
      </c>
      <c r="C393" s="1" t="s">
        <v>18</v>
      </c>
      <c r="D393" s="1">
        <v>100</v>
      </c>
      <c r="E393" s="1" t="s">
        <v>58</v>
      </c>
      <c r="F393" s="1" t="s">
        <v>46</v>
      </c>
      <c r="G393" s="1">
        <v>0.95</v>
      </c>
      <c r="H393" s="1" t="s">
        <v>20</v>
      </c>
      <c r="I393" t="s">
        <v>34</v>
      </c>
      <c r="J393" t="s">
        <v>35</v>
      </c>
      <c r="K393" t="s">
        <v>36</v>
      </c>
      <c r="L393" t="s">
        <v>37</v>
      </c>
      <c r="M393" t="str">
        <f t="shared" si="18"/>
        <v>non-charge-altering-6kiu</v>
      </c>
      <c r="N393" t="str">
        <f t="shared" si="19"/>
        <v>6kiu</v>
      </c>
      <c r="O393" s="2" t="s">
        <v>45</v>
      </c>
      <c r="P393" s="2" t="str">
        <f t="shared" si="20"/>
        <v>D-P100S</v>
      </c>
    </row>
    <row r="394" spans="1:16">
      <c r="A394" s="1" t="s">
        <v>15</v>
      </c>
      <c r="B394" s="1" t="s">
        <v>16</v>
      </c>
      <c r="C394" s="1" t="s">
        <v>18</v>
      </c>
      <c r="D394" s="1">
        <v>100</v>
      </c>
      <c r="E394" s="1" t="s">
        <v>58</v>
      </c>
      <c r="F394" s="1" t="s">
        <v>47</v>
      </c>
      <c r="G394" s="1">
        <v>0.6</v>
      </c>
      <c r="H394" s="1" t="s">
        <v>20</v>
      </c>
      <c r="I394" t="s">
        <v>34</v>
      </c>
      <c r="J394" t="s">
        <v>35</v>
      </c>
      <c r="K394" t="s">
        <v>36</v>
      </c>
      <c r="L394" t="s">
        <v>37</v>
      </c>
      <c r="M394" t="str">
        <f t="shared" si="18"/>
        <v>non-charge-altering-6kiu</v>
      </c>
      <c r="N394" t="str">
        <f t="shared" si="19"/>
        <v>6kiu</v>
      </c>
      <c r="O394" s="2" t="s">
        <v>45</v>
      </c>
      <c r="P394" s="2" t="str">
        <f t="shared" si="20"/>
        <v>D-P100T</v>
      </c>
    </row>
    <row r="395" spans="1:16">
      <c r="A395" s="1" t="s">
        <v>15</v>
      </c>
      <c r="B395" s="1" t="s">
        <v>16</v>
      </c>
      <c r="C395" s="1" t="s">
        <v>18</v>
      </c>
      <c r="D395" s="1">
        <v>69</v>
      </c>
      <c r="E395" s="1" t="s">
        <v>43</v>
      </c>
      <c r="F395" s="1" t="s">
        <v>56</v>
      </c>
      <c r="G395" s="1">
        <v>0.65</v>
      </c>
      <c r="H395" s="1" t="s">
        <v>20</v>
      </c>
      <c r="I395" t="s">
        <v>44</v>
      </c>
      <c r="J395" t="s">
        <v>35</v>
      </c>
      <c r="K395" t="s">
        <v>36</v>
      </c>
      <c r="L395" t="s">
        <v>37</v>
      </c>
      <c r="M395" t="str">
        <f t="shared" si="18"/>
        <v>non-charge-altering-6kiu</v>
      </c>
      <c r="N395" t="str">
        <f t="shared" si="19"/>
        <v>6kiu</v>
      </c>
      <c r="O395" s="2" t="s">
        <v>45</v>
      </c>
      <c r="P395" s="2" t="str">
        <f t="shared" si="20"/>
        <v>D-R69H</v>
      </c>
    </row>
    <row r="396" spans="1:16">
      <c r="A396" s="1" t="s">
        <v>15</v>
      </c>
      <c r="B396" s="1" t="s">
        <v>16</v>
      </c>
      <c r="C396" s="1" t="s">
        <v>18</v>
      </c>
      <c r="D396" s="1">
        <v>89</v>
      </c>
      <c r="E396" s="1" t="s">
        <v>43</v>
      </c>
      <c r="F396" s="1" t="s">
        <v>40</v>
      </c>
      <c r="G396" s="1">
        <v>0.97</v>
      </c>
      <c r="H396" s="1" t="s">
        <v>20</v>
      </c>
      <c r="I396" t="s">
        <v>44</v>
      </c>
      <c r="J396" t="s">
        <v>35</v>
      </c>
      <c r="K396" t="s">
        <v>36</v>
      </c>
      <c r="L396" t="s">
        <v>37</v>
      </c>
      <c r="M396" t="str">
        <f t="shared" si="18"/>
        <v>non-charge-altering-6kiu</v>
      </c>
      <c r="N396" t="str">
        <f t="shared" si="19"/>
        <v>6kiu</v>
      </c>
      <c r="O396" s="2" t="s">
        <v>45</v>
      </c>
      <c r="P396" s="2" t="str">
        <f t="shared" si="20"/>
        <v>D-R89K</v>
      </c>
    </row>
    <row r="397" spans="1:16">
      <c r="A397" s="1" t="s">
        <v>15</v>
      </c>
      <c r="B397" s="1" t="s">
        <v>16</v>
      </c>
      <c r="C397" s="1" t="s">
        <v>18</v>
      </c>
      <c r="D397" s="1">
        <v>33</v>
      </c>
      <c r="E397" s="1" t="s">
        <v>46</v>
      </c>
      <c r="F397" s="1" t="s">
        <v>41</v>
      </c>
      <c r="G397" s="1">
        <v>0.17</v>
      </c>
      <c r="H397" s="1" t="s">
        <v>20</v>
      </c>
      <c r="I397" t="s">
        <v>34</v>
      </c>
      <c r="J397" t="s">
        <v>35</v>
      </c>
      <c r="K397" t="s">
        <v>36</v>
      </c>
      <c r="L397" t="s">
        <v>37</v>
      </c>
      <c r="M397" t="str">
        <f t="shared" si="18"/>
        <v>non-charge-altering-6kiu</v>
      </c>
      <c r="N397" t="str">
        <f t="shared" si="19"/>
        <v>6kiu</v>
      </c>
      <c r="O397" s="2" t="s">
        <v>45</v>
      </c>
      <c r="P397" s="2" t="str">
        <f t="shared" si="20"/>
        <v>D-S33N</v>
      </c>
    </row>
    <row r="398" spans="1:16">
      <c r="A398" s="1" t="s">
        <v>15</v>
      </c>
      <c r="B398" s="1" t="s">
        <v>16</v>
      </c>
      <c r="C398" s="1" t="s">
        <v>18</v>
      </c>
      <c r="D398" s="1">
        <v>52</v>
      </c>
      <c r="E398" s="1" t="s">
        <v>46</v>
      </c>
      <c r="F398" s="1" t="s">
        <v>39</v>
      </c>
      <c r="G398" s="1">
        <v>0.66</v>
      </c>
      <c r="H398" s="1" t="s">
        <v>20</v>
      </c>
      <c r="I398" t="s">
        <v>34</v>
      </c>
      <c r="J398" t="s">
        <v>35</v>
      </c>
      <c r="K398" t="s">
        <v>36</v>
      </c>
      <c r="L398" t="s">
        <v>37</v>
      </c>
      <c r="M398" t="str">
        <f t="shared" si="18"/>
        <v>non-charge-altering-6kiu</v>
      </c>
      <c r="N398" t="str">
        <f t="shared" si="19"/>
        <v>6kiu</v>
      </c>
      <c r="O398" s="2" t="s">
        <v>45</v>
      </c>
      <c r="P398" s="2" t="str">
        <f t="shared" si="20"/>
        <v>D-S52L</v>
      </c>
    </row>
    <row r="399" spans="1:16">
      <c r="A399" s="1" t="s">
        <v>15</v>
      </c>
      <c r="B399" s="1" t="s">
        <v>16</v>
      </c>
      <c r="C399" s="1" t="s">
        <v>18</v>
      </c>
      <c r="D399" s="1">
        <v>84</v>
      </c>
      <c r="E399" s="1" t="s">
        <v>46</v>
      </c>
      <c r="F399" s="1" t="s">
        <v>64</v>
      </c>
      <c r="G399" s="1">
        <v>0.44</v>
      </c>
      <c r="H399" s="1" t="s">
        <v>20</v>
      </c>
      <c r="I399" t="s">
        <v>34</v>
      </c>
      <c r="J399" t="s">
        <v>35</v>
      </c>
      <c r="K399" t="s">
        <v>36</v>
      </c>
      <c r="L399" t="s">
        <v>37</v>
      </c>
      <c r="M399" t="str">
        <f t="shared" si="18"/>
        <v>non-charge-altering-6kiu</v>
      </c>
      <c r="N399" t="str">
        <f t="shared" si="19"/>
        <v>6kiu</v>
      </c>
      <c r="O399" s="2" t="s">
        <v>45</v>
      </c>
      <c r="P399" s="2" t="str">
        <f t="shared" si="20"/>
        <v>D-S84W</v>
      </c>
    </row>
    <row r="400" spans="1:16">
      <c r="A400" s="1" t="s">
        <v>15</v>
      </c>
      <c r="B400" s="1" t="s">
        <v>16</v>
      </c>
      <c r="C400" s="1" t="s">
        <v>18</v>
      </c>
      <c r="D400" s="1">
        <v>112</v>
      </c>
      <c r="E400" s="1" t="s">
        <v>47</v>
      </c>
      <c r="F400" s="1" t="s">
        <v>46</v>
      </c>
      <c r="G400" s="1">
        <v>1.09</v>
      </c>
      <c r="H400" s="1" t="s">
        <v>20</v>
      </c>
      <c r="I400" t="s">
        <v>34</v>
      </c>
      <c r="J400" t="s">
        <v>35</v>
      </c>
      <c r="K400" t="s">
        <v>36</v>
      </c>
      <c r="L400" t="s">
        <v>37</v>
      </c>
      <c r="M400" t="str">
        <f t="shared" si="18"/>
        <v>non-charge-altering-6kiu</v>
      </c>
      <c r="N400" t="str">
        <f t="shared" si="19"/>
        <v>6kiu</v>
      </c>
      <c r="O400" s="2" t="s">
        <v>45</v>
      </c>
      <c r="P400" s="2" t="str">
        <f t="shared" si="20"/>
        <v>D-T112S</v>
      </c>
    </row>
    <row r="401" spans="1:16">
      <c r="A401" s="1" t="s">
        <v>15</v>
      </c>
      <c r="B401" s="1" t="s">
        <v>16</v>
      </c>
      <c r="C401" s="1" t="s">
        <v>18</v>
      </c>
      <c r="D401" s="1">
        <v>85</v>
      </c>
      <c r="E401" s="1" t="s">
        <v>47</v>
      </c>
      <c r="F401" s="1" t="s">
        <v>48</v>
      </c>
      <c r="G401" s="1">
        <v>0.91</v>
      </c>
      <c r="H401" s="1" t="s">
        <v>20</v>
      </c>
      <c r="I401" t="s">
        <v>34</v>
      </c>
      <c r="J401" t="s">
        <v>35</v>
      </c>
      <c r="K401" t="s">
        <v>36</v>
      </c>
      <c r="L401" t="s">
        <v>37</v>
      </c>
      <c r="M401" t="str">
        <f t="shared" si="18"/>
        <v>non-charge-altering-6kiu</v>
      </c>
      <c r="N401" t="str">
        <f t="shared" si="19"/>
        <v>6kiu</v>
      </c>
      <c r="O401" s="2" t="s">
        <v>45</v>
      </c>
      <c r="P401" s="2" t="str">
        <f t="shared" si="20"/>
        <v>D-T85I</v>
      </c>
    </row>
    <row r="402" spans="1:16">
      <c r="A402" s="1" t="s">
        <v>15</v>
      </c>
      <c r="B402" s="1" t="s">
        <v>16</v>
      </c>
      <c r="C402" s="1" t="s">
        <v>18</v>
      </c>
      <c r="D402" s="1">
        <v>95</v>
      </c>
      <c r="E402" s="1" t="s">
        <v>61</v>
      </c>
      <c r="F402" s="1" t="s">
        <v>39</v>
      </c>
      <c r="G402" s="1">
        <v>0.37</v>
      </c>
      <c r="H402" s="1" t="s">
        <v>20</v>
      </c>
      <c r="I402" t="s">
        <v>34</v>
      </c>
      <c r="J402" t="s">
        <v>35</v>
      </c>
      <c r="K402" t="s">
        <v>36</v>
      </c>
      <c r="L402" t="s">
        <v>37</v>
      </c>
      <c r="M402" t="str">
        <f t="shared" si="18"/>
        <v>non-charge-altering-6kiu</v>
      </c>
      <c r="N402" t="str">
        <f t="shared" si="19"/>
        <v>6kiu</v>
      </c>
      <c r="O402" s="2" t="s">
        <v>45</v>
      </c>
      <c r="P402" s="2" t="str">
        <f t="shared" si="20"/>
        <v>D-V95L</v>
      </c>
    </row>
    <row r="403" spans="1:16">
      <c r="A403" s="1" t="s">
        <v>15</v>
      </c>
      <c r="B403" s="1" t="s">
        <v>16</v>
      </c>
      <c r="C403" s="1" t="s">
        <v>56</v>
      </c>
      <c r="D403" s="1">
        <v>90</v>
      </c>
      <c r="E403" s="1" t="s">
        <v>29</v>
      </c>
      <c r="F403" s="1" t="s">
        <v>18</v>
      </c>
      <c r="G403" s="1">
        <v>0.76</v>
      </c>
      <c r="H403" s="1" t="s">
        <v>20</v>
      </c>
      <c r="I403" t="s">
        <v>62</v>
      </c>
      <c r="J403" t="s">
        <v>35</v>
      </c>
      <c r="K403" t="s">
        <v>36</v>
      </c>
      <c r="L403" t="s">
        <v>37</v>
      </c>
      <c r="M403" t="str">
        <f t="shared" si="18"/>
        <v>non-charge-altering-6kiu</v>
      </c>
      <c r="N403" t="str">
        <f t="shared" si="19"/>
        <v>6kiu</v>
      </c>
      <c r="O403" s="2" t="s">
        <v>45</v>
      </c>
      <c r="P403" s="2" t="str">
        <f t="shared" si="20"/>
        <v>H-E90D</v>
      </c>
    </row>
    <row r="404" spans="1:16">
      <c r="A404" s="1" t="s">
        <v>15</v>
      </c>
      <c r="B404" s="1" t="s">
        <v>16</v>
      </c>
      <c r="C404" s="1" t="s">
        <v>56</v>
      </c>
      <c r="D404" s="1">
        <v>62</v>
      </c>
      <c r="E404" s="1" t="s">
        <v>33</v>
      </c>
      <c r="F404" s="1" t="s">
        <v>17</v>
      </c>
      <c r="G404" s="1">
        <v>1.62</v>
      </c>
      <c r="H404" s="1" t="s">
        <v>20</v>
      </c>
      <c r="I404" t="s">
        <v>34</v>
      </c>
      <c r="J404" t="s">
        <v>35</v>
      </c>
      <c r="K404" t="s">
        <v>36</v>
      </c>
      <c r="L404" t="s">
        <v>37</v>
      </c>
      <c r="M404" t="str">
        <f t="shared" si="18"/>
        <v>non-charge-altering-6kiu</v>
      </c>
      <c r="N404" t="str">
        <f t="shared" si="19"/>
        <v>6kiu</v>
      </c>
      <c r="O404" s="2" t="s">
        <v>45</v>
      </c>
      <c r="P404" s="2" t="str">
        <f t="shared" si="20"/>
        <v>H-F62C</v>
      </c>
    </row>
    <row r="405" spans="1:16">
      <c r="A405" s="1" t="s">
        <v>15</v>
      </c>
      <c r="B405" s="1" t="s">
        <v>16</v>
      </c>
      <c r="C405" s="1" t="s">
        <v>56</v>
      </c>
      <c r="D405" s="1">
        <v>67</v>
      </c>
      <c r="E405" s="1" t="s">
        <v>33</v>
      </c>
      <c r="F405" s="1" t="s">
        <v>39</v>
      </c>
      <c r="G405" s="1">
        <v>1.7</v>
      </c>
      <c r="H405" s="1" t="s">
        <v>20</v>
      </c>
      <c r="I405" t="s">
        <v>34</v>
      </c>
      <c r="J405" t="s">
        <v>35</v>
      </c>
      <c r="K405" t="s">
        <v>36</v>
      </c>
      <c r="L405" t="s">
        <v>37</v>
      </c>
      <c r="M405" t="str">
        <f t="shared" si="18"/>
        <v>non-charge-altering-6kiu</v>
      </c>
      <c r="N405" t="str">
        <f t="shared" si="19"/>
        <v>6kiu</v>
      </c>
      <c r="O405" s="2" t="s">
        <v>45</v>
      </c>
      <c r="P405" s="2" t="str">
        <f t="shared" si="20"/>
        <v>H-F67L</v>
      </c>
    </row>
    <row r="406" spans="1:16">
      <c r="A406" s="1" t="s">
        <v>15</v>
      </c>
      <c r="B406" s="1" t="s">
        <v>16</v>
      </c>
      <c r="C406" s="1" t="s">
        <v>56</v>
      </c>
      <c r="D406" s="1">
        <v>50</v>
      </c>
      <c r="E406" s="1" t="s">
        <v>19</v>
      </c>
      <c r="F406" s="1" t="s">
        <v>32</v>
      </c>
      <c r="G406" s="1">
        <v>0.36</v>
      </c>
      <c r="H406" s="1" t="s">
        <v>20</v>
      </c>
      <c r="I406" t="s">
        <v>34</v>
      </c>
      <c r="J406" t="s">
        <v>35</v>
      </c>
      <c r="K406" t="s">
        <v>36</v>
      </c>
      <c r="L406" t="s">
        <v>37</v>
      </c>
      <c r="M406" t="str">
        <f t="shared" si="18"/>
        <v>non-charge-altering-6kiu</v>
      </c>
      <c r="N406" t="str">
        <f t="shared" si="19"/>
        <v>6kiu</v>
      </c>
      <c r="O406" s="2" t="s">
        <v>45</v>
      </c>
      <c r="P406" s="2" t="str">
        <f t="shared" si="20"/>
        <v>H-G50A</v>
      </c>
    </row>
    <row r="407" spans="1:16">
      <c r="A407" s="1" t="s">
        <v>15</v>
      </c>
      <c r="B407" s="1" t="s">
        <v>16</v>
      </c>
      <c r="C407" s="1" t="s">
        <v>56</v>
      </c>
      <c r="D407" s="1">
        <v>50</v>
      </c>
      <c r="E407" s="1" t="s">
        <v>19</v>
      </c>
      <c r="F407" s="1" t="s">
        <v>17</v>
      </c>
      <c r="G407" s="1">
        <v>0.14</v>
      </c>
      <c r="H407" s="1" t="s">
        <v>20</v>
      </c>
      <c r="I407" t="s">
        <v>34</v>
      </c>
      <c r="J407" t="s">
        <v>35</v>
      </c>
      <c r="K407" t="s">
        <v>36</v>
      </c>
      <c r="L407" t="s">
        <v>37</v>
      </c>
      <c r="M407" t="str">
        <f t="shared" si="18"/>
        <v>non-charge-altering-6kiu</v>
      </c>
      <c r="N407" t="str">
        <f t="shared" si="19"/>
        <v>6kiu</v>
      </c>
      <c r="O407" s="2" t="s">
        <v>45</v>
      </c>
      <c r="P407" s="2" t="str">
        <f t="shared" si="20"/>
        <v>H-G50C</v>
      </c>
    </row>
    <row r="408" spans="1:16">
      <c r="A408" s="1" t="s">
        <v>15</v>
      </c>
      <c r="B408" s="1" t="s">
        <v>16</v>
      </c>
      <c r="C408" s="1" t="s">
        <v>56</v>
      </c>
      <c r="D408" s="1">
        <v>86</v>
      </c>
      <c r="E408" s="1" t="s">
        <v>48</v>
      </c>
      <c r="F408" s="1" t="s">
        <v>47</v>
      </c>
      <c r="G408" s="1">
        <v>0.08</v>
      </c>
      <c r="H408" s="1" t="s">
        <v>20</v>
      </c>
      <c r="I408" t="s">
        <v>34</v>
      </c>
      <c r="J408" t="s">
        <v>35</v>
      </c>
      <c r="K408" t="s">
        <v>36</v>
      </c>
      <c r="L408" t="s">
        <v>37</v>
      </c>
      <c r="M408" t="str">
        <f t="shared" si="18"/>
        <v>non-charge-altering-6kiu</v>
      </c>
      <c r="N408" t="str">
        <f t="shared" si="19"/>
        <v>6kiu</v>
      </c>
      <c r="O408" s="2" t="s">
        <v>45</v>
      </c>
      <c r="P408" s="2" t="str">
        <f t="shared" si="20"/>
        <v>H-I86T</v>
      </c>
    </row>
    <row r="409" spans="1:16">
      <c r="A409" s="1" t="s">
        <v>15</v>
      </c>
      <c r="B409" s="1" t="s">
        <v>16</v>
      </c>
      <c r="C409" s="1" t="s">
        <v>56</v>
      </c>
      <c r="D409" s="1">
        <v>103</v>
      </c>
      <c r="E409" s="1" t="s">
        <v>39</v>
      </c>
      <c r="F409" s="1" t="s">
        <v>61</v>
      </c>
      <c r="G409" s="1">
        <v>1.38</v>
      </c>
      <c r="H409" s="1" t="s">
        <v>20</v>
      </c>
      <c r="I409" t="s">
        <v>34</v>
      </c>
      <c r="J409" t="s">
        <v>35</v>
      </c>
      <c r="K409" t="s">
        <v>36</v>
      </c>
      <c r="L409" t="s">
        <v>37</v>
      </c>
      <c r="M409" t="str">
        <f t="shared" si="18"/>
        <v>non-charge-altering-6kiu</v>
      </c>
      <c r="N409" t="str">
        <f t="shared" si="19"/>
        <v>6kiu</v>
      </c>
      <c r="O409" s="2" t="s">
        <v>45</v>
      </c>
      <c r="P409" s="2" t="str">
        <f t="shared" si="20"/>
        <v>H-L103V</v>
      </c>
    </row>
    <row r="410" spans="1:16">
      <c r="A410" s="1" t="s">
        <v>15</v>
      </c>
      <c r="B410" s="1" t="s">
        <v>16</v>
      </c>
      <c r="C410" s="1" t="s">
        <v>56</v>
      </c>
      <c r="D410" s="1">
        <v>99</v>
      </c>
      <c r="E410" s="1" t="s">
        <v>39</v>
      </c>
      <c r="F410" s="1" t="s">
        <v>61</v>
      </c>
      <c r="G410" s="1">
        <v>1.32</v>
      </c>
      <c r="H410" s="1" t="s">
        <v>20</v>
      </c>
      <c r="I410" t="s">
        <v>34</v>
      </c>
      <c r="J410" t="s">
        <v>35</v>
      </c>
      <c r="K410" t="s">
        <v>36</v>
      </c>
      <c r="L410" t="s">
        <v>37</v>
      </c>
      <c r="M410" t="str">
        <f t="shared" si="18"/>
        <v>non-charge-altering-6kiu</v>
      </c>
      <c r="N410" t="str">
        <f t="shared" si="19"/>
        <v>6kiu</v>
      </c>
      <c r="O410" s="2" t="s">
        <v>45</v>
      </c>
      <c r="P410" s="2" t="str">
        <f t="shared" si="20"/>
        <v>H-L99V</v>
      </c>
    </row>
    <row r="411" spans="1:16">
      <c r="A411" s="1" t="s">
        <v>15</v>
      </c>
      <c r="B411" s="1" t="s">
        <v>16</v>
      </c>
      <c r="C411" s="1" t="s">
        <v>56</v>
      </c>
      <c r="D411" s="1">
        <v>59</v>
      </c>
      <c r="E411" s="1" t="s">
        <v>63</v>
      </c>
      <c r="F411" s="1" t="s">
        <v>48</v>
      </c>
      <c r="G411" s="1">
        <v>1.07</v>
      </c>
      <c r="H411" s="1" t="s">
        <v>20</v>
      </c>
      <c r="I411" t="s">
        <v>34</v>
      </c>
      <c r="J411" t="s">
        <v>35</v>
      </c>
      <c r="K411" t="s">
        <v>36</v>
      </c>
      <c r="L411" t="s">
        <v>37</v>
      </c>
      <c r="M411" t="str">
        <f t="shared" si="18"/>
        <v>non-charge-altering-6kiu</v>
      </c>
      <c r="N411" t="str">
        <f t="shared" si="19"/>
        <v>6kiu</v>
      </c>
      <c r="O411" s="2" t="s">
        <v>45</v>
      </c>
      <c r="P411" s="2" t="str">
        <f t="shared" si="20"/>
        <v>H-M59I</v>
      </c>
    </row>
    <row r="412" spans="1:16">
      <c r="A412" s="1" t="s">
        <v>15</v>
      </c>
      <c r="B412" s="1" t="s">
        <v>16</v>
      </c>
      <c r="C412" s="1" t="s">
        <v>56</v>
      </c>
      <c r="D412" s="1">
        <v>100</v>
      </c>
      <c r="E412" s="1" t="s">
        <v>58</v>
      </c>
      <c r="F412" s="1" t="s">
        <v>46</v>
      </c>
      <c r="G412" s="1">
        <v>0.95</v>
      </c>
      <c r="H412" s="1" t="s">
        <v>20</v>
      </c>
      <c r="I412" t="s">
        <v>34</v>
      </c>
      <c r="J412" t="s">
        <v>35</v>
      </c>
      <c r="K412" t="s">
        <v>36</v>
      </c>
      <c r="L412" t="s">
        <v>37</v>
      </c>
      <c r="M412" t="str">
        <f t="shared" si="18"/>
        <v>non-charge-altering-6kiu</v>
      </c>
      <c r="N412" t="str">
        <f t="shared" si="19"/>
        <v>6kiu</v>
      </c>
      <c r="O412" s="2" t="s">
        <v>45</v>
      </c>
      <c r="P412" s="2" t="str">
        <f t="shared" si="20"/>
        <v>H-P100S</v>
      </c>
    </row>
    <row r="413" spans="1:16">
      <c r="A413" s="1" t="s">
        <v>15</v>
      </c>
      <c r="B413" s="1" t="s">
        <v>16</v>
      </c>
      <c r="C413" s="1" t="s">
        <v>56</v>
      </c>
      <c r="D413" s="1">
        <v>100</v>
      </c>
      <c r="E413" s="1" t="s">
        <v>58</v>
      </c>
      <c r="F413" s="1" t="s">
        <v>47</v>
      </c>
      <c r="G413" s="1">
        <v>0.6</v>
      </c>
      <c r="H413" s="1" t="s">
        <v>20</v>
      </c>
      <c r="I413" t="s">
        <v>34</v>
      </c>
      <c r="J413" t="s">
        <v>35</v>
      </c>
      <c r="K413" t="s">
        <v>36</v>
      </c>
      <c r="L413" t="s">
        <v>37</v>
      </c>
      <c r="M413" t="str">
        <f t="shared" si="18"/>
        <v>non-charge-altering-6kiu</v>
      </c>
      <c r="N413" t="str">
        <f t="shared" si="19"/>
        <v>6kiu</v>
      </c>
      <c r="O413" s="2" t="s">
        <v>45</v>
      </c>
      <c r="P413" s="2" t="str">
        <f t="shared" si="20"/>
        <v>H-P100T</v>
      </c>
    </row>
    <row r="414" spans="1:16">
      <c r="A414" s="1" t="s">
        <v>15</v>
      </c>
      <c r="B414" s="1" t="s">
        <v>16</v>
      </c>
      <c r="C414" s="1" t="s">
        <v>56</v>
      </c>
      <c r="D414" s="1">
        <v>69</v>
      </c>
      <c r="E414" s="1" t="s">
        <v>43</v>
      </c>
      <c r="F414" s="1" t="s">
        <v>56</v>
      </c>
      <c r="G414" s="1">
        <v>0.65</v>
      </c>
      <c r="H414" s="1" t="s">
        <v>20</v>
      </c>
      <c r="I414" t="s">
        <v>44</v>
      </c>
      <c r="J414" t="s">
        <v>35</v>
      </c>
      <c r="K414" t="s">
        <v>36</v>
      </c>
      <c r="L414" t="s">
        <v>37</v>
      </c>
      <c r="M414" t="str">
        <f t="shared" si="18"/>
        <v>non-charge-altering-6kiu</v>
      </c>
      <c r="N414" t="str">
        <f t="shared" si="19"/>
        <v>6kiu</v>
      </c>
      <c r="O414" s="2" t="s">
        <v>45</v>
      </c>
      <c r="P414" s="2" t="str">
        <f t="shared" si="20"/>
        <v>H-R69H</v>
      </c>
    </row>
    <row r="415" spans="1:16">
      <c r="A415" s="1" t="s">
        <v>15</v>
      </c>
      <c r="B415" s="1" t="s">
        <v>16</v>
      </c>
      <c r="C415" s="1" t="s">
        <v>56</v>
      </c>
      <c r="D415" s="1">
        <v>89</v>
      </c>
      <c r="E415" s="1" t="s">
        <v>43</v>
      </c>
      <c r="F415" s="1" t="s">
        <v>40</v>
      </c>
      <c r="G415" s="1">
        <v>1.1</v>
      </c>
      <c r="H415" s="1" t="s">
        <v>20</v>
      </c>
      <c r="I415" t="s">
        <v>44</v>
      </c>
      <c r="J415" t="s">
        <v>35</v>
      </c>
      <c r="K415" t="s">
        <v>36</v>
      </c>
      <c r="L415" t="s">
        <v>37</v>
      </c>
      <c r="M415" t="str">
        <f t="shared" si="18"/>
        <v>non-charge-altering-6kiu</v>
      </c>
      <c r="N415" t="str">
        <f t="shared" si="19"/>
        <v>6kiu</v>
      </c>
      <c r="O415" s="2" t="s">
        <v>45</v>
      </c>
      <c r="P415" s="2" t="str">
        <f t="shared" si="20"/>
        <v>H-R89K</v>
      </c>
    </row>
    <row r="416" spans="1:16">
      <c r="A416" s="1" t="s">
        <v>15</v>
      </c>
      <c r="B416" s="1" t="s">
        <v>16</v>
      </c>
      <c r="C416" s="1" t="s">
        <v>56</v>
      </c>
      <c r="D416" s="1">
        <v>33</v>
      </c>
      <c r="E416" s="1" t="s">
        <v>46</v>
      </c>
      <c r="F416" s="1" t="s">
        <v>41</v>
      </c>
      <c r="G416" s="1">
        <v>0.17</v>
      </c>
      <c r="H416" s="1" t="s">
        <v>20</v>
      </c>
      <c r="I416" t="s">
        <v>34</v>
      </c>
      <c r="J416" t="s">
        <v>35</v>
      </c>
      <c r="K416" t="s">
        <v>36</v>
      </c>
      <c r="L416" t="s">
        <v>37</v>
      </c>
      <c r="M416" t="str">
        <f t="shared" si="18"/>
        <v>non-charge-altering-6kiu</v>
      </c>
      <c r="N416" t="str">
        <f t="shared" si="19"/>
        <v>6kiu</v>
      </c>
      <c r="O416" s="2" t="s">
        <v>45</v>
      </c>
      <c r="P416" s="2" t="str">
        <f t="shared" si="20"/>
        <v>H-S33N</v>
      </c>
    </row>
    <row r="417" spans="1:16">
      <c r="A417" s="1" t="s">
        <v>15</v>
      </c>
      <c r="B417" s="1" t="s">
        <v>16</v>
      </c>
      <c r="C417" s="1" t="s">
        <v>56</v>
      </c>
      <c r="D417" s="1">
        <v>52</v>
      </c>
      <c r="E417" s="1" t="s">
        <v>46</v>
      </c>
      <c r="F417" s="1" t="s">
        <v>39</v>
      </c>
      <c r="G417" s="1">
        <v>0.66</v>
      </c>
      <c r="H417" s="1" t="s">
        <v>20</v>
      </c>
      <c r="I417" t="s">
        <v>34</v>
      </c>
      <c r="J417" t="s">
        <v>35</v>
      </c>
      <c r="K417" t="s">
        <v>36</v>
      </c>
      <c r="L417" t="s">
        <v>37</v>
      </c>
      <c r="M417" t="str">
        <f t="shared" si="18"/>
        <v>non-charge-altering-6kiu</v>
      </c>
      <c r="N417" t="str">
        <f t="shared" si="19"/>
        <v>6kiu</v>
      </c>
      <c r="O417" s="2" t="s">
        <v>45</v>
      </c>
      <c r="P417" s="2" t="str">
        <f t="shared" si="20"/>
        <v>H-S52L</v>
      </c>
    </row>
    <row r="418" spans="1:16">
      <c r="A418" s="1" t="s">
        <v>15</v>
      </c>
      <c r="B418" s="1" t="s">
        <v>16</v>
      </c>
      <c r="C418" s="1" t="s">
        <v>56</v>
      </c>
      <c r="D418" s="1">
        <v>84</v>
      </c>
      <c r="E418" s="1" t="s">
        <v>46</v>
      </c>
      <c r="F418" s="1" t="s">
        <v>64</v>
      </c>
      <c r="G418" s="1">
        <v>0.44</v>
      </c>
      <c r="H418" s="1" t="s">
        <v>20</v>
      </c>
      <c r="I418" t="s">
        <v>34</v>
      </c>
      <c r="J418" t="s">
        <v>35</v>
      </c>
      <c r="K418" t="s">
        <v>36</v>
      </c>
      <c r="L418" t="s">
        <v>37</v>
      </c>
      <c r="M418" t="str">
        <f t="shared" si="18"/>
        <v>non-charge-altering-6kiu</v>
      </c>
      <c r="N418" t="str">
        <f t="shared" si="19"/>
        <v>6kiu</v>
      </c>
      <c r="O418" s="2" t="s">
        <v>45</v>
      </c>
      <c r="P418" s="2" t="str">
        <f t="shared" si="20"/>
        <v>H-S84W</v>
      </c>
    </row>
    <row r="419" spans="1:16">
      <c r="A419" s="1" t="s">
        <v>15</v>
      </c>
      <c r="B419" s="1" t="s">
        <v>16</v>
      </c>
      <c r="C419" s="1" t="s">
        <v>56</v>
      </c>
      <c r="D419" s="1">
        <v>112</v>
      </c>
      <c r="E419" s="1" t="s">
        <v>47</v>
      </c>
      <c r="F419" s="1" t="s">
        <v>46</v>
      </c>
      <c r="G419" s="1">
        <v>1.25</v>
      </c>
      <c r="H419" s="1" t="s">
        <v>20</v>
      </c>
      <c r="I419" t="s">
        <v>34</v>
      </c>
      <c r="J419" t="s">
        <v>35</v>
      </c>
      <c r="K419" t="s">
        <v>36</v>
      </c>
      <c r="L419" t="s">
        <v>37</v>
      </c>
      <c r="M419" t="str">
        <f t="shared" si="18"/>
        <v>non-charge-altering-6kiu</v>
      </c>
      <c r="N419" t="str">
        <f t="shared" si="19"/>
        <v>6kiu</v>
      </c>
      <c r="O419" s="2" t="s">
        <v>45</v>
      </c>
      <c r="P419" s="2" t="str">
        <f t="shared" si="20"/>
        <v>H-T112S</v>
      </c>
    </row>
    <row r="420" spans="1:16">
      <c r="A420" s="1" t="s">
        <v>15</v>
      </c>
      <c r="B420" s="1" t="s">
        <v>16</v>
      </c>
      <c r="C420" s="1" t="s">
        <v>56</v>
      </c>
      <c r="D420" s="1">
        <v>85</v>
      </c>
      <c r="E420" s="1" t="s">
        <v>47</v>
      </c>
      <c r="F420" s="1" t="s">
        <v>48</v>
      </c>
      <c r="G420" s="1">
        <v>0.91</v>
      </c>
      <c r="H420" s="1" t="s">
        <v>20</v>
      </c>
      <c r="I420" t="s">
        <v>34</v>
      </c>
      <c r="J420" t="s">
        <v>35</v>
      </c>
      <c r="K420" t="s">
        <v>36</v>
      </c>
      <c r="L420" t="s">
        <v>37</v>
      </c>
      <c r="M420" t="str">
        <f t="shared" si="18"/>
        <v>non-charge-altering-6kiu</v>
      </c>
      <c r="N420" t="str">
        <f t="shared" si="19"/>
        <v>6kiu</v>
      </c>
      <c r="O420" s="2" t="s">
        <v>45</v>
      </c>
      <c r="P420" s="2" t="str">
        <f t="shared" si="20"/>
        <v>H-T85I</v>
      </c>
    </row>
    <row r="421" spans="1:16">
      <c r="A421" s="1" t="s">
        <v>15</v>
      </c>
      <c r="B421" s="1" t="s">
        <v>16</v>
      </c>
      <c r="C421" s="1" t="s">
        <v>56</v>
      </c>
      <c r="D421" s="1">
        <v>95</v>
      </c>
      <c r="E421" s="1" t="s">
        <v>61</v>
      </c>
      <c r="F421" s="1" t="s">
        <v>39</v>
      </c>
      <c r="G421" s="1">
        <v>0.37</v>
      </c>
      <c r="H421" s="1" t="s">
        <v>20</v>
      </c>
      <c r="I421" t="s">
        <v>34</v>
      </c>
      <c r="J421" t="s">
        <v>35</v>
      </c>
      <c r="K421" t="s">
        <v>36</v>
      </c>
      <c r="L421" t="s">
        <v>37</v>
      </c>
      <c r="M421" t="str">
        <f t="shared" si="18"/>
        <v>non-charge-altering-6kiu</v>
      </c>
      <c r="N421" t="str">
        <f t="shared" si="19"/>
        <v>6kiu</v>
      </c>
      <c r="O421" s="2" t="s">
        <v>45</v>
      </c>
      <c r="P421" s="2" t="str">
        <f t="shared" si="20"/>
        <v>H-V95L</v>
      </c>
    </row>
    <row r="422" spans="1:16">
      <c r="A422" s="1" t="s">
        <v>15</v>
      </c>
      <c r="B422" s="1" t="s">
        <v>16</v>
      </c>
      <c r="C422" s="1" t="s">
        <v>32</v>
      </c>
      <c r="D422" s="1">
        <v>114</v>
      </c>
      <c r="E422" s="1" t="s">
        <v>32</v>
      </c>
      <c r="F422" s="1" t="s">
        <v>46</v>
      </c>
      <c r="G422" s="1">
        <v>0</v>
      </c>
      <c r="H422" s="1" t="s">
        <v>20</v>
      </c>
      <c r="I422" t="s">
        <v>34</v>
      </c>
      <c r="J422" t="s">
        <v>35</v>
      </c>
      <c r="K422" t="s">
        <v>36</v>
      </c>
      <c r="L422" t="s">
        <v>37</v>
      </c>
      <c r="M422" t="str">
        <f t="shared" si="18"/>
        <v>non-charge-altering-6kiu</v>
      </c>
      <c r="N422" t="str">
        <f t="shared" si="19"/>
        <v>6kiu</v>
      </c>
      <c r="O422" s="2" t="s">
        <v>38</v>
      </c>
      <c r="P422" s="2" t="str">
        <f t="shared" si="20"/>
        <v>A-A114S</v>
      </c>
    </row>
    <row r="423" spans="1:16">
      <c r="A423" s="1" t="s">
        <v>15</v>
      </c>
      <c r="B423" s="1" t="s">
        <v>16</v>
      </c>
      <c r="C423" s="1" t="s">
        <v>32</v>
      </c>
      <c r="D423" s="1">
        <v>127</v>
      </c>
      <c r="E423" s="1" t="s">
        <v>32</v>
      </c>
      <c r="F423" s="1" t="s">
        <v>58</v>
      </c>
      <c r="G423" s="1">
        <v>0.54</v>
      </c>
      <c r="H423" s="1" t="s">
        <v>20</v>
      </c>
      <c r="I423" t="s">
        <v>34</v>
      </c>
      <c r="J423" t="s">
        <v>35</v>
      </c>
      <c r="K423" t="s">
        <v>36</v>
      </c>
      <c r="L423" t="s">
        <v>37</v>
      </c>
      <c r="M423" t="str">
        <f t="shared" si="18"/>
        <v>non-charge-altering-6kiu</v>
      </c>
      <c r="N423" t="str">
        <f t="shared" si="19"/>
        <v>6kiu</v>
      </c>
      <c r="O423" s="2" t="s">
        <v>38</v>
      </c>
      <c r="P423" s="2" t="str">
        <f t="shared" si="20"/>
        <v>A-A127P</v>
      </c>
    </row>
    <row r="424" spans="1:16">
      <c r="A424" s="1" t="s">
        <v>15</v>
      </c>
      <c r="B424" s="1" t="s">
        <v>16</v>
      </c>
      <c r="C424" s="1" t="s">
        <v>32</v>
      </c>
      <c r="D424" s="1">
        <v>47</v>
      </c>
      <c r="E424" s="1" t="s">
        <v>32</v>
      </c>
      <c r="F424" s="1" t="s">
        <v>46</v>
      </c>
      <c r="G424" s="1">
        <v>0.2</v>
      </c>
      <c r="H424" s="1" t="s">
        <v>20</v>
      </c>
      <c r="I424" t="s">
        <v>34</v>
      </c>
      <c r="J424" t="s">
        <v>35</v>
      </c>
      <c r="K424" t="s">
        <v>36</v>
      </c>
      <c r="L424" t="s">
        <v>37</v>
      </c>
      <c r="M424" t="str">
        <f t="shared" si="18"/>
        <v>non-charge-altering-6kiu</v>
      </c>
      <c r="N424" t="str">
        <f t="shared" si="19"/>
        <v>6kiu</v>
      </c>
      <c r="O424" s="2" t="s">
        <v>38</v>
      </c>
      <c r="P424" s="2" t="str">
        <f t="shared" si="20"/>
        <v>A-A47S</v>
      </c>
    </row>
    <row r="425" spans="1:16">
      <c r="A425" s="1" t="s">
        <v>15</v>
      </c>
      <c r="B425" s="1" t="s">
        <v>16</v>
      </c>
      <c r="C425" s="1" t="s">
        <v>32</v>
      </c>
      <c r="D425" s="1">
        <v>47</v>
      </c>
      <c r="E425" s="1" t="s">
        <v>32</v>
      </c>
      <c r="F425" s="1" t="s">
        <v>47</v>
      </c>
      <c r="G425" s="1">
        <v>0.16</v>
      </c>
      <c r="H425" s="1" t="s">
        <v>20</v>
      </c>
      <c r="I425" t="s">
        <v>34</v>
      </c>
      <c r="J425" t="s">
        <v>35</v>
      </c>
      <c r="K425" t="s">
        <v>36</v>
      </c>
      <c r="L425" t="s">
        <v>37</v>
      </c>
      <c r="M425" t="str">
        <f t="shared" si="18"/>
        <v>non-charge-altering-6kiu</v>
      </c>
      <c r="N425" t="str">
        <f t="shared" si="19"/>
        <v>6kiu</v>
      </c>
      <c r="O425" s="2" t="s">
        <v>38</v>
      </c>
      <c r="P425" s="2" t="str">
        <f t="shared" si="20"/>
        <v>A-A47T</v>
      </c>
    </row>
    <row r="426" spans="1:16">
      <c r="A426" s="1" t="s">
        <v>15</v>
      </c>
      <c r="B426" s="1" t="s">
        <v>16</v>
      </c>
      <c r="C426" s="1" t="s">
        <v>32</v>
      </c>
      <c r="D426" s="1">
        <v>75</v>
      </c>
      <c r="E426" s="1" t="s">
        <v>32</v>
      </c>
      <c r="F426" s="1" t="s">
        <v>19</v>
      </c>
      <c r="G426" s="1">
        <v>0.95</v>
      </c>
      <c r="H426" s="1" t="s">
        <v>20</v>
      </c>
      <c r="I426" t="s">
        <v>34</v>
      </c>
      <c r="J426" t="s">
        <v>35</v>
      </c>
      <c r="K426" t="s">
        <v>36</v>
      </c>
      <c r="L426" t="s">
        <v>37</v>
      </c>
      <c r="M426" t="str">
        <f t="shared" si="18"/>
        <v>non-charge-altering-6kiu</v>
      </c>
      <c r="N426" t="str">
        <f t="shared" si="19"/>
        <v>6kiu</v>
      </c>
      <c r="O426" s="2" t="s">
        <v>38</v>
      </c>
      <c r="P426" s="2" t="str">
        <f t="shared" si="20"/>
        <v>A-A75G</v>
      </c>
    </row>
    <row r="427" spans="1:16">
      <c r="A427" s="1" t="s">
        <v>15</v>
      </c>
      <c r="B427" s="1" t="s">
        <v>16</v>
      </c>
      <c r="C427" s="1" t="s">
        <v>32</v>
      </c>
      <c r="D427" s="1">
        <v>88</v>
      </c>
      <c r="E427" s="1" t="s">
        <v>32</v>
      </c>
      <c r="F427" s="1" t="s">
        <v>58</v>
      </c>
      <c r="G427" s="1">
        <v>1.26</v>
      </c>
      <c r="H427" s="1" t="s">
        <v>20</v>
      </c>
      <c r="I427" t="s">
        <v>34</v>
      </c>
      <c r="J427" t="s">
        <v>35</v>
      </c>
      <c r="K427" t="s">
        <v>36</v>
      </c>
      <c r="L427" t="s">
        <v>37</v>
      </c>
      <c r="M427" t="str">
        <f t="shared" si="18"/>
        <v>non-charge-altering-6kiu</v>
      </c>
      <c r="N427" t="str">
        <f t="shared" si="19"/>
        <v>6kiu</v>
      </c>
      <c r="O427" s="2" t="s">
        <v>38</v>
      </c>
      <c r="P427" s="2" t="str">
        <f t="shared" si="20"/>
        <v>A-A88P</v>
      </c>
    </row>
    <row r="428" spans="1:16">
      <c r="A428" s="1" t="s">
        <v>15</v>
      </c>
      <c r="B428" s="1" t="s">
        <v>16</v>
      </c>
      <c r="C428" s="1" t="s">
        <v>32</v>
      </c>
      <c r="D428" s="1">
        <v>95</v>
      </c>
      <c r="E428" s="1" t="s">
        <v>32</v>
      </c>
      <c r="F428" s="1" t="s">
        <v>61</v>
      </c>
      <c r="G428" s="1">
        <v>1.01</v>
      </c>
      <c r="H428" s="1" t="s">
        <v>20</v>
      </c>
      <c r="I428" t="s">
        <v>34</v>
      </c>
      <c r="J428" t="s">
        <v>35</v>
      </c>
      <c r="K428" t="s">
        <v>36</v>
      </c>
      <c r="L428" t="s">
        <v>37</v>
      </c>
      <c r="M428" t="str">
        <f t="shared" si="18"/>
        <v>non-charge-altering-6kiu</v>
      </c>
      <c r="N428" t="str">
        <f t="shared" si="19"/>
        <v>6kiu</v>
      </c>
      <c r="O428" s="2" t="s">
        <v>38</v>
      </c>
      <c r="P428" s="2" t="str">
        <f t="shared" si="20"/>
        <v>A-A95V</v>
      </c>
    </row>
    <row r="429" spans="1:16">
      <c r="A429" s="1" t="s">
        <v>15</v>
      </c>
      <c r="B429" s="1" t="s">
        <v>16</v>
      </c>
      <c r="C429" s="1" t="s">
        <v>32</v>
      </c>
      <c r="D429" s="1">
        <v>105</v>
      </c>
      <c r="E429" s="1" t="s">
        <v>29</v>
      </c>
      <c r="F429" s="1" t="s">
        <v>18</v>
      </c>
      <c r="G429" s="1">
        <v>1.06</v>
      </c>
      <c r="H429" s="1" t="s">
        <v>20</v>
      </c>
      <c r="I429" t="s">
        <v>62</v>
      </c>
      <c r="J429" t="s">
        <v>35</v>
      </c>
      <c r="K429" t="s">
        <v>36</v>
      </c>
      <c r="L429" t="s">
        <v>37</v>
      </c>
      <c r="M429" t="str">
        <f t="shared" si="18"/>
        <v>non-charge-altering-6kiu</v>
      </c>
      <c r="N429" t="str">
        <f t="shared" si="19"/>
        <v>6kiu</v>
      </c>
      <c r="O429" s="2" t="s">
        <v>38</v>
      </c>
      <c r="P429" s="2" t="str">
        <f t="shared" si="20"/>
        <v>A-E105D</v>
      </c>
    </row>
    <row r="430" spans="1:16">
      <c r="A430" s="1" t="s">
        <v>15</v>
      </c>
      <c r="B430" s="1" t="s">
        <v>16</v>
      </c>
      <c r="C430" s="1" t="s">
        <v>32</v>
      </c>
      <c r="D430" s="1">
        <v>133</v>
      </c>
      <c r="E430" s="1" t="s">
        <v>29</v>
      </c>
      <c r="F430" s="1" t="s">
        <v>18</v>
      </c>
      <c r="G430" s="1">
        <v>0.81</v>
      </c>
      <c r="H430" s="1" t="s">
        <v>20</v>
      </c>
      <c r="I430" t="s">
        <v>62</v>
      </c>
      <c r="J430" t="s">
        <v>35</v>
      </c>
      <c r="K430" t="s">
        <v>36</v>
      </c>
      <c r="L430" t="s">
        <v>37</v>
      </c>
      <c r="M430" t="str">
        <f t="shared" si="18"/>
        <v>non-charge-altering-6kiu</v>
      </c>
      <c r="N430" t="str">
        <f t="shared" si="19"/>
        <v>6kiu</v>
      </c>
      <c r="O430" s="2" t="s">
        <v>38</v>
      </c>
      <c r="P430" s="2" t="str">
        <f t="shared" si="20"/>
        <v>A-E133D</v>
      </c>
    </row>
    <row r="431" spans="1:16">
      <c r="A431" s="1" t="s">
        <v>15</v>
      </c>
      <c r="B431" s="1" t="s">
        <v>16</v>
      </c>
      <c r="C431" s="1" t="s">
        <v>32</v>
      </c>
      <c r="D431" s="1">
        <v>50</v>
      </c>
      <c r="E431" s="1" t="s">
        <v>29</v>
      </c>
      <c r="F431" s="1" t="s">
        <v>18</v>
      </c>
      <c r="G431" s="1">
        <v>1</v>
      </c>
      <c r="H431" s="1" t="s">
        <v>20</v>
      </c>
      <c r="I431" t="s">
        <v>62</v>
      </c>
      <c r="J431" t="s">
        <v>35</v>
      </c>
      <c r="K431" t="s">
        <v>36</v>
      </c>
      <c r="L431" t="s">
        <v>37</v>
      </c>
      <c r="M431" t="str">
        <f t="shared" si="18"/>
        <v>non-charge-altering-6kiu</v>
      </c>
      <c r="N431" t="str">
        <f t="shared" si="19"/>
        <v>6kiu</v>
      </c>
      <c r="O431" s="2" t="s">
        <v>38</v>
      </c>
      <c r="P431" s="2" t="str">
        <f t="shared" si="20"/>
        <v>A-E50D</v>
      </c>
    </row>
    <row r="432" spans="1:16">
      <c r="A432" s="1" t="s">
        <v>15</v>
      </c>
      <c r="B432" s="1" t="s">
        <v>16</v>
      </c>
      <c r="C432" s="1" t="s">
        <v>32</v>
      </c>
      <c r="D432" s="1">
        <v>67</v>
      </c>
      <c r="E432" s="1" t="s">
        <v>33</v>
      </c>
      <c r="F432" s="1" t="s">
        <v>39</v>
      </c>
      <c r="G432" s="1">
        <v>1.49</v>
      </c>
      <c r="H432" s="1" t="s">
        <v>20</v>
      </c>
      <c r="I432" t="s">
        <v>34</v>
      </c>
      <c r="J432" t="s">
        <v>35</v>
      </c>
      <c r="K432" t="s">
        <v>36</v>
      </c>
      <c r="L432" t="s">
        <v>37</v>
      </c>
      <c r="M432" t="str">
        <f t="shared" si="18"/>
        <v>non-charge-altering-6kiu</v>
      </c>
      <c r="N432" t="str">
        <f t="shared" si="19"/>
        <v>6kiu</v>
      </c>
      <c r="O432" s="2" t="s">
        <v>38</v>
      </c>
      <c r="P432" s="2" t="str">
        <f t="shared" si="20"/>
        <v>A-F67L</v>
      </c>
    </row>
    <row r="433" spans="1:16">
      <c r="A433" s="1" t="s">
        <v>15</v>
      </c>
      <c r="B433" s="1" t="s">
        <v>16</v>
      </c>
      <c r="C433" s="1" t="s">
        <v>32</v>
      </c>
      <c r="D433" s="1">
        <v>78</v>
      </c>
      <c r="E433" s="1" t="s">
        <v>33</v>
      </c>
      <c r="F433" s="1" t="s">
        <v>17</v>
      </c>
      <c r="G433" s="1">
        <v>1.92</v>
      </c>
      <c r="H433" s="1" t="s">
        <v>20</v>
      </c>
      <c r="I433" t="s">
        <v>34</v>
      </c>
      <c r="J433" t="s">
        <v>35</v>
      </c>
      <c r="K433" t="s">
        <v>36</v>
      </c>
      <c r="L433" t="s">
        <v>37</v>
      </c>
      <c r="M433" t="str">
        <f t="shared" si="18"/>
        <v>non-charge-altering-6kiu</v>
      </c>
      <c r="N433" t="str">
        <f t="shared" si="19"/>
        <v>6kiu</v>
      </c>
      <c r="O433" s="2" t="s">
        <v>38</v>
      </c>
      <c r="P433" s="2" t="str">
        <f t="shared" si="20"/>
        <v>A-F78C</v>
      </c>
    </row>
    <row r="434" spans="1:16">
      <c r="A434" s="1" t="s">
        <v>15</v>
      </c>
      <c r="B434" s="1" t="s">
        <v>16</v>
      </c>
      <c r="C434" s="1" t="s">
        <v>32</v>
      </c>
      <c r="D434" s="1">
        <v>78</v>
      </c>
      <c r="E434" s="1" t="s">
        <v>33</v>
      </c>
      <c r="F434" s="1" t="s">
        <v>39</v>
      </c>
      <c r="G434" s="1">
        <v>1.75</v>
      </c>
      <c r="H434" s="1" t="s">
        <v>20</v>
      </c>
      <c r="I434" t="s">
        <v>34</v>
      </c>
      <c r="J434" t="s">
        <v>35</v>
      </c>
      <c r="K434" t="s">
        <v>36</v>
      </c>
      <c r="L434" t="s">
        <v>37</v>
      </c>
      <c r="M434" t="str">
        <f t="shared" si="18"/>
        <v>non-charge-altering-6kiu</v>
      </c>
      <c r="N434" t="str">
        <f t="shared" si="19"/>
        <v>6kiu</v>
      </c>
      <c r="O434" s="2" t="s">
        <v>38</v>
      </c>
      <c r="P434" s="2" t="str">
        <f t="shared" si="20"/>
        <v>A-F78L</v>
      </c>
    </row>
    <row r="435" spans="1:16">
      <c r="A435" s="1" t="s">
        <v>15</v>
      </c>
      <c r="B435" s="1" t="s">
        <v>16</v>
      </c>
      <c r="C435" s="1" t="s">
        <v>32</v>
      </c>
      <c r="D435" s="1">
        <v>84</v>
      </c>
      <c r="E435" s="1" t="s">
        <v>33</v>
      </c>
      <c r="F435" s="1" t="s">
        <v>39</v>
      </c>
      <c r="G435" s="1">
        <v>1.48</v>
      </c>
      <c r="H435" s="1" t="s">
        <v>20</v>
      </c>
      <c r="I435" t="s">
        <v>34</v>
      </c>
      <c r="J435" t="s">
        <v>35</v>
      </c>
      <c r="K435" t="s">
        <v>36</v>
      </c>
      <c r="L435" t="s">
        <v>37</v>
      </c>
      <c r="M435" t="str">
        <f t="shared" si="18"/>
        <v>non-charge-altering-6kiu</v>
      </c>
      <c r="N435" t="str">
        <f t="shared" si="19"/>
        <v>6kiu</v>
      </c>
      <c r="O435" s="2" t="s">
        <v>38</v>
      </c>
      <c r="P435" s="2" t="str">
        <f t="shared" si="20"/>
        <v>A-F84L</v>
      </c>
    </row>
    <row r="436" spans="1:16">
      <c r="A436" s="1" t="s">
        <v>15</v>
      </c>
      <c r="B436" s="1" t="s">
        <v>16</v>
      </c>
      <c r="C436" s="1" t="s">
        <v>32</v>
      </c>
      <c r="D436" s="1">
        <v>44</v>
      </c>
      <c r="E436" s="1" t="s">
        <v>19</v>
      </c>
      <c r="F436" s="1" t="s">
        <v>61</v>
      </c>
      <c r="G436" s="1">
        <v>0.62</v>
      </c>
      <c r="H436" s="1" t="s">
        <v>20</v>
      </c>
      <c r="I436" t="s">
        <v>34</v>
      </c>
      <c r="J436" t="s">
        <v>35</v>
      </c>
      <c r="K436" t="s">
        <v>36</v>
      </c>
      <c r="L436" t="s">
        <v>37</v>
      </c>
      <c r="M436" t="str">
        <f t="shared" si="18"/>
        <v>non-charge-altering-6kiu</v>
      </c>
      <c r="N436" t="str">
        <f t="shared" si="19"/>
        <v>6kiu</v>
      </c>
      <c r="O436" s="2" t="s">
        <v>38</v>
      </c>
      <c r="P436" s="2" t="str">
        <f t="shared" si="20"/>
        <v>A-G44V</v>
      </c>
    </row>
    <row r="437" spans="1:16">
      <c r="A437" s="1" t="s">
        <v>15</v>
      </c>
      <c r="B437" s="1" t="s">
        <v>16</v>
      </c>
      <c r="C437" s="1" t="s">
        <v>32</v>
      </c>
      <c r="D437" s="1">
        <v>112</v>
      </c>
      <c r="E437" s="1" t="s">
        <v>48</v>
      </c>
      <c r="F437" s="1" t="s">
        <v>61</v>
      </c>
      <c r="G437" s="1">
        <v>0.96</v>
      </c>
      <c r="H437" s="1" t="s">
        <v>20</v>
      </c>
      <c r="I437" t="s">
        <v>34</v>
      </c>
      <c r="J437" t="s">
        <v>35</v>
      </c>
      <c r="K437" t="s">
        <v>36</v>
      </c>
      <c r="L437" t="s">
        <v>37</v>
      </c>
      <c r="M437" t="str">
        <f t="shared" si="18"/>
        <v>non-charge-altering-6kiu</v>
      </c>
      <c r="N437" t="str">
        <f t="shared" si="19"/>
        <v>6kiu</v>
      </c>
      <c r="O437" s="2" t="s">
        <v>38</v>
      </c>
      <c r="P437" s="2" t="str">
        <f t="shared" si="20"/>
        <v>A-I112V</v>
      </c>
    </row>
    <row r="438" spans="1:16">
      <c r="A438" s="1" t="s">
        <v>15</v>
      </c>
      <c r="B438" s="1" t="s">
        <v>16</v>
      </c>
      <c r="C438" s="1" t="s">
        <v>32</v>
      </c>
      <c r="D438" s="1">
        <v>119</v>
      </c>
      <c r="E438" s="1" t="s">
        <v>48</v>
      </c>
      <c r="F438" s="1" t="s">
        <v>39</v>
      </c>
      <c r="G438" s="1">
        <v>0.81</v>
      </c>
      <c r="H438" s="1" t="s">
        <v>20</v>
      </c>
      <c r="I438" t="s">
        <v>34</v>
      </c>
      <c r="J438" t="s">
        <v>35</v>
      </c>
      <c r="K438" t="s">
        <v>36</v>
      </c>
      <c r="L438" t="s">
        <v>37</v>
      </c>
      <c r="M438" t="str">
        <f t="shared" si="18"/>
        <v>non-charge-altering-6kiu</v>
      </c>
      <c r="N438" t="str">
        <f t="shared" si="19"/>
        <v>6kiu</v>
      </c>
      <c r="O438" s="2" t="s">
        <v>38</v>
      </c>
      <c r="P438" s="2" t="str">
        <f t="shared" si="20"/>
        <v>A-I119L</v>
      </c>
    </row>
    <row r="439" spans="1:16">
      <c r="A439" s="1" t="s">
        <v>15</v>
      </c>
      <c r="B439" s="1" t="s">
        <v>16</v>
      </c>
      <c r="C439" s="1" t="s">
        <v>32</v>
      </c>
      <c r="D439" s="1">
        <v>74</v>
      </c>
      <c r="E439" s="1" t="s">
        <v>48</v>
      </c>
      <c r="F439" s="1" t="s">
        <v>61</v>
      </c>
      <c r="G439" s="1">
        <v>0.87</v>
      </c>
      <c r="H439" s="1" t="s">
        <v>20</v>
      </c>
      <c r="I439" t="s">
        <v>34</v>
      </c>
      <c r="J439" t="s">
        <v>35</v>
      </c>
      <c r="K439" t="s">
        <v>36</v>
      </c>
      <c r="L439" t="s">
        <v>37</v>
      </c>
      <c r="M439" t="str">
        <f t="shared" si="18"/>
        <v>non-charge-altering-6kiu</v>
      </c>
      <c r="N439" t="str">
        <f t="shared" si="19"/>
        <v>6kiu</v>
      </c>
      <c r="O439" s="2" t="s">
        <v>38</v>
      </c>
      <c r="P439" s="2" t="str">
        <f t="shared" si="20"/>
        <v>A-I74V</v>
      </c>
    </row>
    <row r="440" spans="1:16">
      <c r="A440" s="1" t="s">
        <v>15</v>
      </c>
      <c r="B440" s="1" t="s">
        <v>16</v>
      </c>
      <c r="C440" s="1" t="s">
        <v>32</v>
      </c>
      <c r="D440" s="1">
        <v>126</v>
      </c>
      <c r="E440" s="1" t="s">
        <v>39</v>
      </c>
      <c r="F440" s="1" t="s">
        <v>63</v>
      </c>
      <c r="G440" s="1">
        <v>0.63</v>
      </c>
      <c r="H440" s="1" t="s">
        <v>20</v>
      </c>
      <c r="I440" t="s">
        <v>34</v>
      </c>
      <c r="J440" t="s">
        <v>35</v>
      </c>
      <c r="K440" t="s">
        <v>36</v>
      </c>
      <c r="L440" t="s">
        <v>37</v>
      </c>
      <c r="M440" t="str">
        <f t="shared" si="18"/>
        <v>non-charge-altering-6kiu</v>
      </c>
      <c r="N440" t="str">
        <f t="shared" si="19"/>
        <v>6kiu</v>
      </c>
      <c r="O440" s="2" t="s">
        <v>38</v>
      </c>
      <c r="P440" s="2" t="str">
        <f t="shared" si="20"/>
        <v>A-L126M</v>
      </c>
    </row>
    <row r="441" spans="1:16">
      <c r="A441" s="1" t="s">
        <v>15</v>
      </c>
      <c r="B441" s="1" t="s">
        <v>16</v>
      </c>
      <c r="C441" s="1" t="s">
        <v>32</v>
      </c>
      <c r="D441" s="1">
        <v>126</v>
      </c>
      <c r="E441" s="1" t="s">
        <v>39</v>
      </c>
      <c r="F441" s="1" t="s">
        <v>61</v>
      </c>
      <c r="G441" s="1">
        <v>1.26</v>
      </c>
      <c r="H441" s="1" t="s">
        <v>20</v>
      </c>
      <c r="I441" t="s">
        <v>34</v>
      </c>
      <c r="J441" t="s">
        <v>35</v>
      </c>
      <c r="K441" t="s">
        <v>36</v>
      </c>
      <c r="L441" t="s">
        <v>37</v>
      </c>
      <c r="M441" t="str">
        <f t="shared" si="18"/>
        <v>non-charge-altering-6kiu</v>
      </c>
      <c r="N441" t="str">
        <f t="shared" si="19"/>
        <v>6kiu</v>
      </c>
      <c r="O441" s="2" t="s">
        <v>38</v>
      </c>
      <c r="P441" s="2" t="str">
        <f t="shared" si="20"/>
        <v>A-L126V</v>
      </c>
    </row>
    <row r="442" spans="1:16">
      <c r="A442" s="1" t="s">
        <v>15</v>
      </c>
      <c r="B442" s="1" t="s">
        <v>16</v>
      </c>
      <c r="C442" s="1" t="s">
        <v>32</v>
      </c>
      <c r="D442" s="1">
        <v>61</v>
      </c>
      <c r="E442" s="1" t="s">
        <v>39</v>
      </c>
      <c r="F442" s="1" t="s">
        <v>61</v>
      </c>
      <c r="G442" s="1">
        <v>0.99</v>
      </c>
      <c r="H442" s="1" t="s">
        <v>20</v>
      </c>
      <c r="I442" t="s">
        <v>34</v>
      </c>
      <c r="J442" t="s">
        <v>35</v>
      </c>
      <c r="K442" t="s">
        <v>36</v>
      </c>
      <c r="L442" t="s">
        <v>37</v>
      </c>
      <c r="M442" t="str">
        <f t="shared" si="18"/>
        <v>non-charge-altering-6kiu</v>
      </c>
      <c r="N442" t="str">
        <f t="shared" si="19"/>
        <v>6kiu</v>
      </c>
      <c r="O442" s="2" t="s">
        <v>38</v>
      </c>
      <c r="P442" s="2" t="str">
        <f t="shared" si="20"/>
        <v>A-L61V</v>
      </c>
    </row>
    <row r="443" spans="1:16">
      <c r="A443" s="1" t="s">
        <v>15</v>
      </c>
      <c r="B443" s="1" t="s">
        <v>16</v>
      </c>
      <c r="C443" s="1" t="s">
        <v>32</v>
      </c>
      <c r="D443" s="1">
        <v>82</v>
      </c>
      <c r="E443" s="1" t="s">
        <v>39</v>
      </c>
      <c r="F443" s="1" t="s">
        <v>33</v>
      </c>
      <c r="G443" s="1">
        <v>0.11</v>
      </c>
      <c r="H443" s="1" t="s">
        <v>20</v>
      </c>
      <c r="I443" t="s">
        <v>34</v>
      </c>
      <c r="J443" t="s">
        <v>35</v>
      </c>
      <c r="K443" t="s">
        <v>36</v>
      </c>
      <c r="L443" t="s">
        <v>37</v>
      </c>
      <c r="M443" t="str">
        <f t="shared" si="18"/>
        <v>non-charge-altering-6kiu</v>
      </c>
      <c r="N443" t="str">
        <f t="shared" si="19"/>
        <v>6kiu</v>
      </c>
      <c r="O443" s="2" t="s">
        <v>38</v>
      </c>
      <c r="P443" s="2" t="str">
        <f t="shared" si="20"/>
        <v>A-L82F</v>
      </c>
    </row>
    <row r="444" spans="1:16">
      <c r="A444" s="1" t="s">
        <v>15</v>
      </c>
      <c r="B444" s="1" t="s">
        <v>16</v>
      </c>
      <c r="C444" s="1" t="s">
        <v>32</v>
      </c>
      <c r="D444" s="1">
        <v>92</v>
      </c>
      <c r="E444" s="1" t="s">
        <v>39</v>
      </c>
      <c r="F444" s="1" t="s">
        <v>61</v>
      </c>
      <c r="G444" s="1">
        <v>2.02</v>
      </c>
      <c r="H444" s="1" t="s">
        <v>20</v>
      </c>
      <c r="I444" t="s">
        <v>34</v>
      </c>
      <c r="J444" t="s">
        <v>35</v>
      </c>
      <c r="K444" t="s">
        <v>36</v>
      </c>
      <c r="L444" t="s">
        <v>37</v>
      </c>
      <c r="M444" t="str">
        <f t="shared" si="18"/>
        <v>non-charge-altering-6kiu</v>
      </c>
      <c r="N444" t="str">
        <f t="shared" si="19"/>
        <v>6kiu</v>
      </c>
      <c r="O444" s="2" t="s">
        <v>38</v>
      </c>
      <c r="P444" s="2" t="str">
        <f t="shared" si="20"/>
        <v>A-L92V</v>
      </c>
    </row>
    <row r="445" spans="1:16">
      <c r="A445" s="1" t="s">
        <v>15</v>
      </c>
      <c r="B445" s="1" t="s">
        <v>16</v>
      </c>
      <c r="C445" s="1" t="s">
        <v>32</v>
      </c>
      <c r="D445" s="1">
        <v>120</v>
      </c>
      <c r="E445" s="1" t="s">
        <v>63</v>
      </c>
      <c r="F445" s="1" t="s">
        <v>48</v>
      </c>
      <c r="G445" s="1">
        <v>0.87</v>
      </c>
      <c r="H445" s="1" t="s">
        <v>20</v>
      </c>
      <c r="I445" t="s">
        <v>34</v>
      </c>
      <c r="J445" t="s">
        <v>35</v>
      </c>
      <c r="K445" t="s">
        <v>36</v>
      </c>
      <c r="L445" t="s">
        <v>37</v>
      </c>
      <c r="M445" t="str">
        <f t="shared" si="18"/>
        <v>non-charge-altering-6kiu</v>
      </c>
      <c r="N445" t="str">
        <f t="shared" si="19"/>
        <v>6kiu</v>
      </c>
      <c r="O445" s="2" t="s">
        <v>38</v>
      </c>
      <c r="P445" s="2" t="str">
        <f t="shared" si="20"/>
        <v>A-M120I</v>
      </c>
    </row>
    <row r="446" spans="1:16">
      <c r="A446" s="1" t="s">
        <v>15</v>
      </c>
      <c r="B446" s="1" t="s">
        <v>16</v>
      </c>
      <c r="C446" s="1" t="s">
        <v>32</v>
      </c>
      <c r="D446" s="1">
        <v>121</v>
      </c>
      <c r="E446" s="1" t="s">
        <v>58</v>
      </c>
      <c r="F446" s="1" t="s">
        <v>47</v>
      </c>
      <c r="G446" s="1">
        <v>-0.07</v>
      </c>
      <c r="H446" s="1" t="s">
        <v>59</v>
      </c>
      <c r="I446" t="s">
        <v>34</v>
      </c>
      <c r="J446" t="s">
        <v>35</v>
      </c>
      <c r="K446" t="s">
        <v>36</v>
      </c>
      <c r="L446" t="s">
        <v>37</v>
      </c>
      <c r="M446" t="str">
        <f t="shared" si="18"/>
        <v>non-charge-altering-6kiu</v>
      </c>
      <c r="N446" t="str">
        <f t="shared" si="19"/>
        <v>6kiu</v>
      </c>
      <c r="O446" s="2" t="s">
        <v>38</v>
      </c>
      <c r="P446" s="2" t="str">
        <f t="shared" si="20"/>
        <v>A-P121T</v>
      </c>
    </row>
    <row r="447" spans="1:16">
      <c r="A447" s="1" t="s">
        <v>15</v>
      </c>
      <c r="B447" s="1" t="s">
        <v>16</v>
      </c>
      <c r="C447" s="1" t="s">
        <v>32</v>
      </c>
      <c r="D447" s="1">
        <v>66</v>
      </c>
      <c r="E447" s="1" t="s">
        <v>58</v>
      </c>
      <c r="F447" s="1" t="s">
        <v>46</v>
      </c>
      <c r="G447" s="1">
        <v>0.65</v>
      </c>
      <c r="H447" s="1" t="s">
        <v>20</v>
      </c>
      <c r="I447" t="s">
        <v>34</v>
      </c>
      <c r="J447" t="s">
        <v>35</v>
      </c>
      <c r="K447" t="s">
        <v>36</v>
      </c>
      <c r="L447" t="s">
        <v>37</v>
      </c>
      <c r="M447" t="str">
        <f t="shared" si="18"/>
        <v>non-charge-altering-6kiu</v>
      </c>
      <c r="N447" t="str">
        <f t="shared" si="19"/>
        <v>6kiu</v>
      </c>
      <c r="O447" s="2" t="s">
        <v>38</v>
      </c>
      <c r="P447" s="2" t="str">
        <f t="shared" si="20"/>
        <v>A-P66S</v>
      </c>
    </row>
    <row r="448" spans="1:16">
      <c r="A448" s="1" t="s">
        <v>15</v>
      </c>
      <c r="B448" s="1" t="s">
        <v>16</v>
      </c>
      <c r="C448" s="1" t="s">
        <v>32</v>
      </c>
      <c r="D448" s="1">
        <v>128</v>
      </c>
      <c r="E448" s="1" t="s">
        <v>43</v>
      </c>
      <c r="F448" s="1" t="s">
        <v>56</v>
      </c>
      <c r="G448" s="1">
        <v>1.32</v>
      </c>
      <c r="H448" s="1" t="s">
        <v>20</v>
      </c>
      <c r="I448" t="s">
        <v>44</v>
      </c>
      <c r="J448" t="s">
        <v>35</v>
      </c>
      <c r="K448" t="s">
        <v>36</v>
      </c>
      <c r="L448" t="s">
        <v>37</v>
      </c>
      <c r="M448" t="str">
        <f t="shared" si="18"/>
        <v>non-charge-altering-6kiu</v>
      </c>
      <c r="N448" t="str">
        <f t="shared" si="19"/>
        <v>6kiu</v>
      </c>
      <c r="O448" s="2" t="s">
        <v>38</v>
      </c>
      <c r="P448" s="2" t="str">
        <f t="shared" si="20"/>
        <v>A-R128H</v>
      </c>
    </row>
    <row r="449" spans="1:16">
      <c r="A449" s="1" t="s">
        <v>15</v>
      </c>
      <c r="B449" s="1" t="s">
        <v>16</v>
      </c>
      <c r="C449" s="1" t="s">
        <v>32</v>
      </c>
      <c r="D449" s="1">
        <v>52</v>
      </c>
      <c r="E449" s="1" t="s">
        <v>43</v>
      </c>
      <c r="F449" s="1" t="s">
        <v>56</v>
      </c>
      <c r="G449" s="1">
        <v>1.68</v>
      </c>
      <c r="H449" s="1" t="s">
        <v>20</v>
      </c>
      <c r="I449" t="s">
        <v>44</v>
      </c>
      <c r="J449" t="s">
        <v>35</v>
      </c>
      <c r="K449" t="s">
        <v>36</v>
      </c>
      <c r="L449" t="s">
        <v>37</v>
      </c>
      <c r="M449" t="str">
        <f t="shared" si="18"/>
        <v>non-charge-altering-6kiu</v>
      </c>
      <c r="N449" t="str">
        <f t="shared" si="19"/>
        <v>6kiu</v>
      </c>
      <c r="O449" s="2" t="s">
        <v>38</v>
      </c>
      <c r="P449" s="2" t="str">
        <f t="shared" si="20"/>
        <v>A-R52H</v>
      </c>
    </row>
    <row r="450" spans="1:16">
      <c r="A450" s="1" t="s">
        <v>15</v>
      </c>
      <c r="B450" s="1" t="s">
        <v>16</v>
      </c>
      <c r="C450" s="1" t="s">
        <v>32</v>
      </c>
      <c r="D450" s="1">
        <v>63</v>
      </c>
      <c r="E450" s="1" t="s">
        <v>43</v>
      </c>
      <c r="F450" s="1" t="s">
        <v>56</v>
      </c>
      <c r="G450" s="1">
        <v>1.9</v>
      </c>
      <c r="H450" s="1" t="s">
        <v>20</v>
      </c>
      <c r="I450" t="s">
        <v>44</v>
      </c>
      <c r="J450" t="s">
        <v>35</v>
      </c>
      <c r="K450" t="s">
        <v>36</v>
      </c>
      <c r="L450" t="s">
        <v>37</v>
      </c>
      <c r="M450" t="str">
        <f t="shared" ref="M450:M513" si="21">L450&amp;"-"&amp;LEFT(A450,4)</f>
        <v>non-charge-altering-6kiu</v>
      </c>
      <c r="N450" t="str">
        <f t="shared" ref="N450:N513" si="22">LEFT(A450,4)</f>
        <v>6kiu</v>
      </c>
      <c r="O450" s="2" t="s">
        <v>38</v>
      </c>
      <c r="P450" s="2" t="str">
        <f t="shared" ref="P450:P513" si="23">C450&amp;"-"&amp;E450&amp;D450&amp;F450</f>
        <v>A-R63H</v>
      </c>
    </row>
    <row r="451" spans="1:16">
      <c r="A451" s="1" t="s">
        <v>15</v>
      </c>
      <c r="B451" s="1" t="s">
        <v>16</v>
      </c>
      <c r="C451" s="1" t="s">
        <v>32</v>
      </c>
      <c r="D451" s="1">
        <v>57</v>
      </c>
      <c r="E451" s="1" t="s">
        <v>46</v>
      </c>
      <c r="F451" s="1" t="s">
        <v>39</v>
      </c>
      <c r="G451" s="1">
        <v>1.04</v>
      </c>
      <c r="H451" s="1" t="s">
        <v>20</v>
      </c>
      <c r="I451" t="s">
        <v>34</v>
      </c>
      <c r="J451" t="s">
        <v>35</v>
      </c>
      <c r="K451" t="s">
        <v>36</v>
      </c>
      <c r="L451" t="s">
        <v>37</v>
      </c>
      <c r="M451" t="str">
        <f t="shared" si="21"/>
        <v>non-charge-altering-6kiu</v>
      </c>
      <c r="N451" t="str">
        <f t="shared" si="22"/>
        <v>6kiu</v>
      </c>
      <c r="O451" s="2" t="s">
        <v>38</v>
      </c>
      <c r="P451" s="2" t="str">
        <f t="shared" si="23"/>
        <v>A-S57L</v>
      </c>
    </row>
    <row r="452" spans="1:16">
      <c r="A452" s="1" t="s">
        <v>15</v>
      </c>
      <c r="B452" s="1" t="s">
        <v>16</v>
      </c>
      <c r="C452" s="1" t="s">
        <v>32</v>
      </c>
      <c r="D452" s="1">
        <v>58</v>
      </c>
      <c r="E452" s="1" t="s">
        <v>47</v>
      </c>
      <c r="F452" s="1" t="s">
        <v>46</v>
      </c>
      <c r="G452" s="1">
        <v>0.61</v>
      </c>
      <c r="H452" s="1" t="s">
        <v>20</v>
      </c>
      <c r="I452" t="s">
        <v>34</v>
      </c>
      <c r="J452" t="s">
        <v>35</v>
      </c>
      <c r="K452" t="s">
        <v>36</v>
      </c>
      <c r="L452" t="s">
        <v>37</v>
      </c>
      <c r="M452" t="str">
        <f t="shared" si="21"/>
        <v>non-charge-altering-6kiu</v>
      </c>
      <c r="N452" t="str">
        <f t="shared" si="22"/>
        <v>6kiu</v>
      </c>
      <c r="O452" s="2" t="s">
        <v>38</v>
      </c>
      <c r="P452" s="2" t="str">
        <f t="shared" si="23"/>
        <v>A-T58S</v>
      </c>
    </row>
    <row r="453" spans="1:16">
      <c r="A453" s="1" t="s">
        <v>15</v>
      </c>
      <c r="B453" s="1" t="s">
        <v>16</v>
      </c>
      <c r="C453" s="1" t="s">
        <v>32</v>
      </c>
      <c r="D453" s="1">
        <v>117</v>
      </c>
      <c r="E453" s="1" t="s">
        <v>61</v>
      </c>
      <c r="F453" s="1" t="s">
        <v>19</v>
      </c>
      <c r="G453" s="1">
        <v>1.3</v>
      </c>
      <c r="H453" s="1" t="s">
        <v>20</v>
      </c>
      <c r="I453" t="s">
        <v>34</v>
      </c>
      <c r="J453" t="s">
        <v>35</v>
      </c>
      <c r="K453" t="s">
        <v>36</v>
      </c>
      <c r="L453" t="s">
        <v>37</v>
      </c>
      <c r="M453" t="str">
        <f t="shared" si="21"/>
        <v>non-charge-altering-6kiu</v>
      </c>
      <c r="N453" t="str">
        <f t="shared" si="22"/>
        <v>6kiu</v>
      </c>
      <c r="O453" s="2" t="s">
        <v>38</v>
      </c>
      <c r="P453" s="2" t="str">
        <f t="shared" si="23"/>
        <v>A-V117G</v>
      </c>
    </row>
    <row r="454" spans="1:16">
      <c r="A454" s="1" t="s">
        <v>15</v>
      </c>
      <c r="B454" s="1" t="s">
        <v>16</v>
      </c>
      <c r="C454" s="1" t="s">
        <v>32</v>
      </c>
      <c r="D454" s="1">
        <v>117</v>
      </c>
      <c r="E454" s="1" t="s">
        <v>61</v>
      </c>
      <c r="F454" s="1" t="s">
        <v>63</v>
      </c>
      <c r="G454" s="1">
        <v>0.52</v>
      </c>
      <c r="H454" s="1" t="s">
        <v>20</v>
      </c>
      <c r="I454" t="s">
        <v>34</v>
      </c>
      <c r="J454" t="s">
        <v>35</v>
      </c>
      <c r="K454" t="s">
        <v>36</v>
      </c>
      <c r="L454" t="s">
        <v>37</v>
      </c>
      <c r="M454" t="str">
        <f t="shared" si="21"/>
        <v>non-charge-altering-6kiu</v>
      </c>
      <c r="N454" t="str">
        <f t="shared" si="22"/>
        <v>6kiu</v>
      </c>
      <c r="O454" s="2" t="s">
        <v>38</v>
      </c>
      <c r="P454" s="2" t="str">
        <f t="shared" si="23"/>
        <v>A-V117M</v>
      </c>
    </row>
    <row r="455" spans="1:16">
      <c r="A455" s="1" t="s">
        <v>15</v>
      </c>
      <c r="B455" s="1" t="s">
        <v>16</v>
      </c>
      <c r="C455" s="1" t="s">
        <v>32</v>
      </c>
      <c r="D455" s="1">
        <v>71</v>
      </c>
      <c r="E455" s="1" t="s">
        <v>61</v>
      </c>
      <c r="F455" s="1" t="s">
        <v>39</v>
      </c>
      <c r="G455" s="1">
        <v>0.5</v>
      </c>
      <c r="H455" s="1" t="s">
        <v>20</v>
      </c>
      <c r="I455" t="s">
        <v>34</v>
      </c>
      <c r="J455" t="s">
        <v>35</v>
      </c>
      <c r="K455" t="s">
        <v>36</v>
      </c>
      <c r="L455" t="s">
        <v>37</v>
      </c>
      <c r="M455" t="str">
        <f t="shared" si="21"/>
        <v>non-charge-altering-6kiu</v>
      </c>
      <c r="N455" t="str">
        <f t="shared" si="22"/>
        <v>6kiu</v>
      </c>
      <c r="O455" s="2" t="s">
        <v>38</v>
      </c>
      <c r="P455" s="2" t="str">
        <f t="shared" si="23"/>
        <v>A-V71L</v>
      </c>
    </row>
    <row r="456" spans="1:16">
      <c r="A456" s="1" t="s">
        <v>15</v>
      </c>
      <c r="B456" s="1" t="s">
        <v>16</v>
      </c>
      <c r="C456" s="1" t="s">
        <v>32</v>
      </c>
      <c r="D456" s="1">
        <v>54</v>
      </c>
      <c r="E456" s="1" t="s">
        <v>49</v>
      </c>
      <c r="F456" s="1" t="s">
        <v>41</v>
      </c>
      <c r="G456" s="1">
        <v>2.42</v>
      </c>
      <c r="H456" s="1" t="s">
        <v>20</v>
      </c>
      <c r="I456" t="s">
        <v>34</v>
      </c>
      <c r="J456" t="s">
        <v>35</v>
      </c>
      <c r="K456" t="s">
        <v>36</v>
      </c>
      <c r="L456" t="s">
        <v>37</v>
      </c>
      <c r="M456" t="str">
        <f t="shared" si="21"/>
        <v>non-charge-altering-6kiu</v>
      </c>
      <c r="N456" t="str">
        <f t="shared" si="22"/>
        <v>6kiu</v>
      </c>
      <c r="O456" s="2" t="s">
        <v>38</v>
      </c>
      <c r="P456" s="2" t="str">
        <f t="shared" si="23"/>
        <v>A-Y54N</v>
      </c>
    </row>
    <row r="457" spans="1:16">
      <c r="A457" s="1" t="s">
        <v>15</v>
      </c>
      <c r="B457" s="1" t="s">
        <v>16</v>
      </c>
      <c r="C457" s="1" t="s">
        <v>29</v>
      </c>
      <c r="D457" s="1">
        <v>114</v>
      </c>
      <c r="E457" s="1" t="s">
        <v>32</v>
      </c>
      <c r="F457" s="1" t="s">
        <v>46</v>
      </c>
      <c r="G457" s="1">
        <v>0</v>
      </c>
      <c r="H457" s="1" t="s">
        <v>20</v>
      </c>
      <c r="I457" t="s">
        <v>34</v>
      </c>
      <c r="J457" t="s">
        <v>35</v>
      </c>
      <c r="K457" t="s">
        <v>36</v>
      </c>
      <c r="L457" t="s">
        <v>37</v>
      </c>
      <c r="M457" t="str">
        <f t="shared" si="21"/>
        <v>non-charge-altering-6kiu</v>
      </c>
      <c r="N457" t="str">
        <f t="shared" si="22"/>
        <v>6kiu</v>
      </c>
      <c r="O457" s="2" t="s">
        <v>38</v>
      </c>
      <c r="P457" s="2" t="str">
        <f t="shared" si="23"/>
        <v>E-A114S</v>
      </c>
    </row>
    <row r="458" spans="1:16">
      <c r="A458" s="1" t="s">
        <v>15</v>
      </c>
      <c r="B458" s="1" t="s">
        <v>16</v>
      </c>
      <c r="C458" s="1" t="s">
        <v>29</v>
      </c>
      <c r="D458" s="1">
        <v>127</v>
      </c>
      <c r="E458" s="1" t="s">
        <v>32</v>
      </c>
      <c r="F458" s="1" t="s">
        <v>58</v>
      </c>
      <c r="G458" s="1">
        <v>0.54</v>
      </c>
      <c r="H458" s="1" t="s">
        <v>20</v>
      </c>
      <c r="I458" t="s">
        <v>34</v>
      </c>
      <c r="J458" t="s">
        <v>35</v>
      </c>
      <c r="K458" t="s">
        <v>36</v>
      </c>
      <c r="L458" t="s">
        <v>37</v>
      </c>
      <c r="M458" t="str">
        <f t="shared" si="21"/>
        <v>non-charge-altering-6kiu</v>
      </c>
      <c r="N458" t="str">
        <f t="shared" si="22"/>
        <v>6kiu</v>
      </c>
      <c r="O458" s="2" t="s">
        <v>38</v>
      </c>
      <c r="P458" s="2" t="str">
        <f t="shared" si="23"/>
        <v>E-A127P</v>
      </c>
    </row>
    <row r="459" spans="1:16">
      <c r="A459" s="1" t="s">
        <v>15</v>
      </c>
      <c r="B459" s="1" t="s">
        <v>16</v>
      </c>
      <c r="C459" s="1" t="s">
        <v>29</v>
      </c>
      <c r="D459" s="1">
        <v>47</v>
      </c>
      <c r="E459" s="1" t="s">
        <v>32</v>
      </c>
      <c r="F459" s="1" t="s">
        <v>46</v>
      </c>
      <c r="G459" s="1">
        <v>0.2</v>
      </c>
      <c r="H459" s="1" t="s">
        <v>20</v>
      </c>
      <c r="I459" t="s">
        <v>34</v>
      </c>
      <c r="J459" t="s">
        <v>35</v>
      </c>
      <c r="K459" t="s">
        <v>36</v>
      </c>
      <c r="L459" t="s">
        <v>37</v>
      </c>
      <c r="M459" t="str">
        <f t="shared" si="21"/>
        <v>non-charge-altering-6kiu</v>
      </c>
      <c r="N459" t="str">
        <f t="shared" si="22"/>
        <v>6kiu</v>
      </c>
      <c r="O459" s="2" t="s">
        <v>38</v>
      </c>
      <c r="P459" s="2" t="str">
        <f t="shared" si="23"/>
        <v>E-A47S</v>
      </c>
    </row>
    <row r="460" spans="1:16">
      <c r="A460" s="1" t="s">
        <v>15</v>
      </c>
      <c r="B460" s="1" t="s">
        <v>16</v>
      </c>
      <c r="C460" s="1" t="s">
        <v>29</v>
      </c>
      <c r="D460" s="1">
        <v>47</v>
      </c>
      <c r="E460" s="1" t="s">
        <v>32</v>
      </c>
      <c r="F460" s="1" t="s">
        <v>47</v>
      </c>
      <c r="G460" s="1">
        <v>0.16</v>
      </c>
      <c r="H460" s="1" t="s">
        <v>20</v>
      </c>
      <c r="I460" t="s">
        <v>34</v>
      </c>
      <c r="J460" t="s">
        <v>35</v>
      </c>
      <c r="K460" t="s">
        <v>36</v>
      </c>
      <c r="L460" t="s">
        <v>37</v>
      </c>
      <c r="M460" t="str">
        <f t="shared" si="21"/>
        <v>non-charge-altering-6kiu</v>
      </c>
      <c r="N460" t="str">
        <f t="shared" si="22"/>
        <v>6kiu</v>
      </c>
      <c r="O460" s="2" t="s">
        <v>38</v>
      </c>
      <c r="P460" s="2" t="str">
        <f t="shared" si="23"/>
        <v>E-A47T</v>
      </c>
    </row>
    <row r="461" spans="1:16">
      <c r="A461" s="1" t="s">
        <v>15</v>
      </c>
      <c r="B461" s="1" t="s">
        <v>16</v>
      </c>
      <c r="C461" s="1" t="s">
        <v>29</v>
      </c>
      <c r="D461" s="1">
        <v>75</v>
      </c>
      <c r="E461" s="1" t="s">
        <v>32</v>
      </c>
      <c r="F461" s="1" t="s">
        <v>19</v>
      </c>
      <c r="G461" s="1">
        <v>0.89</v>
      </c>
      <c r="H461" s="1" t="s">
        <v>20</v>
      </c>
      <c r="I461" t="s">
        <v>34</v>
      </c>
      <c r="J461" t="s">
        <v>35</v>
      </c>
      <c r="K461" t="s">
        <v>36</v>
      </c>
      <c r="L461" t="s">
        <v>37</v>
      </c>
      <c r="M461" t="str">
        <f t="shared" si="21"/>
        <v>non-charge-altering-6kiu</v>
      </c>
      <c r="N461" t="str">
        <f t="shared" si="22"/>
        <v>6kiu</v>
      </c>
      <c r="O461" s="2" t="s">
        <v>38</v>
      </c>
      <c r="P461" s="2" t="str">
        <f t="shared" si="23"/>
        <v>E-A75G</v>
      </c>
    </row>
    <row r="462" spans="1:16">
      <c r="A462" s="1" t="s">
        <v>15</v>
      </c>
      <c r="B462" s="1" t="s">
        <v>16</v>
      </c>
      <c r="C462" s="1" t="s">
        <v>29</v>
      </c>
      <c r="D462" s="1">
        <v>88</v>
      </c>
      <c r="E462" s="1" t="s">
        <v>32</v>
      </c>
      <c r="F462" s="1" t="s">
        <v>58</v>
      </c>
      <c r="G462" s="1">
        <v>1.01</v>
      </c>
      <c r="H462" s="1" t="s">
        <v>20</v>
      </c>
      <c r="I462" t="s">
        <v>34</v>
      </c>
      <c r="J462" t="s">
        <v>35</v>
      </c>
      <c r="K462" t="s">
        <v>36</v>
      </c>
      <c r="L462" t="s">
        <v>37</v>
      </c>
      <c r="M462" t="str">
        <f t="shared" si="21"/>
        <v>non-charge-altering-6kiu</v>
      </c>
      <c r="N462" t="str">
        <f t="shared" si="22"/>
        <v>6kiu</v>
      </c>
      <c r="O462" s="2" t="s">
        <v>38</v>
      </c>
      <c r="P462" s="2" t="str">
        <f t="shared" si="23"/>
        <v>E-A88P</v>
      </c>
    </row>
    <row r="463" spans="1:16">
      <c r="A463" s="1" t="s">
        <v>15</v>
      </c>
      <c r="B463" s="1" t="s">
        <v>16</v>
      </c>
      <c r="C463" s="1" t="s">
        <v>29</v>
      </c>
      <c r="D463" s="1">
        <v>95</v>
      </c>
      <c r="E463" s="1" t="s">
        <v>32</v>
      </c>
      <c r="F463" s="1" t="s">
        <v>61</v>
      </c>
      <c r="G463" s="1">
        <v>0.87</v>
      </c>
      <c r="H463" s="1" t="s">
        <v>20</v>
      </c>
      <c r="I463" t="s">
        <v>34</v>
      </c>
      <c r="J463" t="s">
        <v>35</v>
      </c>
      <c r="K463" t="s">
        <v>36</v>
      </c>
      <c r="L463" t="s">
        <v>37</v>
      </c>
      <c r="M463" t="str">
        <f t="shared" si="21"/>
        <v>non-charge-altering-6kiu</v>
      </c>
      <c r="N463" t="str">
        <f t="shared" si="22"/>
        <v>6kiu</v>
      </c>
      <c r="O463" s="2" t="s">
        <v>38</v>
      </c>
      <c r="P463" s="2" t="str">
        <f t="shared" si="23"/>
        <v>E-A95V</v>
      </c>
    </row>
    <row r="464" spans="1:16">
      <c r="A464" s="1" t="s">
        <v>15</v>
      </c>
      <c r="B464" s="1" t="s">
        <v>16</v>
      </c>
      <c r="C464" s="1" t="s">
        <v>29</v>
      </c>
      <c r="D464" s="1">
        <v>105</v>
      </c>
      <c r="E464" s="1" t="s">
        <v>29</v>
      </c>
      <c r="F464" s="1" t="s">
        <v>18</v>
      </c>
      <c r="G464" s="1">
        <v>0.82</v>
      </c>
      <c r="H464" s="1" t="s">
        <v>20</v>
      </c>
      <c r="I464" t="s">
        <v>62</v>
      </c>
      <c r="J464" t="s">
        <v>35</v>
      </c>
      <c r="K464" t="s">
        <v>36</v>
      </c>
      <c r="L464" t="s">
        <v>37</v>
      </c>
      <c r="M464" t="str">
        <f t="shared" si="21"/>
        <v>non-charge-altering-6kiu</v>
      </c>
      <c r="N464" t="str">
        <f t="shared" si="22"/>
        <v>6kiu</v>
      </c>
      <c r="O464" s="2" t="s">
        <v>38</v>
      </c>
      <c r="P464" s="2" t="str">
        <f t="shared" si="23"/>
        <v>E-E105D</v>
      </c>
    </row>
    <row r="465" spans="1:16">
      <c r="A465" s="1" t="s">
        <v>15</v>
      </c>
      <c r="B465" s="1" t="s">
        <v>16</v>
      </c>
      <c r="C465" s="1" t="s">
        <v>29</v>
      </c>
      <c r="D465" s="1">
        <v>133</v>
      </c>
      <c r="E465" s="1" t="s">
        <v>29</v>
      </c>
      <c r="F465" s="1" t="s">
        <v>18</v>
      </c>
      <c r="G465" s="1">
        <v>0.81</v>
      </c>
      <c r="H465" s="1" t="s">
        <v>20</v>
      </c>
      <c r="I465" t="s">
        <v>62</v>
      </c>
      <c r="J465" t="s">
        <v>35</v>
      </c>
      <c r="K465" t="s">
        <v>36</v>
      </c>
      <c r="L465" t="s">
        <v>37</v>
      </c>
      <c r="M465" t="str">
        <f t="shared" si="21"/>
        <v>non-charge-altering-6kiu</v>
      </c>
      <c r="N465" t="str">
        <f t="shared" si="22"/>
        <v>6kiu</v>
      </c>
      <c r="O465" s="2" t="s">
        <v>38</v>
      </c>
      <c r="P465" s="2" t="str">
        <f t="shared" si="23"/>
        <v>E-E133D</v>
      </c>
    </row>
    <row r="466" spans="1:16">
      <c r="A466" s="1" t="s">
        <v>15</v>
      </c>
      <c r="B466" s="1" t="s">
        <v>16</v>
      </c>
      <c r="C466" s="1" t="s">
        <v>29</v>
      </c>
      <c r="D466" s="1">
        <v>50</v>
      </c>
      <c r="E466" s="1" t="s">
        <v>29</v>
      </c>
      <c r="F466" s="1" t="s">
        <v>18</v>
      </c>
      <c r="G466" s="1">
        <v>1</v>
      </c>
      <c r="H466" s="1" t="s">
        <v>20</v>
      </c>
      <c r="I466" t="s">
        <v>62</v>
      </c>
      <c r="J466" t="s">
        <v>35</v>
      </c>
      <c r="K466" t="s">
        <v>36</v>
      </c>
      <c r="L466" t="s">
        <v>37</v>
      </c>
      <c r="M466" t="str">
        <f t="shared" si="21"/>
        <v>non-charge-altering-6kiu</v>
      </c>
      <c r="N466" t="str">
        <f t="shared" si="22"/>
        <v>6kiu</v>
      </c>
      <c r="O466" s="2" t="s">
        <v>38</v>
      </c>
      <c r="P466" s="2" t="str">
        <f t="shared" si="23"/>
        <v>E-E50D</v>
      </c>
    </row>
    <row r="467" spans="1:16">
      <c r="A467" s="1" t="s">
        <v>15</v>
      </c>
      <c r="B467" s="1" t="s">
        <v>16</v>
      </c>
      <c r="C467" s="1" t="s">
        <v>29</v>
      </c>
      <c r="D467" s="1">
        <v>67</v>
      </c>
      <c r="E467" s="1" t="s">
        <v>33</v>
      </c>
      <c r="F467" s="1" t="s">
        <v>39</v>
      </c>
      <c r="G467" s="1">
        <v>1.49</v>
      </c>
      <c r="H467" s="1" t="s">
        <v>20</v>
      </c>
      <c r="I467" t="s">
        <v>34</v>
      </c>
      <c r="J467" t="s">
        <v>35</v>
      </c>
      <c r="K467" t="s">
        <v>36</v>
      </c>
      <c r="L467" t="s">
        <v>37</v>
      </c>
      <c r="M467" t="str">
        <f t="shared" si="21"/>
        <v>non-charge-altering-6kiu</v>
      </c>
      <c r="N467" t="str">
        <f t="shared" si="22"/>
        <v>6kiu</v>
      </c>
      <c r="O467" s="2" t="s">
        <v>38</v>
      </c>
      <c r="P467" s="2" t="str">
        <f t="shared" si="23"/>
        <v>E-F67L</v>
      </c>
    </row>
    <row r="468" spans="1:16">
      <c r="A468" s="1" t="s">
        <v>15</v>
      </c>
      <c r="B468" s="1" t="s">
        <v>16</v>
      </c>
      <c r="C468" s="1" t="s">
        <v>29</v>
      </c>
      <c r="D468" s="1">
        <v>78</v>
      </c>
      <c r="E468" s="1" t="s">
        <v>33</v>
      </c>
      <c r="F468" s="1" t="s">
        <v>17</v>
      </c>
      <c r="G468" s="1">
        <v>1.45</v>
      </c>
      <c r="H468" s="1" t="s">
        <v>20</v>
      </c>
      <c r="I468" t="s">
        <v>34</v>
      </c>
      <c r="J468" t="s">
        <v>35</v>
      </c>
      <c r="K468" t="s">
        <v>36</v>
      </c>
      <c r="L468" t="s">
        <v>37</v>
      </c>
      <c r="M468" t="str">
        <f t="shared" si="21"/>
        <v>non-charge-altering-6kiu</v>
      </c>
      <c r="N468" t="str">
        <f t="shared" si="22"/>
        <v>6kiu</v>
      </c>
      <c r="O468" s="2" t="s">
        <v>38</v>
      </c>
      <c r="P468" s="2" t="str">
        <f t="shared" si="23"/>
        <v>E-F78C</v>
      </c>
    </row>
    <row r="469" spans="1:16">
      <c r="A469" s="1" t="s">
        <v>15</v>
      </c>
      <c r="B469" s="1" t="s">
        <v>16</v>
      </c>
      <c r="C469" s="1" t="s">
        <v>29</v>
      </c>
      <c r="D469" s="1">
        <v>78</v>
      </c>
      <c r="E469" s="1" t="s">
        <v>33</v>
      </c>
      <c r="F469" s="1" t="s">
        <v>39</v>
      </c>
      <c r="G469" s="1">
        <v>1.53</v>
      </c>
      <c r="H469" s="1" t="s">
        <v>20</v>
      </c>
      <c r="I469" t="s">
        <v>34</v>
      </c>
      <c r="J469" t="s">
        <v>35</v>
      </c>
      <c r="K469" t="s">
        <v>36</v>
      </c>
      <c r="L469" t="s">
        <v>37</v>
      </c>
      <c r="M469" t="str">
        <f t="shared" si="21"/>
        <v>non-charge-altering-6kiu</v>
      </c>
      <c r="N469" t="str">
        <f t="shared" si="22"/>
        <v>6kiu</v>
      </c>
      <c r="O469" s="2" t="s">
        <v>38</v>
      </c>
      <c r="P469" s="2" t="str">
        <f t="shared" si="23"/>
        <v>E-F78L</v>
      </c>
    </row>
    <row r="470" spans="1:16">
      <c r="A470" s="1" t="s">
        <v>15</v>
      </c>
      <c r="B470" s="1" t="s">
        <v>16</v>
      </c>
      <c r="C470" s="1" t="s">
        <v>29</v>
      </c>
      <c r="D470" s="1">
        <v>84</v>
      </c>
      <c r="E470" s="1" t="s">
        <v>33</v>
      </c>
      <c r="F470" s="1" t="s">
        <v>39</v>
      </c>
      <c r="G470" s="1">
        <v>1.48</v>
      </c>
      <c r="H470" s="1" t="s">
        <v>20</v>
      </c>
      <c r="I470" t="s">
        <v>34</v>
      </c>
      <c r="J470" t="s">
        <v>35</v>
      </c>
      <c r="K470" t="s">
        <v>36</v>
      </c>
      <c r="L470" t="s">
        <v>37</v>
      </c>
      <c r="M470" t="str">
        <f t="shared" si="21"/>
        <v>non-charge-altering-6kiu</v>
      </c>
      <c r="N470" t="str">
        <f t="shared" si="22"/>
        <v>6kiu</v>
      </c>
      <c r="O470" s="2" t="s">
        <v>38</v>
      </c>
      <c r="P470" s="2" t="str">
        <f t="shared" si="23"/>
        <v>E-F84L</v>
      </c>
    </row>
    <row r="471" spans="1:16">
      <c r="A471" s="1" t="s">
        <v>15</v>
      </c>
      <c r="B471" s="1" t="s">
        <v>16</v>
      </c>
      <c r="C471" s="1" t="s">
        <v>29</v>
      </c>
      <c r="D471" s="1">
        <v>44</v>
      </c>
      <c r="E471" s="1" t="s">
        <v>19</v>
      </c>
      <c r="F471" s="1" t="s">
        <v>61</v>
      </c>
      <c r="G471" s="1">
        <v>0.6</v>
      </c>
      <c r="H471" s="1" t="s">
        <v>20</v>
      </c>
      <c r="I471" t="s">
        <v>34</v>
      </c>
      <c r="J471" t="s">
        <v>35</v>
      </c>
      <c r="K471" t="s">
        <v>36</v>
      </c>
      <c r="L471" t="s">
        <v>37</v>
      </c>
      <c r="M471" t="str">
        <f t="shared" si="21"/>
        <v>non-charge-altering-6kiu</v>
      </c>
      <c r="N471" t="str">
        <f t="shared" si="22"/>
        <v>6kiu</v>
      </c>
      <c r="O471" s="2" t="s">
        <v>38</v>
      </c>
      <c r="P471" s="2" t="str">
        <f t="shared" si="23"/>
        <v>E-G44V</v>
      </c>
    </row>
    <row r="472" spans="1:16">
      <c r="A472" s="1" t="s">
        <v>15</v>
      </c>
      <c r="B472" s="1" t="s">
        <v>16</v>
      </c>
      <c r="C472" s="1" t="s">
        <v>29</v>
      </c>
      <c r="D472" s="1">
        <v>112</v>
      </c>
      <c r="E472" s="1" t="s">
        <v>48</v>
      </c>
      <c r="F472" s="1" t="s">
        <v>61</v>
      </c>
      <c r="G472" s="1">
        <v>0.96</v>
      </c>
      <c r="H472" s="1" t="s">
        <v>20</v>
      </c>
      <c r="I472" t="s">
        <v>34</v>
      </c>
      <c r="J472" t="s">
        <v>35</v>
      </c>
      <c r="K472" t="s">
        <v>36</v>
      </c>
      <c r="L472" t="s">
        <v>37</v>
      </c>
      <c r="M472" t="str">
        <f t="shared" si="21"/>
        <v>non-charge-altering-6kiu</v>
      </c>
      <c r="N472" t="str">
        <f t="shared" si="22"/>
        <v>6kiu</v>
      </c>
      <c r="O472" s="2" t="s">
        <v>38</v>
      </c>
      <c r="P472" s="2" t="str">
        <f t="shared" si="23"/>
        <v>E-I112V</v>
      </c>
    </row>
    <row r="473" spans="1:16">
      <c r="A473" s="1" t="s">
        <v>15</v>
      </c>
      <c r="B473" s="1" t="s">
        <v>16</v>
      </c>
      <c r="C473" s="1" t="s">
        <v>29</v>
      </c>
      <c r="D473" s="1">
        <v>119</v>
      </c>
      <c r="E473" s="1" t="s">
        <v>48</v>
      </c>
      <c r="F473" s="1" t="s">
        <v>39</v>
      </c>
      <c r="G473" s="1">
        <v>0.76</v>
      </c>
      <c r="H473" s="1" t="s">
        <v>20</v>
      </c>
      <c r="I473" t="s">
        <v>34</v>
      </c>
      <c r="J473" t="s">
        <v>35</v>
      </c>
      <c r="K473" t="s">
        <v>36</v>
      </c>
      <c r="L473" t="s">
        <v>37</v>
      </c>
      <c r="M473" t="str">
        <f t="shared" si="21"/>
        <v>non-charge-altering-6kiu</v>
      </c>
      <c r="N473" t="str">
        <f t="shared" si="22"/>
        <v>6kiu</v>
      </c>
      <c r="O473" s="2" t="s">
        <v>38</v>
      </c>
      <c r="P473" s="2" t="str">
        <f t="shared" si="23"/>
        <v>E-I119L</v>
      </c>
    </row>
    <row r="474" spans="1:16">
      <c r="A474" s="1" t="s">
        <v>15</v>
      </c>
      <c r="B474" s="1" t="s">
        <v>16</v>
      </c>
      <c r="C474" s="1" t="s">
        <v>29</v>
      </c>
      <c r="D474" s="1">
        <v>74</v>
      </c>
      <c r="E474" s="1" t="s">
        <v>48</v>
      </c>
      <c r="F474" s="1" t="s">
        <v>61</v>
      </c>
      <c r="G474" s="1">
        <v>0.83</v>
      </c>
      <c r="H474" s="1" t="s">
        <v>20</v>
      </c>
      <c r="I474" t="s">
        <v>34</v>
      </c>
      <c r="J474" t="s">
        <v>35</v>
      </c>
      <c r="K474" t="s">
        <v>36</v>
      </c>
      <c r="L474" t="s">
        <v>37</v>
      </c>
      <c r="M474" t="str">
        <f t="shared" si="21"/>
        <v>non-charge-altering-6kiu</v>
      </c>
      <c r="N474" t="str">
        <f t="shared" si="22"/>
        <v>6kiu</v>
      </c>
      <c r="O474" s="2" t="s">
        <v>38</v>
      </c>
      <c r="P474" s="2" t="str">
        <f t="shared" si="23"/>
        <v>E-I74V</v>
      </c>
    </row>
    <row r="475" spans="1:16">
      <c r="A475" s="1" t="s">
        <v>15</v>
      </c>
      <c r="B475" s="1" t="s">
        <v>16</v>
      </c>
      <c r="C475" s="1" t="s">
        <v>29</v>
      </c>
      <c r="D475" s="1">
        <v>126</v>
      </c>
      <c r="E475" s="1" t="s">
        <v>39</v>
      </c>
      <c r="F475" s="1" t="s">
        <v>63</v>
      </c>
      <c r="G475" s="1">
        <v>0.54</v>
      </c>
      <c r="H475" s="1" t="s">
        <v>20</v>
      </c>
      <c r="I475" t="s">
        <v>34</v>
      </c>
      <c r="J475" t="s">
        <v>35</v>
      </c>
      <c r="K475" t="s">
        <v>36</v>
      </c>
      <c r="L475" t="s">
        <v>37</v>
      </c>
      <c r="M475" t="str">
        <f t="shared" si="21"/>
        <v>non-charge-altering-6kiu</v>
      </c>
      <c r="N475" t="str">
        <f t="shared" si="22"/>
        <v>6kiu</v>
      </c>
      <c r="O475" s="2" t="s">
        <v>38</v>
      </c>
      <c r="P475" s="2" t="str">
        <f t="shared" si="23"/>
        <v>E-L126M</v>
      </c>
    </row>
    <row r="476" spans="1:16">
      <c r="A476" s="1" t="s">
        <v>15</v>
      </c>
      <c r="B476" s="1" t="s">
        <v>16</v>
      </c>
      <c r="C476" s="1" t="s">
        <v>29</v>
      </c>
      <c r="D476" s="1">
        <v>126</v>
      </c>
      <c r="E476" s="1" t="s">
        <v>39</v>
      </c>
      <c r="F476" s="1" t="s">
        <v>61</v>
      </c>
      <c r="G476" s="1">
        <v>1.11</v>
      </c>
      <c r="H476" s="1" t="s">
        <v>20</v>
      </c>
      <c r="I476" t="s">
        <v>34</v>
      </c>
      <c r="J476" t="s">
        <v>35</v>
      </c>
      <c r="K476" t="s">
        <v>36</v>
      </c>
      <c r="L476" t="s">
        <v>37</v>
      </c>
      <c r="M476" t="str">
        <f t="shared" si="21"/>
        <v>non-charge-altering-6kiu</v>
      </c>
      <c r="N476" t="str">
        <f t="shared" si="22"/>
        <v>6kiu</v>
      </c>
      <c r="O476" s="2" t="s">
        <v>38</v>
      </c>
      <c r="P476" s="2" t="str">
        <f t="shared" si="23"/>
        <v>E-L126V</v>
      </c>
    </row>
    <row r="477" spans="1:16">
      <c r="A477" s="1" t="s">
        <v>15</v>
      </c>
      <c r="B477" s="1" t="s">
        <v>16</v>
      </c>
      <c r="C477" s="1" t="s">
        <v>29</v>
      </c>
      <c r="D477" s="1">
        <v>61</v>
      </c>
      <c r="E477" s="1" t="s">
        <v>39</v>
      </c>
      <c r="F477" s="1" t="s">
        <v>61</v>
      </c>
      <c r="G477" s="1">
        <v>0.99</v>
      </c>
      <c r="H477" s="1" t="s">
        <v>20</v>
      </c>
      <c r="I477" t="s">
        <v>34</v>
      </c>
      <c r="J477" t="s">
        <v>35</v>
      </c>
      <c r="K477" t="s">
        <v>36</v>
      </c>
      <c r="L477" t="s">
        <v>37</v>
      </c>
      <c r="M477" t="str">
        <f t="shared" si="21"/>
        <v>non-charge-altering-6kiu</v>
      </c>
      <c r="N477" t="str">
        <f t="shared" si="22"/>
        <v>6kiu</v>
      </c>
      <c r="O477" s="2" t="s">
        <v>38</v>
      </c>
      <c r="P477" s="2" t="str">
        <f t="shared" si="23"/>
        <v>E-L61V</v>
      </c>
    </row>
    <row r="478" spans="1:16">
      <c r="A478" s="1" t="s">
        <v>15</v>
      </c>
      <c r="B478" s="1" t="s">
        <v>16</v>
      </c>
      <c r="C478" s="1" t="s">
        <v>29</v>
      </c>
      <c r="D478" s="1">
        <v>82</v>
      </c>
      <c r="E478" s="1" t="s">
        <v>39</v>
      </c>
      <c r="F478" s="1" t="s">
        <v>33</v>
      </c>
      <c r="G478" s="1">
        <v>0.31</v>
      </c>
      <c r="H478" s="1" t="s">
        <v>20</v>
      </c>
      <c r="I478" t="s">
        <v>34</v>
      </c>
      <c r="J478" t="s">
        <v>35</v>
      </c>
      <c r="K478" t="s">
        <v>36</v>
      </c>
      <c r="L478" t="s">
        <v>37</v>
      </c>
      <c r="M478" t="str">
        <f t="shared" si="21"/>
        <v>non-charge-altering-6kiu</v>
      </c>
      <c r="N478" t="str">
        <f t="shared" si="22"/>
        <v>6kiu</v>
      </c>
      <c r="O478" s="2" t="s">
        <v>38</v>
      </c>
      <c r="P478" s="2" t="str">
        <f t="shared" si="23"/>
        <v>E-L82F</v>
      </c>
    </row>
    <row r="479" spans="1:16">
      <c r="A479" s="1" t="s">
        <v>15</v>
      </c>
      <c r="B479" s="1" t="s">
        <v>16</v>
      </c>
      <c r="C479" s="1" t="s">
        <v>29</v>
      </c>
      <c r="D479" s="1">
        <v>92</v>
      </c>
      <c r="E479" s="1" t="s">
        <v>39</v>
      </c>
      <c r="F479" s="1" t="s">
        <v>61</v>
      </c>
      <c r="G479" s="1">
        <v>2.09</v>
      </c>
      <c r="H479" s="1" t="s">
        <v>20</v>
      </c>
      <c r="I479" t="s">
        <v>34</v>
      </c>
      <c r="J479" t="s">
        <v>35</v>
      </c>
      <c r="K479" t="s">
        <v>36</v>
      </c>
      <c r="L479" t="s">
        <v>37</v>
      </c>
      <c r="M479" t="str">
        <f t="shared" si="21"/>
        <v>non-charge-altering-6kiu</v>
      </c>
      <c r="N479" t="str">
        <f t="shared" si="22"/>
        <v>6kiu</v>
      </c>
      <c r="O479" s="2" t="s">
        <v>38</v>
      </c>
      <c r="P479" s="2" t="str">
        <f t="shared" si="23"/>
        <v>E-L92V</v>
      </c>
    </row>
    <row r="480" spans="1:16">
      <c r="A480" s="1" t="s">
        <v>15</v>
      </c>
      <c r="B480" s="1" t="s">
        <v>16</v>
      </c>
      <c r="C480" s="1" t="s">
        <v>29</v>
      </c>
      <c r="D480" s="1">
        <v>120</v>
      </c>
      <c r="E480" s="1" t="s">
        <v>63</v>
      </c>
      <c r="F480" s="1" t="s">
        <v>48</v>
      </c>
      <c r="G480" s="1">
        <v>0.87</v>
      </c>
      <c r="H480" s="1" t="s">
        <v>20</v>
      </c>
      <c r="I480" t="s">
        <v>34</v>
      </c>
      <c r="J480" t="s">
        <v>35</v>
      </c>
      <c r="K480" t="s">
        <v>36</v>
      </c>
      <c r="L480" t="s">
        <v>37</v>
      </c>
      <c r="M480" t="str">
        <f t="shared" si="21"/>
        <v>non-charge-altering-6kiu</v>
      </c>
      <c r="N480" t="str">
        <f t="shared" si="22"/>
        <v>6kiu</v>
      </c>
      <c r="O480" s="2" t="s">
        <v>38</v>
      </c>
      <c r="P480" s="2" t="str">
        <f t="shared" si="23"/>
        <v>E-M120I</v>
      </c>
    </row>
    <row r="481" spans="1:16">
      <c r="A481" s="1" t="s">
        <v>15</v>
      </c>
      <c r="B481" s="1" t="s">
        <v>16</v>
      </c>
      <c r="C481" s="1" t="s">
        <v>29</v>
      </c>
      <c r="D481" s="1">
        <v>121</v>
      </c>
      <c r="E481" s="1" t="s">
        <v>58</v>
      </c>
      <c r="F481" s="1" t="s">
        <v>47</v>
      </c>
      <c r="G481" s="1">
        <v>-0.07</v>
      </c>
      <c r="H481" s="1" t="s">
        <v>59</v>
      </c>
      <c r="I481" t="s">
        <v>34</v>
      </c>
      <c r="J481" t="s">
        <v>35</v>
      </c>
      <c r="K481" t="s">
        <v>36</v>
      </c>
      <c r="L481" t="s">
        <v>37</v>
      </c>
      <c r="M481" t="str">
        <f t="shared" si="21"/>
        <v>non-charge-altering-6kiu</v>
      </c>
      <c r="N481" t="str">
        <f t="shared" si="22"/>
        <v>6kiu</v>
      </c>
      <c r="O481" s="2" t="s">
        <v>38</v>
      </c>
      <c r="P481" s="2" t="str">
        <f t="shared" si="23"/>
        <v>E-P121T</v>
      </c>
    </row>
    <row r="482" spans="1:16">
      <c r="A482" s="1" t="s">
        <v>15</v>
      </c>
      <c r="B482" s="1" t="s">
        <v>16</v>
      </c>
      <c r="C482" s="1" t="s">
        <v>29</v>
      </c>
      <c r="D482" s="1">
        <v>66</v>
      </c>
      <c r="E482" s="1" t="s">
        <v>58</v>
      </c>
      <c r="F482" s="1" t="s">
        <v>46</v>
      </c>
      <c r="G482" s="1">
        <v>0.61</v>
      </c>
      <c r="H482" s="1" t="s">
        <v>20</v>
      </c>
      <c r="I482" t="s">
        <v>34</v>
      </c>
      <c r="J482" t="s">
        <v>35</v>
      </c>
      <c r="K482" t="s">
        <v>36</v>
      </c>
      <c r="L482" t="s">
        <v>37</v>
      </c>
      <c r="M482" t="str">
        <f t="shared" si="21"/>
        <v>non-charge-altering-6kiu</v>
      </c>
      <c r="N482" t="str">
        <f t="shared" si="22"/>
        <v>6kiu</v>
      </c>
      <c r="O482" s="2" t="s">
        <v>38</v>
      </c>
      <c r="P482" s="2" t="str">
        <f t="shared" si="23"/>
        <v>E-P66S</v>
      </c>
    </row>
    <row r="483" spans="1:16">
      <c r="A483" s="1" t="s">
        <v>15</v>
      </c>
      <c r="B483" s="1" t="s">
        <v>16</v>
      </c>
      <c r="C483" s="1" t="s">
        <v>29</v>
      </c>
      <c r="D483" s="1">
        <v>128</v>
      </c>
      <c r="E483" s="1" t="s">
        <v>43</v>
      </c>
      <c r="F483" s="1" t="s">
        <v>56</v>
      </c>
      <c r="G483" s="1">
        <v>1.13</v>
      </c>
      <c r="H483" s="1" t="s">
        <v>20</v>
      </c>
      <c r="I483" t="s">
        <v>44</v>
      </c>
      <c r="J483" t="s">
        <v>35</v>
      </c>
      <c r="K483" t="s">
        <v>36</v>
      </c>
      <c r="L483" t="s">
        <v>37</v>
      </c>
      <c r="M483" t="str">
        <f t="shared" si="21"/>
        <v>non-charge-altering-6kiu</v>
      </c>
      <c r="N483" t="str">
        <f t="shared" si="22"/>
        <v>6kiu</v>
      </c>
      <c r="O483" s="2" t="s">
        <v>38</v>
      </c>
      <c r="P483" s="2" t="str">
        <f t="shared" si="23"/>
        <v>E-R128H</v>
      </c>
    </row>
    <row r="484" spans="1:16">
      <c r="A484" s="1" t="s">
        <v>15</v>
      </c>
      <c r="B484" s="1" t="s">
        <v>16</v>
      </c>
      <c r="C484" s="1" t="s">
        <v>29</v>
      </c>
      <c r="D484" s="1">
        <v>52</v>
      </c>
      <c r="E484" s="1" t="s">
        <v>43</v>
      </c>
      <c r="F484" s="1" t="s">
        <v>56</v>
      </c>
      <c r="G484" s="1">
        <v>1.75</v>
      </c>
      <c r="H484" s="1" t="s">
        <v>20</v>
      </c>
      <c r="I484" t="s">
        <v>44</v>
      </c>
      <c r="J484" t="s">
        <v>35</v>
      </c>
      <c r="K484" t="s">
        <v>36</v>
      </c>
      <c r="L484" t="s">
        <v>37</v>
      </c>
      <c r="M484" t="str">
        <f t="shared" si="21"/>
        <v>non-charge-altering-6kiu</v>
      </c>
      <c r="N484" t="str">
        <f t="shared" si="22"/>
        <v>6kiu</v>
      </c>
      <c r="O484" s="2" t="s">
        <v>38</v>
      </c>
      <c r="P484" s="2" t="str">
        <f t="shared" si="23"/>
        <v>E-R52H</v>
      </c>
    </row>
    <row r="485" spans="1:16">
      <c r="A485" s="1" t="s">
        <v>15</v>
      </c>
      <c r="B485" s="1" t="s">
        <v>16</v>
      </c>
      <c r="C485" s="1" t="s">
        <v>29</v>
      </c>
      <c r="D485" s="1">
        <v>63</v>
      </c>
      <c r="E485" s="1" t="s">
        <v>43</v>
      </c>
      <c r="F485" s="1" t="s">
        <v>56</v>
      </c>
      <c r="G485" s="1">
        <v>1.9</v>
      </c>
      <c r="H485" s="1" t="s">
        <v>20</v>
      </c>
      <c r="I485" t="s">
        <v>44</v>
      </c>
      <c r="J485" t="s">
        <v>35</v>
      </c>
      <c r="K485" t="s">
        <v>36</v>
      </c>
      <c r="L485" t="s">
        <v>37</v>
      </c>
      <c r="M485" t="str">
        <f t="shared" si="21"/>
        <v>non-charge-altering-6kiu</v>
      </c>
      <c r="N485" t="str">
        <f t="shared" si="22"/>
        <v>6kiu</v>
      </c>
      <c r="O485" s="2" t="s">
        <v>38</v>
      </c>
      <c r="P485" s="2" t="str">
        <f t="shared" si="23"/>
        <v>E-R63H</v>
      </c>
    </row>
    <row r="486" spans="1:16">
      <c r="A486" s="1" t="s">
        <v>15</v>
      </c>
      <c r="B486" s="1" t="s">
        <v>16</v>
      </c>
      <c r="C486" s="1" t="s">
        <v>29</v>
      </c>
      <c r="D486" s="1">
        <v>57</v>
      </c>
      <c r="E486" s="1" t="s">
        <v>46</v>
      </c>
      <c r="F486" s="1" t="s">
        <v>39</v>
      </c>
      <c r="G486" s="1">
        <v>1.04</v>
      </c>
      <c r="H486" s="1" t="s">
        <v>20</v>
      </c>
      <c r="I486" t="s">
        <v>34</v>
      </c>
      <c r="J486" t="s">
        <v>35</v>
      </c>
      <c r="K486" t="s">
        <v>36</v>
      </c>
      <c r="L486" t="s">
        <v>37</v>
      </c>
      <c r="M486" t="str">
        <f t="shared" si="21"/>
        <v>non-charge-altering-6kiu</v>
      </c>
      <c r="N486" t="str">
        <f t="shared" si="22"/>
        <v>6kiu</v>
      </c>
      <c r="O486" s="2" t="s">
        <v>38</v>
      </c>
      <c r="P486" s="2" t="str">
        <f t="shared" si="23"/>
        <v>E-S57L</v>
      </c>
    </row>
    <row r="487" spans="1:16">
      <c r="A487" s="1" t="s">
        <v>15</v>
      </c>
      <c r="B487" s="1" t="s">
        <v>16</v>
      </c>
      <c r="C487" s="1" t="s">
        <v>29</v>
      </c>
      <c r="D487" s="1">
        <v>58</v>
      </c>
      <c r="E487" s="1" t="s">
        <v>47</v>
      </c>
      <c r="F487" s="1" t="s">
        <v>46</v>
      </c>
      <c r="G487" s="1">
        <v>0.58</v>
      </c>
      <c r="H487" s="1" t="s">
        <v>20</v>
      </c>
      <c r="I487" t="s">
        <v>34</v>
      </c>
      <c r="J487" t="s">
        <v>35</v>
      </c>
      <c r="K487" t="s">
        <v>36</v>
      </c>
      <c r="L487" t="s">
        <v>37</v>
      </c>
      <c r="M487" t="str">
        <f t="shared" si="21"/>
        <v>non-charge-altering-6kiu</v>
      </c>
      <c r="N487" t="str">
        <f t="shared" si="22"/>
        <v>6kiu</v>
      </c>
      <c r="O487" s="2" t="s">
        <v>38</v>
      </c>
      <c r="P487" s="2" t="str">
        <f t="shared" si="23"/>
        <v>E-T58S</v>
      </c>
    </row>
    <row r="488" spans="1:16">
      <c r="A488" s="1" t="s">
        <v>15</v>
      </c>
      <c r="B488" s="1" t="s">
        <v>16</v>
      </c>
      <c r="C488" s="1" t="s">
        <v>29</v>
      </c>
      <c r="D488" s="1">
        <v>117</v>
      </c>
      <c r="E488" s="1" t="s">
        <v>61</v>
      </c>
      <c r="F488" s="1" t="s">
        <v>19</v>
      </c>
      <c r="G488" s="1">
        <v>1.3</v>
      </c>
      <c r="H488" s="1" t="s">
        <v>20</v>
      </c>
      <c r="I488" t="s">
        <v>34</v>
      </c>
      <c r="J488" t="s">
        <v>35</v>
      </c>
      <c r="K488" t="s">
        <v>36</v>
      </c>
      <c r="L488" t="s">
        <v>37</v>
      </c>
      <c r="M488" t="str">
        <f t="shared" si="21"/>
        <v>non-charge-altering-6kiu</v>
      </c>
      <c r="N488" t="str">
        <f t="shared" si="22"/>
        <v>6kiu</v>
      </c>
      <c r="O488" s="2" t="s">
        <v>38</v>
      </c>
      <c r="P488" s="2" t="str">
        <f t="shared" si="23"/>
        <v>E-V117G</v>
      </c>
    </row>
    <row r="489" spans="1:16">
      <c r="A489" s="1" t="s">
        <v>15</v>
      </c>
      <c r="B489" s="1" t="s">
        <v>16</v>
      </c>
      <c r="C489" s="1" t="s">
        <v>29</v>
      </c>
      <c r="D489" s="1">
        <v>117</v>
      </c>
      <c r="E489" s="1" t="s">
        <v>61</v>
      </c>
      <c r="F489" s="1" t="s">
        <v>63</v>
      </c>
      <c r="G489" s="1">
        <v>0.52</v>
      </c>
      <c r="H489" s="1" t="s">
        <v>20</v>
      </c>
      <c r="I489" t="s">
        <v>34</v>
      </c>
      <c r="J489" t="s">
        <v>35</v>
      </c>
      <c r="K489" t="s">
        <v>36</v>
      </c>
      <c r="L489" t="s">
        <v>37</v>
      </c>
      <c r="M489" t="str">
        <f t="shared" si="21"/>
        <v>non-charge-altering-6kiu</v>
      </c>
      <c r="N489" t="str">
        <f t="shared" si="22"/>
        <v>6kiu</v>
      </c>
      <c r="O489" s="2" t="s">
        <v>38</v>
      </c>
      <c r="P489" s="2" t="str">
        <f t="shared" si="23"/>
        <v>E-V117M</v>
      </c>
    </row>
    <row r="490" spans="1:16">
      <c r="A490" s="1" t="s">
        <v>15</v>
      </c>
      <c r="B490" s="1" t="s">
        <v>16</v>
      </c>
      <c r="C490" s="1" t="s">
        <v>29</v>
      </c>
      <c r="D490" s="1">
        <v>71</v>
      </c>
      <c r="E490" s="1" t="s">
        <v>61</v>
      </c>
      <c r="F490" s="1" t="s">
        <v>39</v>
      </c>
      <c r="G490" s="1">
        <v>0.48</v>
      </c>
      <c r="H490" s="1" t="s">
        <v>20</v>
      </c>
      <c r="I490" t="s">
        <v>34</v>
      </c>
      <c r="J490" t="s">
        <v>35</v>
      </c>
      <c r="K490" t="s">
        <v>36</v>
      </c>
      <c r="L490" t="s">
        <v>37</v>
      </c>
      <c r="M490" t="str">
        <f t="shared" si="21"/>
        <v>non-charge-altering-6kiu</v>
      </c>
      <c r="N490" t="str">
        <f t="shared" si="22"/>
        <v>6kiu</v>
      </c>
      <c r="O490" s="2" t="s">
        <v>38</v>
      </c>
      <c r="P490" s="2" t="str">
        <f t="shared" si="23"/>
        <v>E-V71L</v>
      </c>
    </row>
    <row r="491" spans="1:16">
      <c r="A491" s="1" t="s">
        <v>15</v>
      </c>
      <c r="B491" s="1" t="s">
        <v>16</v>
      </c>
      <c r="C491" s="1" t="s">
        <v>29</v>
      </c>
      <c r="D491" s="1">
        <v>54</v>
      </c>
      <c r="E491" s="1" t="s">
        <v>49</v>
      </c>
      <c r="F491" s="1" t="s">
        <v>41</v>
      </c>
      <c r="G491" s="1">
        <v>2.23</v>
      </c>
      <c r="H491" s="1" t="s">
        <v>20</v>
      </c>
      <c r="I491" t="s">
        <v>34</v>
      </c>
      <c r="J491" t="s">
        <v>35</v>
      </c>
      <c r="K491" t="s">
        <v>36</v>
      </c>
      <c r="L491" t="s">
        <v>37</v>
      </c>
      <c r="M491" t="str">
        <f t="shared" si="21"/>
        <v>non-charge-altering-6kiu</v>
      </c>
      <c r="N491" t="str">
        <f t="shared" si="22"/>
        <v>6kiu</v>
      </c>
      <c r="O491" s="2" t="s">
        <v>38</v>
      </c>
      <c r="P491" s="2" t="str">
        <f t="shared" si="23"/>
        <v>E-Y54N</v>
      </c>
    </row>
    <row r="492" spans="1:16">
      <c r="A492" s="1" t="s">
        <v>15</v>
      </c>
      <c r="B492" s="1" t="s">
        <v>16</v>
      </c>
      <c r="C492" s="1" t="s">
        <v>28</v>
      </c>
      <c r="D492" s="1">
        <v>53</v>
      </c>
      <c r="E492" s="1" t="s">
        <v>29</v>
      </c>
      <c r="F492" s="1" t="s">
        <v>18</v>
      </c>
      <c r="G492" s="1">
        <v>0.97</v>
      </c>
      <c r="H492" s="1" t="s">
        <v>20</v>
      </c>
      <c r="I492" t="s">
        <v>62</v>
      </c>
      <c r="J492" t="s">
        <v>35</v>
      </c>
      <c r="K492" t="s">
        <v>36</v>
      </c>
      <c r="L492" t="s">
        <v>37</v>
      </c>
      <c r="M492" t="str">
        <f t="shared" si="21"/>
        <v>non-charge-altering-6kiu</v>
      </c>
      <c r="N492" t="str">
        <f t="shared" si="22"/>
        <v>6kiu</v>
      </c>
      <c r="O492" s="2" t="s">
        <v>31</v>
      </c>
      <c r="P492" s="2" t="str">
        <f t="shared" si="23"/>
        <v>B-E53D</v>
      </c>
    </row>
    <row r="493" spans="1:16">
      <c r="A493" s="1" t="s">
        <v>15</v>
      </c>
      <c r="B493" s="1" t="s">
        <v>16</v>
      </c>
      <c r="C493" s="1" t="s">
        <v>28</v>
      </c>
      <c r="D493" s="1">
        <v>63</v>
      </c>
      <c r="E493" s="1" t="s">
        <v>29</v>
      </c>
      <c r="F493" s="1" t="s">
        <v>18</v>
      </c>
      <c r="G493" s="1">
        <v>1.28</v>
      </c>
      <c r="H493" s="1" t="s">
        <v>20</v>
      </c>
      <c r="I493" t="s">
        <v>62</v>
      </c>
      <c r="J493" t="s">
        <v>35</v>
      </c>
      <c r="K493" t="s">
        <v>36</v>
      </c>
      <c r="L493" t="s">
        <v>37</v>
      </c>
      <c r="M493" t="str">
        <f t="shared" si="21"/>
        <v>non-charge-altering-6kiu</v>
      </c>
      <c r="N493" t="str">
        <f t="shared" si="22"/>
        <v>6kiu</v>
      </c>
      <c r="O493" s="2" t="s">
        <v>31</v>
      </c>
      <c r="P493" s="2" t="str">
        <f t="shared" si="23"/>
        <v>B-E63D</v>
      </c>
    </row>
    <row r="494" spans="1:16">
      <c r="A494" s="1" t="s">
        <v>15</v>
      </c>
      <c r="B494" s="1" t="s">
        <v>16</v>
      </c>
      <c r="C494" s="1" t="s">
        <v>28</v>
      </c>
      <c r="D494" s="1">
        <v>61</v>
      </c>
      <c r="E494" s="1" t="s">
        <v>33</v>
      </c>
      <c r="F494" s="1" t="s">
        <v>17</v>
      </c>
      <c r="G494" s="1">
        <v>1.56</v>
      </c>
      <c r="H494" s="1" t="s">
        <v>20</v>
      </c>
      <c r="I494" t="s">
        <v>34</v>
      </c>
      <c r="J494" t="s">
        <v>35</v>
      </c>
      <c r="K494" t="s">
        <v>36</v>
      </c>
      <c r="L494" t="s">
        <v>37</v>
      </c>
      <c r="M494" t="str">
        <f t="shared" si="21"/>
        <v>non-charge-altering-6kiu</v>
      </c>
      <c r="N494" t="str">
        <f t="shared" si="22"/>
        <v>6kiu</v>
      </c>
      <c r="O494" s="2" t="s">
        <v>31</v>
      </c>
      <c r="P494" s="2" t="str">
        <f t="shared" si="23"/>
        <v>B-F61C</v>
      </c>
    </row>
    <row r="495" spans="1:16">
      <c r="A495" s="1" t="s">
        <v>15</v>
      </c>
      <c r="B495" s="1" t="s">
        <v>16</v>
      </c>
      <c r="C495" s="1" t="s">
        <v>28</v>
      </c>
      <c r="D495" s="1">
        <v>61</v>
      </c>
      <c r="E495" s="1" t="s">
        <v>33</v>
      </c>
      <c r="F495" s="1" t="s">
        <v>39</v>
      </c>
      <c r="G495" s="1">
        <v>1.65</v>
      </c>
      <c r="H495" s="1" t="s">
        <v>20</v>
      </c>
      <c r="I495" t="s">
        <v>34</v>
      </c>
      <c r="J495" t="s">
        <v>35</v>
      </c>
      <c r="K495" t="s">
        <v>36</v>
      </c>
      <c r="L495" t="s">
        <v>37</v>
      </c>
      <c r="M495" t="str">
        <f t="shared" si="21"/>
        <v>non-charge-altering-6kiu</v>
      </c>
      <c r="N495" t="str">
        <f t="shared" si="22"/>
        <v>6kiu</v>
      </c>
      <c r="O495" s="2" t="s">
        <v>31</v>
      </c>
      <c r="P495" s="2" t="str">
        <f t="shared" si="23"/>
        <v>B-F61L</v>
      </c>
    </row>
    <row r="496" spans="1:16">
      <c r="A496" s="1" t="s">
        <v>15</v>
      </c>
      <c r="B496" s="1" t="s">
        <v>16</v>
      </c>
      <c r="C496" s="1" t="s">
        <v>28</v>
      </c>
      <c r="D496" s="1">
        <v>28</v>
      </c>
      <c r="E496" s="1" t="s">
        <v>19</v>
      </c>
      <c r="F496" s="1" t="s">
        <v>61</v>
      </c>
      <c r="G496" s="1">
        <v>1.24</v>
      </c>
      <c r="H496" s="1" t="s">
        <v>20</v>
      </c>
      <c r="I496" t="s">
        <v>34</v>
      </c>
      <c r="J496" t="s">
        <v>35</v>
      </c>
      <c r="K496" t="s">
        <v>36</v>
      </c>
      <c r="L496" t="s">
        <v>37</v>
      </c>
      <c r="M496" t="str">
        <f t="shared" si="21"/>
        <v>non-charge-altering-6kiu</v>
      </c>
      <c r="N496" t="str">
        <f t="shared" si="22"/>
        <v>6kiu</v>
      </c>
      <c r="O496" s="2" t="s">
        <v>31</v>
      </c>
      <c r="P496" s="2" t="str">
        <f t="shared" si="23"/>
        <v>B-G28V</v>
      </c>
    </row>
    <row r="497" spans="1:16">
      <c r="A497" s="1" t="s">
        <v>15</v>
      </c>
      <c r="B497" s="1" t="s">
        <v>16</v>
      </c>
      <c r="C497" s="1" t="s">
        <v>28</v>
      </c>
      <c r="D497" s="1">
        <v>42</v>
      </c>
      <c r="E497" s="1" t="s">
        <v>19</v>
      </c>
      <c r="F497" s="1" t="s">
        <v>61</v>
      </c>
      <c r="G497" s="1">
        <v>0.64</v>
      </c>
      <c r="H497" s="1" t="s">
        <v>20</v>
      </c>
      <c r="I497" t="s">
        <v>34</v>
      </c>
      <c r="J497" t="s">
        <v>35</v>
      </c>
      <c r="K497" t="s">
        <v>36</v>
      </c>
      <c r="L497" t="s">
        <v>37</v>
      </c>
      <c r="M497" t="str">
        <f t="shared" si="21"/>
        <v>non-charge-altering-6kiu</v>
      </c>
      <c r="N497" t="str">
        <f t="shared" si="22"/>
        <v>6kiu</v>
      </c>
      <c r="O497" s="2" t="s">
        <v>31</v>
      </c>
      <c r="P497" s="2" t="str">
        <f t="shared" si="23"/>
        <v>B-G42V</v>
      </c>
    </row>
    <row r="498" spans="1:16">
      <c r="A498" s="1" t="s">
        <v>15</v>
      </c>
      <c r="B498" s="1" t="s">
        <v>16</v>
      </c>
      <c r="C498" s="1" t="s">
        <v>28</v>
      </c>
      <c r="D498" s="1">
        <v>94</v>
      </c>
      <c r="E498" s="1" t="s">
        <v>19</v>
      </c>
      <c r="F498" s="1" t="s">
        <v>17</v>
      </c>
      <c r="G498" s="1">
        <v>0.63</v>
      </c>
      <c r="H498" s="1" t="s">
        <v>20</v>
      </c>
      <c r="I498" t="s">
        <v>34</v>
      </c>
      <c r="J498" t="s">
        <v>35</v>
      </c>
      <c r="K498" t="s">
        <v>36</v>
      </c>
      <c r="L498" t="s">
        <v>37</v>
      </c>
      <c r="M498" t="str">
        <f t="shared" si="21"/>
        <v>non-charge-altering-6kiu</v>
      </c>
      <c r="N498" t="str">
        <f t="shared" si="22"/>
        <v>6kiu</v>
      </c>
      <c r="O498" s="2" t="s">
        <v>31</v>
      </c>
      <c r="P498" s="2" t="str">
        <f t="shared" si="23"/>
        <v>B-G94C</v>
      </c>
    </row>
    <row r="499" spans="1:16">
      <c r="A499" s="1" t="s">
        <v>15</v>
      </c>
      <c r="B499" s="1" t="s">
        <v>16</v>
      </c>
      <c r="C499" s="1" t="s">
        <v>28</v>
      </c>
      <c r="D499" s="1">
        <v>50</v>
      </c>
      <c r="E499" s="1" t="s">
        <v>48</v>
      </c>
      <c r="F499" s="1" t="s">
        <v>63</v>
      </c>
      <c r="G499" s="1">
        <v>0.73</v>
      </c>
      <c r="H499" s="1" t="s">
        <v>20</v>
      </c>
      <c r="I499" t="s">
        <v>34</v>
      </c>
      <c r="J499" t="s">
        <v>35</v>
      </c>
      <c r="K499" t="s">
        <v>36</v>
      </c>
      <c r="L499" t="s">
        <v>37</v>
      </c>
      <c r="M499" t="str">
        <f t="shared" si="21"/>
        <v>non-charge-altering-6kiu</v>
      </c>
      <c r="N499" t="str">
        <f t="shared" si="22"/>
        <v>6kiu</v>
      </c>
      <c r="O499" s="2" t="s">
        <v>31</v>
      </c>
      <c r="P499" s="2" t="str">
        <f t="shared" si="23"/>
        <v>B-I50M</v>
      </c>
    </row>
    <row r="500" spans="1:16">
      <c r="A500" s="1" t="s">
        <v>15</v>
      </c>
      <c r="B500" s="1" t="s">
        <v>16</v>
      </c>
      <c r="C500" s="1" t="s">
        <v>28</v>
      </c>
      <c r="D500" s="1">
        <v>50</v>
      </c>
      <c r="E500" s="1" t="s">
        <v>48</v>
      </c>
      <c r="F500" s="1" t="s">
        <v>47</v>
      </c>
      <c r="G500" s="1">
        <v>0.71</v>
      </c>
      <c r="H500" s="1" t="s">
        <v>20</v>
      </c>
      <c r="I500" t="s">
        <v>34</v>
      </c>
      <c r="J500" t="s">
        <v>35</v>
      </c>
      <c r="K500" t="s">
        <v>36</v>
      </c>
      <c r="L500" t="s">
        <v>37</v>
      </c>
      <c r="M500" t="str">
        <f t="shared" si="21"/>
        <v>non-charge-altering-6kiu</v>
      </c>
      <c r="N500" t="str">
        <f t="shared" si="22"/>
        <v>6kiu</v>
      </c>
      <c r="O500" s="2" t="s">
        <v>31</v>
      </c>
      <c r="P500" s="2" t="str">
        <f t="shared" si="23"/>
        <v>B-I50T</v>
      </c>
    </row>
    <row r="501" spans="1:16">
      <c r="A501" s="1" t="s">
        <v>15</v>
      </c>
      <c r="B501" s="1" t="s">
        <v>16</v>
      </c>
      <c r="C501" s="1" t="s">
        <v>28</v>
      </c>
      <c r="D501" s="1">
        <v>22</v>
      </c>
      <c r="E501" s="1" t="s">
        <v>39</v>
      </c>
      <c r="F501" s="1" t="s">
        <v>63</v>
      </c>
      <c r="G501" s="1">
        <v>0.67</v>
      </c>
      <c r="H501" s="1" t="s">
        <v>20</v>
      </c>
      <c r="I501" t="s">
        <v>34</v>
      </c>
      <c r="J501" t="s">
        <v>35</v>
      </c>
      <c r="K501" t="s">
        <v>36</v>
      </c>
      <c r="L501" t="s">
        <v>37</v>
      </c>
      <c r="M501" t="str">
        <f t="shared" si="21"/>
        <v>non-charge-altering-6kiu</v>
      </c>
      <c r="N501" t="str">
        <f t="shared" si="22"/>
        <v>6kiu</v>
      </c>
      <c r="O501" s="2" t="s">
        <v>31</v>
      </c>
      <c r="P501" s="2" t="str">
        <f t="shared" si="23"/>
        <v>B-L22M</v>
      </c>
    </row>
    <row r="502" spans="1:16">
      <c r="A502" s="1" t="s">
        <v>15</v>
      </c>
      <c r="B502" s="1" t="s">
        <v>16</v>
      </c>
      <c r="C502" s="1" t="s">
        <v>28</v>
      </c>
      <c r="D502" s="1">
        <v>49</v>
      </c>
      <c r="E502" s="1" t="s">
        <v>39</v>
      </c>
      <c r="F502" s="1" t="s">
        <v>33</v>
      </c>
      <c r="G502" s="1">
        <v>0.62</v>
      </c>
      <c r="H502" s="1" t="s">
        <v>20</v>
      </c>
      <c r="I502" t="s">
        <v>34</v>
      </c>
      <c r="J502" t="s">
        <v>35</v>
      </c>
      <c r="K502" t="s">
        <v>36</v>
      </c>
      <c r="L502" t="s">
        <v>37</v>
      </c>
      <c r="M502" t="str">
        <f t="shared" si="21"/>
        <v>non-charge-altering-6kiu</v>
      </c>
      <c r="N502" t="str">
        <f t="shared" si="22"/>
        <v>6kiu</v>
      </c>
      <c r="O502" s="2" t="s">
        <v>31</v>
      </c>
      <c r="P502" s="2" t="str">
        <f t="shared" si="23"/>
        <v>B-L49F</v>
      </c>
    </row>
    <row r="503" spans="1:16">
      <c r="A503" s="1" t="s">
        <v>15</v>
      </c>
      <c r="B503" s="1" t="s">
        <v>16</v>
      </c>
      <c r="C503" s="1" t="s">
        <v>28</v>
      </c>
      <c r="D503" s="1">
        <v>97</v>
      </c>
      <c r="E503" s="1" t="s">
        <v>39</v>
      </c>
      <c r="F503" s="1" t="s">
        <v>33</v>
      </c>
      <c r="G503" s="1">
        <v>0.69</v>
      </c>
      <c r="H503" s="1" t="s">
        <v>20</v>
      </c>
      <c r="I503" t="s">
        <v>34</v>
      </c>
      <c r="J503" t="s">
        <v>35</v>
      </c>
      <c r="K503" t="s">
        <v>36</v>
      </c>
      <c r="L503" t="s">
        <v>37</v>
      </c>
      <c r="M503" t="str">
        <f t="shared" si="21"/>
        <v>non-charge-altering-6kiu</v>
      </c>
      <c r="N503" t="str">
        <f t="shared" si="22"/>
        <v>6kiu</v>
      </c>
      <c r="O503" s="2" t="s">
        <v>31</v>
      </c>
      <c r="P503" s="2" t="str">
        <f t="shared" si="23"/>
        <v>B-L97F</v>
      </c>
    </row>
    <row r="504" spans="1:16">
      <c r="A504" s="1" t="s">
        <v>15</v>
      </c>
      <c r="B504" s="1" t="s">
        <v>16</v>
      </c>
      <c r="C504" s="1" t="s">
        <v>28</v>
      </c>
      <c r="D504" s="1">
        <v>71</v>
      </c>
      <c r="E504" s="1" t="s">
        <v>47</v>
      </c>
      <c r="F504" s="1" t="s">
        <v>46</v>
      </c>
      <c r="G504" s="1">
        <v>0.86</v>
      </c>
      <c r="H504" s="1" t="s">
        <v>20</v>
      </c>
      <c r="I504" t="s">
        <v>34</v>
      </c>
      <c r="J504" t="s">
        <v>35</v>
      </c>
      <c r="K504" t="s">
        <v>36</v>
      </c>
      <c r="L504" t="s">
        <v>37</v>
      </c>
      <c r="M504" t="str">
        <f t="shared" si="21"/>
        <v>non-charge-altering-6kiu</v>
      </c>
      <c r="N504" t="str">
        <f t="shared" si="22"/>
        <v>6kiu</v>
      </c>
      <c r="O504" s="2" t="s">
        <v>31</v>
      </c>
      <c r="P504" s="2" t="str">
        <f t="shared" si="23"/>
        <v>B-T71S</v>
      </c>
    </row>
    <row r="505" spans="1:16">
      <c r="A505" s="1" t="s">
        <v>15</v>
      </c>
      <c r="B505" s="1" t="s">
        <v>16</v>
      </c>
      <c r="C505" s="1" t="s">
        <v>28</v>
      </c>
      <c r="D505" s="1">
        <v>80</v>
      </c>
      <c r="E505" s="1" t="s">
        <v>47</v>
      </c>
      <c r="F505" s="1" t="s">
        <v>32</v>
      </c>
      <c r="G505" s="1">
        <v>0.53</v>
      </c>
      <c r="H505" s="1" t="s">
        <v>20</v>
      </c>
      <c r="I505" t="s">
        <v>34</v>
      </c>
      <c r="J505" t="s">
        <v>35</v>
      </c>
      <c r="K505" t="s">
        <v>36</v>
      </c>
      <c r="L505" t="s">
        <v>37</v>
      </c>
      <c r="M505" t="str">
        <f t="shared" si="21"/>
        <v>non-charge-altering-6kiu</v>
      </c>
      <c r="N505" t="str">
        <f t="shared" si="22"/>
        <v>6kiu</v>
      </c>
      <c r="O505" s="2" t="s">
        <v>31</v>
      </c>
      <c r="P505" s="2" t="str">
        <f t="shared" si="23"/>
        <v>B-T80A</v>
      </c>
    </row>
    <row r="506" spans="1:16">
      <c r="A506" s="1" t="s">
        <v>15</v>
      </c>
      <c r="B506" s="1" t="s">
        <v>16</v>
      </c>
      <c r="C506" s="1" t="s">
        <v>28</v>
      </c>
      <c r="D506" s="1">
        <v>57</v>
      </c>
      <c r="E506" s="1" t="s">
        <v>61</v>
      </c>
      <c r="F506" s="1" t="s">
        <v>39</v>
      </c>
      <c r="G506" s="1">
        <v>0.18</v>
      </c>
      <c r="H506" s="1" t="s">
        <v>20</v>
      </c>
      <c r="I506" t="s">
        <v>34</v>
      </c>
      <c r="J506" t="s">
        <v>35</v>
      </c>
      <c r="K506" t="s">
        <v>36</v>
      </c>
      <c r="L506" t="s">
        <v>37</v>
      </c>
      <c r="M506" t="str">
        <f t="shared" si="21"/>
        <v>non-charge-altering-6kiu</v>
      </c>
      <c r="N506" t="str">
        <f t="shared" si="22"/>
        <v>6kiu</v>
      </c>
      <c r="O506" s="2" t="s">
        <v>31</v>
      </c>
      <c r="P506" s="2" t="str">
        <f t="shared" si="23"/>
        <v>B-V57L</v>
      </c>
    </row>
    <row r="507" spans="1:16">
      <c r="A507" s="1" t="s">
        <v>15</v>
      </c>
      <c r="B507" s="1" t="s">
        <v>16</v>
      </c>
      <c r="C507" s="1" t="s">
        <v>33</v>
      </c>
      <c r="D507" s="1">
        <v>53</v>
      </c>
      <c r="E507" s="1" t="s">
        <v>29</v>
      </c>
      <c r="F507" s="1" t="s">
        <v>18</v>
      </c>
      <c r="G507" s="1">
        <v>0.97</v>
      </c>
      <c r="H507" s="1" t="s">
        <v>20</v>
      </c>
      <c r="I507" t="s">
        <v>62</v>
      </c>
      <c r="J507" t="s">
        <v>35</v>
      </c>
      <c r="K507" t="s">
        <v>36</v>
      </c>
      <c r="L507" t="s">
        <v>37</v>
      </c>
      <c r="M507" t="str">
        <f t="shared" si="21"/>
        <v>non-charge-altering-6kiu</v>
      </c>
      <c r="N507" t="str">
        <f t="shared" si="22"/>
        <v>6kiu</v>
      </c>
      <c r="O507" s="2" t="s">
        <v>31</v>
      </c>
      <c r="P507" s="2" t="str">
        <f t="shared" si="23"/>
        <v>F-E53D</v>
      </c>
    </row>
    <row r="508" spans="1:16">
      <c r="A508" s="1" t="s">
        <v>15</v>
      </c>
      <c r="B508" s="1" t="s">
        <v>16</v>
      </c>
      <c r="C508" s="1" t="s">
        <v>33</v>
      </c>
      <c r="D508" s="1">
        <v>63</v>
      </c>
      <c r="E508" s="1" t="s">
        <v>29</v>
      </c>
      <c r="F508" s="1" t="s">
        <v>18</v>
      </c>
      <c r="G508" s="1">
        <v>1.28</v>
      </c>
      <c r="H508" s="1" t="s">
        <v>20</v>
      </c>
      <c r="I508" t="s">
        <v>62</v>
      </c>
      <c r="J508" t="s">
        <v>35</v>
      </c>
      <c r="K508" t="s">
        <v>36</v>
      </c>
      <c r="L508" t="s">
        <v>37</v>
      </c>
      <c r="M508" t="str">
        <f t="shared" si="21"/>
        <v>non-charge-altering-6kiu</v>
      </c>
      <c r="N508" t="str">
        <f t="shared" si="22"/>
        <v>6kiu</v>
      </c>
      <c r="O508" s="2" t="s">
        <v>31</v>
      </c>
      <c r="P508" s="2" t="str">
        <f t="shared" si="23"/>
        <v>F-E63D</v>
      </c>
    </row>
    <row r="509" spans="1:16">
      <c r="A509" s="1" t="s">
        <v>15</v>
      </c>
      <c r="B509" s="1" t="s">
        <v>16</v>
      </c>
      <c r="C509" s="1" t="s">
        <v>33</v>
      </c>
      <c r="D509" s="1">
        <v>61</v>
      </c>
      <c r="E509" s="1" t="s">
        <v>33</v>
      </c>
      <c r="F509" s="1" t="s">
        <v>17</v>
      </c>
      <c r="G509" s="1">
        <v>1.7</v>
      </c>
      <c r="H509" s="1" t="s">
        <v>20</v>
      </c>
      <c r="I509" t="s">
        <v>34</v>
      </c>
      <c r="J509" t="s">
        <v>35</v>
      </c>
      <c r="K509" t="s">
        <v>36</v>
      </c>
      <c r="L509" t="s">
        <v>37</v>
      </c>
      <c r="M509" t="str">
        <f t="shared" si="21"/>
        <v>non-charge-altering-6kiu</v>
      </c>
      <c r="N509" t="str">
        <f t="shared" si="22"/>
        <v>6kiu</v>
      </c>
      <c r="O509" s="2" t="s">
        <v>31</v>
      </c>
      <c r="P509" s="2" t="str">
        <f t="shared" si="23"/>
        <v>F-F61C</v>
      </c>
    </row>
    <row r="510" spans="1:16">
      <c r="A510" s="1" t="s">
        <v>15</v>
      </c>
      <c r="B510" s="1" t="s">
        <v>16</v>
      </c>
      <c r="C510" s="1" t="s">
        <v>33</v>
      </c>
      <c r="D510" s="1">
        <v>61</v>
      </c>
      <c r="E510" s="1" t="s">
        <v>33</v>
      </c>
      <c r="F510" s="1" t="s">
        <v>39</v>
      </c>
      <c r="G510" s="1">
        <v>1.77</v>
      </c>
      <c r="H510" s="1" t="s">
        <v>20</v>
      </c>
      <c r="I510" t="s">
        <v>34</v>
      </c>
      <c r="J510" t="s">
        <v>35</v>
      </c>
      <c r="K510" t="s">
        <v>36</v>
      </c>
      <c r="L510" t="s">
        <v>37</v>
      </c>
      <c r="M510" t="str">
        <f t="shared" si="21"/>
        <v>non-charge-altering-6kiu</v>
      </c>
      <c r="N510" t="str">
        <f t="shared" si="22"/>
        <v>6kiu</v>
      </c>
      <c r="O510" s="2" t="s">
        <v>31</v>
      </c>
      <c r="P510" s="2" t="str">
        <f t="shared" si="23"/>
        <v>F-F61L</v>
      </c>
    </row>
    <row r="511" spans="1:16">
      <c r="A511" s="1" t="s">
        <v>15</v>
      </c>
      <c r="B511" s="1" t="s">
        <v>16</v>
      </c>
      <c r="C511" s="1" t="s">
        <v>33</v>
      </c>
      <c r="D511" s="1">
        <v>28</v>
      </c>
      <c r="E511" s="1" t="s">
        <v>19</v>
      </c>
      <c r="F511" s="1" t="s">
        <v>61</v>
      </c>
      <c r="G511" s="1">
        <v>1.32</v>
      </c>
      <c r="H511" s="1" t="s">
        <v>20</v>
      </c>
      <c r="I511" t="s">
        <v>34</v>
      </c>
      <c r="J511" t="s">
        <v>35</v>
      </c>
      <c r="K511" t="s">
        <v>36</v>
      </c>
      <c r="L511" t="s">
        <v>37</v>
      </c>
      <c r="M511" t="str">
        <f t="shared" si="21"/>
        <v>non-charge-altering-6kiu</v>
      </c>
      <c r="N511" t="str">
        <f t="shared" si="22"/>
        <v>6kiu</v>
      </c>
      <c r="O511" s="2" t="s">
        <v>31</v>
      </c>
      <c r="P511" s="2" t="str">
        <f t="shared" si="23"/>
        <v>F-G28V</v>
      </c>
    </row>
    <row r="512" spans="1:16">
      <c r="A512" s="1" t="s">
        <v>15</v>
      </c>
      <c r="B512" s="1" t="s">
        <v>16</v>
      </c>
      <c r="C512" s="1" t="s">
        <v>33</v>
      </c>
      <c r="D512" s="1">
        <v>42</v>
      </c>
      <c r="E512" s="1" t="s">
        <v>19</v>
      </c>
      <c r="F512" s="1" t="s">
        <v>61</v>
      </c>
      <c r="G512" s="1">
        <v>0.62</v>
      </c>
      <c r="H512" s="1" t="s">
        <v>20</v>
      </c>
      <c r="I512" t="s">
        <v>34</v>
      </c>
      <c r="J512" t="s">
        <v>35</v>
      </c>
      <c r="K512" t="s">
        <v>36</v>
      </c>
      <c r="L512" t="s">
        <v>37</v>
      </c>
      <c r="M512" t="str">
        <f t="shared" si="21"/>
        <v>non-charge-altering-6kiu</v>
      </c>
      <c r="N512" t="str">
        <f t="shared" si="22"/>
        <v>6kiu</v>
      </c>
      <c r="O512" s="2" t="s">
        <v>31</v>
      </c>
      <c r="P512" s="2" t="str">
        <f t="shared" si="23"/>
        <v>F-G42V</v>
      </c>
    </row>
    <row r="513" spans="1:16">
      <c r="A513" s="1" t="s">
        <v>15</v>
      </c>
      <c r="B513" s="1" t="s">
        <v>16</v>
      </c>
      <c r="C513" s="1" t="s">
        <v>33</v>
      </c>
      <c r="D513" s="1">
        <v>94</v>
      </c>
      <c r="E513" s="1" t="s">
        <v>19</v>
      </c>
      <c r="F513" s="1" t="s">
        <v>17</v>
      </c>
      <c r="G513" s="1">
        <v>0.63</v>
      </c>
      <c r="H513" s="1" t="s">
        <v>20</v>
      </c>
      <c r="I513" t="s">
        <v>34</v>
      </c>
      <c r="J513" t="s">
        <v>35</v>
      </c>
      <c r="K513" t="s">
        <v>36</v>
      </c>
      <c r="L513" t="s">
        <v>37</v>
      </c>
      <c r="M513" t="str">
        <f t="shared" si="21"/>
        <v>non-charge-altering-6kiu</v>
      </c>
      <c r="N513" t="str">
        <f t="shared" si="22"/>
        <v>6kiu</v>
      </c>
      <c r="O513" s="2" t="s">
        <v>31</v>
      </c>
      <c r="P513" s="2" t="str">
        <f t="shared" si="23"/>
        <v>F-G94C</v>
      </c>
    </row>
    <row r="514" spans="1:16">
      <c r="A514" s="1" t="s">
        <v>15</v>
      </c>
      <c r="B514" s="1" t="s">
        <v>16</v>
      </c>
      <c r="C514" s="1" t="s">
        <v>33</v>
      </c>
      <c r="D514" s="1">
        <v>50</v>
      </c>
      <c r="E514" s="1" t="s">
        <v>48</v>
      </c>
      <c r="F514" s="1" t="s">
        <v>63</v>
      </c>
      <c r="G514" s="1">
        <v>0.73</v>
      </c>
      <c r="H514" s="1" t="s">
        <v>20</v>
      </c>
      <c r="I514" t="s">
        <v>34</v>
      </c>
      <c r="J514" t="s">
        <v>35</v>
      </c>
      <c r="K514" t="s">
        <v>36</v>
      </c>
      <c r="L514" t="s">
        <v>37</v>
      </c>
      <c r="M514" t="str">
        <f t="shared" ref="M514:M577" si="24">L514&amp;"-"&amp;LEFT(A514,4)</f>
        <v>non-charge-altering-6kiu</v>
      </c>
      <c r="N514" t="str">
        <f t="shared" ref="N514:N577" si="25">LEFT(A514,4)</f>
        <v>6kiu</v>
      </c>
      <c r="O514" s="2" t="s">
        <v>31</v>
      </c>
      <c r="P514" s="2" t="str">
        <f t="shared" ref="P514:P577" si="26">C514&amp;"-"&amp;E514&amp;D514&amp;F514</f>
        <v>F-I50M</v>
      </c>
    </row>
    <row r="515" spans="1:16">
      <c r="A515" s="1" t="s">
        <v>15</v>
      </c>
      <c r="B515" s="1" t="s">
        <v>16</v>
      </c>
      <c r="C515" s="1" t="s">
        <v>33</v>
      </c>
      <c r="D515" s="1">
        <v>50</v>
      </c>
      <c r="E515" s="1" t="s">
        <v>48</v>
      </c>
      <c r="F515" s="1" t="s">
        <v>47</v>
      </c>
      <c r="G515" s="1">
        <v>0.71</v>
      </c>
      <c r="H515" s="1" t="s">
        <v>20</v>
      </c>
      <c r="I515" t="s">
        <v>34</v>
      </c>
      <c r="J515" t="s">
        <v>35</v>
      </c>
      <c r="K515" t="s">
        <v>36</v>
      </c>
      <c r="L515" t="s">
        <v>37</v>
      </c>
      <c r="M515" t="str">
        <f t="shared" si="24"/>
        <v>non-charge-altering-6kiu</v>
      </c>
      <c r="N515" t="str">
        <f t="shared" si="25"/>
        <v>6kiu</v>
      </c>
      <c r="O515" s="2" t="s">
        <v>31</v>
      </c>
      <c r="P515" s="2" t="str">
        <f t="shared" si="26"/>
        <v>F-I50T</v>
      </c>
    </row>
    <row r="516" spans="1:16">
      <c r="A516" s="1" t="s">
        <v>15</v>
      </c>
      <c r="B516" s="1" t="s">
        <v>16</v>
      </c>
      <c r="C516" s="1" t="s">
        <v>33</v>
      </c>
      <c r="D516" s="1">
        <v>49</v>
      </c>
      <c r="E516" s="1" t="s">
        <v>39</v>
      </c>
      <c r="F516" s="1" t="s">
        <v>33</v>
      </c>
      <c r="G516" s="1">
        <v>0.62</v>
      </c>
      <c r="H516" s="1" t="s">
        <v>20</v>
      </c>
      <c r="I516" t="s">
        <v>34</v>
      </c>
      <c r="J516" t="s">
        <v>35</v>
      </c>
      <c r="K516" t="s">
        <v>36</v>
      </c>
      <c r="L516" t="s">
        <v>37</v>
      </c>
      <c r="M516" t="str">
        <f t="shared" si="24"/>
        <v>non-charge-altering-6kiu</v>
      </c>
      <c r="N516" t="str">
        <f t="shared" si="25"/>
        <v>6kiu</v>
      </c>
      <c r="O516" s="2" t="s">
        <v>31</v>
      </c>
      <c r="P516" s="2" t="str">
        <f t="shared" si="26"/>
        <v>F-L49F</v>
      </c>
    </row>
    <row r="517" spans="1:16">
      <c r="A517" s="1" t="s">
        <v>15</v>
      </c>
      <c r="B517" s="1" t="s">
        <v>16</v>
      </c>
      <c r="C517" s="1" t="s">
        <v>33</v>
      </c>
      <c r="D517" s="1">
        <v>97</v>
      </c>
      <c r="E517" s="1" t="s">
        <v>39</v>
      </c>
      <c r="F517" s="1" t="s">
        <v>33</v>
      </c>
      <c r="G517" s="1">
        <v>0.73</v>
      </c>
      <c r="H517" s="1" t="s">
        <v>20</v>
      </c>
      <c r="I517" t="s">
        <v>34</v>
      </c>
      <c r="J517" t="s">
        <v>35</v>
      </c>
      <c r="K517" t="s">
        <v>36</v>
      </c>
      <c r="L517" t="s">
        <v>37</v>
      </c>
      <c r="M517" t="str">
        <f t="shared" si="24"/>
        <v>non-charge-altering-6kiu</v>
      </c>
      <c r="N517" t="str">
        <f t="shared" si="25"/>
        <v>6kiu</v>
      </c>
      <c r="O517" s="2" t="s">
        <v>31</v>
      </c>
      <c r="P517" s="2" t="str">
        <f t="shared" si="26"/>
        <v>F-L97F</v>
      </c>
    </row>
    <row r="518" spans="1:16">
      <c r="A518" s="1" t="s">
        <v>15</v>
      </c>
      <c r="B518" s="1" t="s">
        <v>16</v>
      </c>
      <c r="C518" s="1" t="s">
        <v>33</v>
      </c>
      <c r="D518" s="1">
        <v>71</v>
      </c>
      <c r="E518" s="1" t="s">
        <v>47</v>
      </c>
      <c r="F518" s="1" t="s">
        <v>46</v>
      </c>
      <c r="G518" s="1">
        <v>0.69</v>
      </c>
      <c r="H518" s="1" t="s">
        <v>20</v>
      </c>
      <c r="I518" t="s">
        <v>34</v>
      </c>
      <c r="J518" t="s">
        <v>35</v>
      </c>
      <c r="K518" t="s">
        <v>36</v>
      </c>
      <c r="L518" t="s">
        <v>37</v>
      </c>
      <c r="M518" t="str">
        <f t="shared" si="24"/>
        <v>non-charge-altering-6kiu</v>
      </c>
      <c r="N518" t="str">
        <f t="shared" si="25"/>
        <v>6kiu</v>
      </c>
      <c r="O518" s="2" t="s">
        <v>31</v>
      </c>
      <c r="P518" s="2" t="str">
        <f t="shared" si="26"/>
        <v>F-T71S</v>
      </c>
    </row>
    <row r="519" spans="1:16">
      <c r="A519" s="1" t="s">
        <v>15</v>
      </c>
      <c r="B519" s="1" t="s">
        <v>16</v>
      </c>
      <c r="C519" s="1" t="s">
        <v>33</v>
      </c>
      <c r="D519" s="1">
        <v>80</v>
      </c>
      <c r="E519" s="1" t="s">
        <v>47</v>
      </c>
      <c r="F519" s="1" t="s">
        <v>32</v>
      </c>
      <c r="G519" s="1">
        <v>0.54</v>
      </c>
      <c r="H519" s="1" t="s">
        <v>20</v>
      </c>
      <c r="I519" t="s">
        <v>34</v>
      </c>
      <c r="J519" t="s">
        <v>35</v>
      </c>
      <c r="K519" t="s">
        <v>36</v>
      </c>
      <c r="L519" t="s">
        <v>37</v>
      </c>
      <c r="M519" t="str">
        <f t="shared" si="24"/>
        <v>non-charge-altering-6kiu</v>
      </c>
      <c r="N519" t="str">
        <f t="shared" si="25"/>
        <v>6kiu</v>
      </c>
      <c r="O519" s="2" t="s">
        <v>31</v>
      </c>
      <c r="P519" s="2" t="str">
        <f t="shared" si="26"/>
        <v>F-T80A</v>
      </c>
    </row>
    <row r="520" spans="1:16">
      <c r="A520" s="1" t="s">
        <v>15</v>
      </c>
      <c r="B520" s="1" t="s">
        <v>16</v>
      </c>
      <c r="C520" s="1" t="s">
        <v>33</v>
      </c>
      <c r="D520" s="1">
        <v>57</v>
      </c>
      <c r="E520" s="1" t="s">
        <v>61</v>
      </c>
      <c r="F520" s="1" t="s">
        <v>39</v>
      </c>
      <c r="G520" s="1">
        <v>0.11</v>
      </c>
      <c r="H520" s="1" t="s">
        <v>20</v>
      </c>
      <c r="I520" t="s">
        <v>34</v>
      </c>
      <c r="J520" t="s">
        <v>35</v>
      </c>
      <c r="K520" t="s">
        <v>36</v>
      </c>
      <c r="L520" t="s">
        <v>37</v>
      </c>
      <c r="M520" t="str">
        <f t="shared" si="24"/>
        <v>non-charge-altering-6kiu</v>
      </c>
      <c r="N520" t="str">
        <f t="shared" si="25"/>
        <v>6kiu</v>
      </c>
      <c r="O520" s="2" t="s">
        <v>31</v>
      </c>
      <c r="P520" s="2" t="str">
        <f t="shared" si="26"/>
        <v>F-V57L</v>
      </c>
    </row>
    <row r="521" spans="1:16">
      <c r="A521" s="1" t="s">
        <v>15</v>
      </c>
      <c r="B521" s="1" t="s">
        <v>16</v>
      </c>
      <c r="C521" s="1" t="s">
        <v>33</v>
      </c>
      <c r="D521" s="1">
        <v>60</v>
      </c>
      <c r="E521" s="1" t="s">
        <v>61</v>
      </c>
      <c r="F521" s="1" t="s">
        <v>39</v>
      </c>
      <c r="G521" s="1">
        <v>0.16</v>
      </c>
      <c r="H521" s="1" t="s">
        <v>20</v>
      </c>
      <c r="I521" t="s">
        <v>34</v>
      </c>
      <c r="J521" t="s">
        <v>35</v>
      </c>
      <c r="K521" t="s">
        <v>36</v>
      </c>
      <c r="L521" t="s">
        <v>37</v>
      </c>
      <c r="M521" t="str">
        <f t="shared" si="24"/>
        <v>non-charge-altering-6kiu</v>
      </c>
      <c r="N521" t="str">
        <f t="shared" si="25"/>
        <v>6kiu</v>
      </c>
      <c r="O521" s="2" t="s">
        <v>31</v>
      </c>
      <c r="P521" s="2" t="str">
        <f t="shared" si="26"/>
        <v>F-V60L</v>
      </c>
    </row>
    <row r="522" spans="1:16">
      <c r="A522" s="1" t="s">
        <v>26</v>
      </c>
      <c r="B522" s="1" t="s">
        <v>27</v>
      </c>
      <c r="C522" s="1" t="s">
        <v>17</v>
      </c>
      <c r="D522" s="1">
        <v>103</v>
      </c>
      <c r="E522" s="1" t="s">
        <v>32</v>
      </c>
      <c r="F522" s="1" t="s">
        <v>58</v>
      </c>
      <c r="G522" s="1">
        <v>1.36</v>
      </c>
      <c r="H522" s="1" t="s">
        <v>20</v>
      </c>
      <c r="I522" t="s">
        <v>34</v>
      </c>
      <c r="J522" t="s">
        <v>35</v>
      </c>
      <c r="K522" t="s">
        <v>36</v>
      </c>
      <c r="L522" t="s">
        <v>37</v>
      </c>
      <c r="M522" t="str">
        <f t="shared" si="24"/>
        <v>non-charge-altering-6kiw</v>
      </c>
      <c r="N522" t="str">
        <f t="shared" si="25"/>
        <v>6kiw</v>
      </c>
      <c r="O522" s="2" t="s">
        <v>25</v>
      </c>
      <c r="P522" s="2" t="str">
        <f t="shared" si="26"/>
        <v>C-A103P</v>
      </c>
    </row>
    <row r="523" spans="1:16">
      <c r="A523" s="1" t="s">
        <v>26</v>
      </c>
      <c r="B523" s="1" t="s">
        <v>27</v>
      </c>
      <c r="C523" s="1" t="s">
        <v>17</v>
      </c>
      <c r="D523" s="1">
        <v>103</v>
      </c>
      <c r="E523" s="1" t="s">
        <v>32</v>
      </c>
      <c r="F523" s="1" t="s">
        <v>47</v>
      </c>
      <c r="G523" s="1">
        <v>0.79</v>
      </c>
      <c r="H523" s="1" t="s">
        <v>20</v>
      </c>
      <c r="I523" t="s">
        <v>34</v>
      </c>
      <c r="J523" t="s">
        <v>35</v>
      </c>
      <c r="K523" t="s">
        <v>36</v>
      </c>
      <c r="L523" t="s">
        <v>37</v>
      </c>
      <c r="M523" t="str">
        <f t="shared" si="24"/>
        <v>non-charge-altering-6kiw</v>
      </c>
      <c r="N523" t="str">
        <f t="shared" si="25"/>
        <v>6kiw</v>
      </c>
      <c r="O523" s="2" t="s">
        <v>25</v>
      </c>
      <c r="P523" s="2" t="str">
        <f t="shared" si="26"/>
        <v>C-A103T</v>
      </c>
    </row>
    <row r="524" spans="1:16">
      <c r="A524" s="1" t="s">
        <v>26</v>
      </c>
      <c r="B524" s="1" t="s">
        <v>27</v>
      </c>
      <c r="C524" s="1" t="s">
        <v>17</v>
      </c>
      <c r="D524" s="1">
        <v>53</v>
      </c>
      <c r="E524" s="1" t="s">
        <v>32</v>
      </c>
      <c r="F524" s="1" t="s">
        <v>47</v>
      </c>
      <c r="G524" s="1">
        <v>0.09</v>
      </c>
      <c r="H524" s="1" t="s">
        <v>20</v>
      </c>
      <c r="I524" t="s">
        <v>34</v>
      </c>
      <c r="J524" t="s">
        <v>35</v>
      </c>
      <c r="K524" t="s">
        <v>36</v>
      </c>
      <c r="L524" t="s">
        <v>37</v>
      </c>
      <c r="M524" t="str">
        <f t="shared" si="24"/>
        <v>non-charge-altering-6kiw</v>
      </c>
      <c r="N524" t="str">
        <f t="shared" si="25"/>
        <v>6kiw</v>
      </c>
      <c r="O524" s="2" t="s">
        <v>25</v>
      </c>
      <c r="P524" s="2" t="str">
        <f t="shared" si="26"/>
        <v>C-A53T</v>
      </c>
    </row>
    <row r="525" spans="1:16">
      <c r="A525" s="1" t="s">
        <v>26</v>
      </c>
      <c r="B525" s="1" t="s">
        <v>27</v>
      </c>
      <c r="C525" s="1" t="s">
        <v>17</v>
      </c>
      <c r="D525" s="1">
        <v>53</v>
      </c>
      <c r="E525" s="1" t="s">
        <v>32</v>
      </c>
      <c r="F525" s="1" t="s">
        <v>61</v>
      </c>
      <c r="G525" s="1">
        <v>0.39</v>
      </c>
      <c r="H525" s="1" t="s">
        <v>20</v>
      </c>
      <c r="I525" t="s">
        <v>34</v>
      </c>
      <c r="J525" t="s">
        <v>35</v>
      </c>
      <c r="K525" t="s">
        <v>36</v>
      </c>
      <c r="L525" t="s">
        <v>37</v>
      </c>
      <c r="M525" t="str">
        <f t="shared" si="24"/>
        <v>non-charge-altering-6kiw</v>
      </c>
      <c r="N525" t="str">
        <f t="shared" si="25"/>
        <v>6kiw</v>
      </c>
      <c r="O525" s="2" t="s">
        <v>25</v>
      </c>
      <c r="P525" s="2" t="str">
        <f t="shared" si="26"/>
        <v>C-A53V</v>
      </c>
    </row>
    <row r="526" spans="1:16">
      <c r="A526" s="1" t="s">
        <v>26</v>
      </c>
      <c r="B526" s="1" t="s">
        <v>27</v>
      </c>
      <c r="C526" s="1" t="s">
        <v>17</v>
      </c>
      <c r="D526" s="1">
        <v>60</v>
      </c>
      <c r="E526" s="1" t="s">
        <v>32</v>
      </c>
      <c r="F526" s="1" t="s">
        <v>58</v>
      </c>
      <c r="G526" s="1">
        <v>0.83</v>
      </c>
      <c r="H526" s="1" t="s">
        <v>20</v>
      </c>
      <c r="I526" t="s">
        <v>34</v>
      </c>
      <c r="J526" t="s">
        <v>35</v>
      </c>
      <c r="K526" t="s">
        <v>36</v>
      </c>
      <c r="L526" t="s">
        <v>37</v>
      </c>
      <c r="M526" t="str">
        <f t="shared" si="24"/>
        <v>non-charge-altering-6kiw</v>
      </c>
      <c r="N526" t="str">
        <f t="shared" si="25"/>
        <v>6kiw</v>
      </c>
      <c r="O526" s="2" t="s">
        <v>25</v>
      </c>
      <c r="P526" s="2" t="str">
        <f t="shared" si="26"/>
        <v>C-A60P</v>
      </c>
    </row>
    <row r="527" spans="1:16">
      <c r="A527" s="1" t="s">
        <v>26</v>
      </c>
      <c r="B527" s="1" t="s">
        <v>27</v>
      </c>
      <c r="C527" s="1" t="s">
        <v>17</v>
      </c>
      <c r="D527" s="1">
        <v>60</v>
      </c>
      <c r="E527" s="1" t="s">
        <v>32</v>
      </c>
      <c r="F527" s="1" t="s">
        <v>47</v>
      </c>
      <c r="G527" s="1">
        <v>0.31</v>
      </c>
      <c r="H527" s="1" t="s">
        <v>20</v>
      </c>
      <c r="I527" t="s">
        <v>34</v>
      </c>
      <c r="J527" t="s">
        <v>35</v>
      </c>
      <c r="K527" t="s">
        <v>36</v>
      </c>
      <c r="L527" t="s">
        <v>37</v>
      </c>
      <c r="M527" t="str">
        <f t="shared" si="24"/>
        <v>non-charge-altering-6kiw</v>
      </c>
      <c r="N527" t="str">
        <f t="shared" si="25"/>
        <v>6kiw</v>
      </c>
      <c r="O527" s="2" t="s">
        <v>25</v>
      </c>
      <c r="P527" s="2" t="str">
        <f t="shared" si="26"/>
        <v>C-A60T</v>
      </c>
    </row>
    <row r="528" spans="1:16">
      <c r="A528" s="1" t="s">
        <v>26</v>
      </c>
      <c r="B528" s="1" t="s">
        <v>27</v>
      </c>
      <c r="C528" s="1" t="s">
        <v>17</v>
      </c>
      <c r="D528" s="1">
        <v>61</v>
      </c>
      <c r="E528" s="1" t="s">
        <v>29</v>
      </c>
      <c r="F528" s="1" t="s">
        <v>18</v>
      </c>
      <c r="G528" s="1">
        <v>1.03</v>
      </c>
      <c r="H528" s="1" t="s">
        <v>20</v>
      </c>
      <c r="I528" t="s">
        <v>62</v>
      </c>
      <c r="J528" t="s">
        <v>35</v>
      </c>
      <c r="K528" t="s">
        <v>36</v>
      </c>
      <c r="L528" t="s">
        <v>37</v>
      </c>
      <c r="M528" t="str">
        <f t="shared" si="24"/>
        <v>non-charge-altering-6kiw</v>
      </c>
      <c r="N528" t="str">
        <f t="shared" si="25"/>
        <v>6kiw</v>
      </c>
      <c r="O528" s="2" t="s">
        <v>25</v>
      </c>
      <c r="P528" s="2" t="str">
        <f t="shared" si="26"/>
        <v>C-E61D</v>
      </c>
    </row>
    <row r="529" spans="1:16">
      <c r="A529" s="1" t="s">
        <v>26</v>
      </c>
      <c r="B529" s="1" t="s">
        <v>27</v>
      </c>
      <c r="C529" s="1" t="s">
        <v>17</v>
      </c>
      <c r="D529" s="1">
        <v>92</v>
      </c>
      <c r="E529" s="1" t="s">
        <v>29</v>
      </c>
      <c r="F529" s="1" t="s">
        <v>18</v>
      </c>
      <c r="G529" s="1">
        <v>0.84</v>
      </c>
      <c r="H529" s="1" t="s">
        <v>20</v>
      </c>
      <c r="I529" t="s">
        <v>62</v>
      </c>
      <c r="J529" t="s">
        <v>35</v>
      </c>
      <c r="K529" t="s">
        <v>36</v>
      </c>
      <c r="L529" t="s">
        <v>37</v>
      </c>
      <c r="M529" t="str">
        <f t="shared" si="24"/>
        <v>non-charge-altering-6kiw</v>
      </c>
      <c r="N529" t="str">
        <f t="shared" si="25"/>
        <v>6kiw</v>
      </c>
      <c r="O529" s="2" t="s">
        <v>25</v>
      </c>
      <c r="P529" s="2" t="str">
        <f t="shared" si="26"/>
        <v>C-E92D</v>
      </c>
    </row>
    <row r="530" spans="1:16">
      <c r="A530" s="1" t="s">
        <v>26</v>
      </c>
      <c r="B530" s="1" t="s">
        <v>27</v>
      </c>
      <c r="C530" s="1" t="s">
        <v>17</v>
      </c>
      <c r="D530" s="1">
        <v>78</v>
      </c>
      <c r="E530" s="1" t="s">
        <v>48</v>
      </c>
      <c r="F530" s="1" t="s">
        <v>61</v>
      </c>
      <c r="G530" s="1">
        <v>1.2</v>
      </c>
      <c r="H530" s="1" t="s">
        <v>20</v>
      </c>
      <c r="I530" t="s">
        <v>34</v>
      </c>
      <c r="J530" t="s">
        <v>35</v>
      </c>
      <c r="K530" t="s">
        <v>36</v>
      </c>
      <c r="L530" t="s">
        <v>37</v>
      </c>
      <c r="M530" t="str">
        <f t="shared" si="24"/>
        <v>non-charge-altering-6kiw</v>
      </c>
      <c r="N530" t="str">
        <f t="shared" si="25"/>
        <v>6kiw</v>
      </c>
      <c r="O530" s="2" t="s">
        <v>25</v>
      </c>
      <c r="P530" s="2" t="str">
        <f t="shared" si="26"/>
        <v>C-I78V</v>
      </c>
    </row>
    <row r="531" spans="1:16">
      <c r="A531" s="1" t="s">
        <v>26</v>
      </c>
      <c r="B531" s="1" t="s">
        <v>27</v>
      </c>
      <c r="C531" s="1" t="s">
        <v>17</v>
      </c>
      <c r="D531" s="1">
        <v>51</v>
      </c>
      <c r="E531" s="1" t="s">
        <v>39</v>
      </c>
      <c r="F531" s="1" t="s">
        <v>63</v>
      </c>
      <c r="G531" s="1">
        <v>0.5</v>
      </c>
      <c r="H531" s="1" t="s">
        <v>20</v>
      </c>
      <c r="I531" t="s">
        <v>34</v>
      </c>
      <c r="J531" t="s">
        <v>35</v>
      </c>
      <c r="K531" t="s">
        <v>36</v>
      </c>
      <c r="L531" t="s">
        <v>37</v>
      </c>
      <c r="M531" t="str">
        <f t="shared" si="24"/>
        <v>non-charge-altering-6kiw</v>
      </c>
      <c r="N531" t="str">
        <f t="shared" si="25"/>
        <v>6kiw</v>
      </c>
      <c r="O531" s="2" t="s">
        <v>25</v>
      </c>
      <c r="P531" s="2" t="str">
        <f t="shared" si="26"/>
        <v>C-L51M</v>
      </c>
    </row>
    <row r="532" spans="1:16">
      <c r="A532" s="1" t="s">
        <v>26</v>
      </c>
      <c r="B532" s="1" t="s">
        <v>27</v>
      </c>
      <c r="C532" s="1" t="s">
        <v>17</v>
      </c>
      <c r="D532" s="1">
        <v>51</v>
      </c>
      <c r="E532" s="1" t="s">
        <v>39</v>
      </c>
      <c r="F532" s="1" t="s">
        <v>61</v>
      </c>
      <c r="G532" s="1">
        <v>0.76</v>
      </c>
      <c r="H532" s="1" t="s">
        <v>20</v>
      </c>
      <c r="I532" t="s">
        <v>34</v>
      </c>
      <c r="J532" t="s">
        <v>35</v>
      </c>
      <c r="K532" t="s">
        <v>36</v>
      </c>
      <c r="L532" t="s">
        <v>37</v>
      </c>
      <c r="M532" t="str">
        <f t="shared" si="24"/>
        <v>non-charge-altering-6kiw</v>
      </c>
      <c r="N532" t="str">
        <f t="shared" si="25"/>
        <v>6kiw</v>
      </c>
      <c r="O532" s="2" t="s">
        <v>25</v>
      </c>
      <c r="P532" s="2" t="str">
        <f t="shared" si="26"/>
        <v>C-L51V</v>
      </c>
    </row>
    <row r="533" spans="1:16">
      <c r="A533" s="1" t="s">
        <v>26</v>
      </c>
      <c r="B533" s="1" t="s">
        <v>27</v>
      </c>
      <c r="C533" s="1" t="s">
        <v>17</v>
      </c>
      <c r="D533" s="1">
        <v>58</v>
      </c>
      <c r="E533" s="1" t="s">
        <v>39</v>
      </c>
      <c r="F533" s="1" t="s">
        <v>61</v>
      </c>
      <c r="G533" s="1">
        <v>0.77</v>
      </c>
      <c r="H533" s="1" t="s">
        <v>20</v>
      </c>
      <c r="I533" t="s">
        <v>34</v>
      </c>
      <c r="J533" t="s">
        <v>35</v>
      </c>
      <c r="K533" t="s">
        <v>36</v>
      </c>
      <c r="L533" t="s">
        <v>37</v>
      </c>
      <c r="M533" t="str">
        <f t="shared" si="24"/>
        <v>non-charge-altering-6kiw</v>
      </c>
      <c r="N533" t="str">
        <f t="shared" si="25"/>
        <v>6kiw</v>
      </c>
      <c r="O533" s="2" t="s">
        <v>25</v>
      </c>
      <c r="P533" s="2" t="str">
        <f t="shared" si="26"/>
        <v>C-L58V</v>
      </c>
    </row>
    <row r="534" spans="1:16">
      <c r="A534" s="1" t="s">
        <v>26</v>
      </c>
      <c r="B534" s="1" t="s">
        <v>27</v>
      </c>
      <c r="C534" s="1" t="s">
        <v>17</v>
      </c>
      <c r="D534" s="1">
        <v>83</v>
      </c>
      <c r="E534" s="1" t="s">
        <v>39</v>
      </c>
      <c r="F534" s="1" t="s">
        <v>33</v>
      </c>
      <c r="G534" s="1">
        <v>0.49</v>
      </c>
      <c r="H534" s="1" t="s">
        <v>20</v>
      </c>
      <c r="I534" t="s">
        <v>34</v>
      </c>
      <c r="J534" t="s">
        <v>35</v>
      </c>
      <c r="K534" t="s">
        <v>36</v>
      </c>
      <c r="L534" t="s">
        <v>37</v>
      </c>
      <c r="M534" t="str">
        <f t="shared" si="24"/>
        <v>non-charge-altering-6kiw</v>
      </c>
      <c r="N534" t="str">
        <f t="shared" si="25"/>
        <v>6kiw</v>
      </c>
      <c r="O534" s="2" t="s">
        <v>25</v>
      </c>
      <c r="P534" s="2" t="str">
        <f t="shared" si="26"/>
        <v>C-L83F</v>
      </c>
    </row>
    <row r="535" spans="1:16">
      <c r="A535" s="1" t="s">
        <v>26</v>
      </c>
      <c r="B535" s="1" t="s">
        <v>27</v>
      </c>
      <c r="C535" s="1" t="s">
        <v>17</v>
      </c>
      <c r="D535" s="1">
        <v>93</v>
      </c>
      <c r="E535" s="1" t="s">
        <v>39</v>
      </c>
      <c r="F535" s="1" t="s">
        <v>61</v>
      </c>
      <c r="G535" s="1">
        <v>1.07</v>
      </c>
      <c r="H535" s="1" t="s">
        <v>20</v>
      </c>
      <c r="I535" t="s">
        <v>34</v>
      </c>
      <c r="J535" t="s">
        <v>35</v>
      </c>
      <c r="K535" t="s">
        <v>36</v>
      </c>
      <c r="L535" t="s">
        <v>37</v>
      </c>
      <c r="M535" t="str">
        <f t="shared" si="24"/>
        <v>non-charge-altering-6kiw</v>
      </c>
      <c r="N535" t="str">
        <f t="shared" si="25"/>
        <v>6kiw</v>
      </c>
      <c r="O535" s="2" t="s">
        <v>25</v>
      </c>
      <c r="P535" s="2" t="str">
        <f t="shared" si="26"/>
        <v>C-L93V</v>
      </c>
    </row>
    <row r="536" spans="1:16">
      <c r="A536" s="1" t="s">
        <v>26</v>
      </c>
      <c r="B536" s="1" t="s">
        <v>27</v>
      </c>
      <c r="C536" s="1" t="s">
        <v>17</v>
      </c>
      <c r="D536" s="1">
        <v>26</v>
      </c>
      <c r="E536" s="1" t="s">
        <v>58</v>
      </c>
      <c r="F536" s="1" t="s">
        <v>30</v>
      </c>
      <c r="G536" s="1">
        <v>0.39</v>
      </c>
      <c r="H536" s="1" t="s">
        <v>20</v>
      </c>
      <c r="I536" t="s">
        <v>34</v>
      </c>
      <c r="J536" t="s">
        <v>35</v>
      </c>
      <c r="K536" t="s">
        <v>36</v>
      </c>
      <c r="L536" t="s">
        <v>37</v>
      </c>
      <c r="M536" t="str">
        <f t="shared" si="24"/>
        <v>non-charge-altering-6kiw</v>
      </c>
      <c r="N536" t="str">
        <f t="shared" si="25"/>
        <v>6kiw</v>
      </c>
      <c r="O536" s="2" t="s">
        <v>25</v>
      </c>
      <c r="P536" s="2" t="str">
        <f t="shared" si="26"/>
        <v>C-P26Q</v>
      </c>
    </row>
    <row r="537" spans="1:16">
      <c r="A537" s="1" t="s">
        <v>26</v>
      </c>
      <c r="B537" s="1" t="s">
        <v>27</v>
      </c>
      <c r="C537" s="1" t="s">
        <v>17</v>
      </c>
      <c r="D537" s="1">
        <v>104</v>
      </c>
      <c r="E537" s="1" t="s">
        <v>30</v>
      </c>
      <c r="F537" s="1" t="s">
        <v>58</v>
      </c>
      <c r="G537" s="1">
        <v>1.08</v>
      </c>
      <c r="H537" s="1" t="s">
        <v>20</v>
      </c>
      <c r="I537" t="s">
        <v>34</v>
      </c>
      <c r="J537" t="s">
        <v>35</v>
      </c>
      <c r="K537" t="s">
        <v>36</v>
      </c>
      <c r="L537" t="s">
        <v>37</v>
      </c>
      <c r="M537" t="str">
        <f t="shared" si="24"/>
        <v>non-charge-altering-6kiw</v>
      </c>
      <c r="N537" t="str">
        <f t="shared" si="25"/>
        <v>6kiw</v>
      </c>
      <c r="O537" s="2" t="s">
        <v>25</v>
      </c>
      <c r="P537" s="2" t="str">
        <f t="shared" si="26"/>
        <v>C-Q104P</v>
      </c>
    </row>
    <row r="538" spans="1:16">
      <c r="A538" s="1" t="s">
        <v>26</v>
      </c>
      <c r="B538" s="1" t="s">
        <v>27</v>
      </c>
      <c r="C538" s="1" t="s">
        <v>17</v>
      </c>
      <c r="D538" s="1">
        <v>71</v>
      </c>
      <c r="E538" s="1" t="s">
        <v>43</v>
      </c>
      <c r="F538" s="1" t="s">
        <v>56</v>
      </c>
      <c r="G538" s="1">
        <v>0.97</v>
      </c>
      <c r="H538" s="1" t="s">
        <v>20</v>
      </c>
      <c r="I538" t="s">
        <v>44</v>
      </c>
      <c r="J538" t="s">
        <v>35</v>
      </c>
      <c r="K538" t="s">
        <v>36</v>
      </c>
      <c r="L538" t="s">
        <v>37</v>
      </c>
      <c r="M538" t="str">
        <f t="shared" si="24"/>
        <v>non-charge-altering-6kiw</v>
      </c>
      <c r="N538" t="str">
        <f t="shared" si="25"/>
        <v>6kiw</v>
      </c>
      <c r="O538" s="2" t="s">
        <v>25</v>
      </c>
      <c r="P538" s="2" t="str">
        <f t="shared" si="26"/>
        <v>C-R71H</v>
      </c>
    </row>
    <row r="539" spans="1:16">
      <c r="A539" s="1" t="s">
        <v>26</v>
      </c>
      <c r="B539" s="1" t="s">
        <v>27</v>
      </c>
      <c r="C539" s="1" t="s">
        <v>17</v>
      </c>
      <c r="D539" s="1">
        <v>59</v>
      </c>
      <c r="E539" s="1" t="s">
        <v>47</v>
      </c>
      <c r="F539" s="1" t="s">
        <v>48</v>
      </c>
      <c r="G539" s="1">
        <v>0.69</v>
      </c>
      <c r="H539" s="1" t="s">
        <v>20</v>
      </c>
      <c r="I539" t="s">
        <v>34</v>
      </c>
      <c r="J539" t="s">
        <v>35</v>
      </c>
      <c r="K539" t="s">
        <v>36</v>
      </c>
      <c r="L539" t="s">
        <v>37</v>
      </c>
      <c r="M539" t="str">
        <f t="shared" si="24"/>
        <v>non-charge-altering-6kiw</v>
      </c>
      <c r="N539" t="str">
        <f t="shared" si="25"/>
        <v>6kiw</v>
      </c>
      <c r="O539" s="2" t="s">
        <v>25</v>
      </c>
      <c r="P539" s="2" t="str">
        <f t="shared" si="26"/>
        <v>C-T59I</v>
      </c>
    </row>
    <row r="540" spans="1:16">
      <c r="A540" s="1" t="s">
        <v>26</v>
      </c>
      <c r="B540" s="1" t="s">
        <v>27</v>
      </c>
      <c r="C540" s="1" t="s">
        <v>17</v>
      </c>
      <c r="D540" s="1">
        <v>30</v>
      </c>
      <c r="E540" s="1" t="s">
        <v>61</v>
      </c>
      <c r="F540" s="1" t="s">
        <v>19</v>
      </c>
      <c r="G540" s="1">
        <v>0.49</v>
      </c>
      <c r="H540" s="1" t="s">
        <v>20</v>
      </c>
      <c r="I540" t="s">
        <v>34</v>
      </c>
      <c r="J540" t="s">
        <v>35</v>
      </c>
      <c r="K540" t="s">
        <v>36</v>
      </c>
      <c r="L540" t="s">
        <v>37</v>
      </c>
      <c r="M540" t="str">
        <f t="shared" si="24"/>
        <v>non-charge-altering-6kiw</v>
      </c>
      <c r="N540" t="str">
        <f t="shared" si="25"/>
        <v>6kiw</v>
      </c>
      <c r="O540" s="2" t="s">
        <v>25</v>
      </c>
      <c r="P540" s="2" t="str">
        <f t="shared" si="26"/>
        <v>C-V30G</v>
      </c>
    </row>
    <row r="541" spans="1:16">
      <c r="A541" s="1" t="s">
        <v>26</v>
      </c>
      <c r="B541" s="1" t="s">
        <v>27</v>
      </c>
      <c r="C541" s="1" t="s">
        <v>17</v>
      </c>
      <c r="D541" s="1">
        <v>30</v>
      </c>
      <c r="E541" s="1" t="s">
        <v>61</v>
      </c>
      <c r="F541" s="1" t="s">
        <v>63</v>
      </c>
      <c r="G541" s="1">
        <v>0.31</v>
      </c>
      <c r="H541" s="1" t="s">
        <v>20</v>
      </c>
      <c r="I541" t="s">
        <v>34</v>
      </c>
      <c r="J541" t="s">
        <v>35</v>
      </c>
      <c r="K541" t="s">
        <v>36</v>
      </c>
      <c r="L541" t="s">
        <v>37</v>
      </c>
      <c r="M541" t="str">
        <f t="shared" si="24"/>
        <v>non-charge-altering-6kiw</v>
      </c>
      <c r="N541" t="str">
        <f t="shared" si="25"/>
        <v>6kiw</v>
      </c>
      <c r="O541" s="2" t="s">
        <v>25</v>
      </c>
      <c r="P541" s="2" t="str">
        <f t="shared" si="26"/>
        <v>C-V30M</v>
      </c>
    </row>
    <row r="542" spans="1:16">
      <c r="A542" s="1" t="s">
        <v>26</v>
      </c>
      <c r="B542" s="1" t="s">
        <v>27</v>
      </c>
      <c r="C542" s="1" t="s">
        <v>17</v>
      </c>
      <c r="D542" s="1">
        <v>43</v>
      </c>
      <c r="E542" s="1" t="s">
        <v>61</v>
      </c>
      <c r="F542" s="1" t="s">
        <v>39</v>
      </c>
      <c r="G542" s="1">
        <v>0.42</v>
      </c>
      <c r="H542" s="1" t="s">
        <v>20</v>
      </c>
      <c r="I542" t="s">
        <v>34</v>
      </c>
      <c r="J542" t="s">
        <v>35</v>
      </c>
      <c r="K542" t="s">
        <v>36</v>
      </c>
      <c r="L542" t="s">
        <v>37</v>
      </c>
      <c r="M542" t="str">
        <f t="shared" si="24"/>
        <v>non-charge-altering-6kiw</v>
      </c>
      <c r="N542" t="str">
        <f t="shared" si="25"/>
        <v>6kiw</v>
      </c>
      <c r="O542" s="2" t="s">
        <v>25</v>
      </c>
      <c r="P542" s="2" t="str">
        <f t="shared" si="26"/>
        <v>C-V43L</v>
      </c>
    </row>
    <row r="543" spans="1:16">
      <c r="A543" s="1" t="s">
        <v>26</v>
      </c>
      <c r="B543" s="1" t="s">
        <v>27</v>
      </c>
      <c r="C543" s="1" t="s">
        <v>17</v>
      </c>
      <c r="D543" s="1">
        <v>50</v>
      </c>
      <c r="E543" s="1" t="s">
        <v>49</v>
      </c>
      <c r="F543" s="1" t="s">
        <v>33</v>
      </c>
      <c r="G543" s="1">
        <v>1.05</v>
      </c>
      <c r="H543" s="1" t="s">
        <v>20</v>
      </c>
      <c r="I543" t="s">
        <v>34</v>
      </c>
      <c r="J543" t="s">
        <v>35</v>
      </c>
      <c r="K543" t="s">
        <v>36</v>
      </c>
      <c r="L543" t="s">
        <v>37</v>
      </c>
      <c r="M543" t="str">
        <f t="shared" si="24"/>
        <v>non-charge-altering-6kiw</v>
      </c>
      <c r="N543" t="str">
        <f t="shared" si="25"/>
        <v>6kiw</v>
      </c>
      <c r="O543" s="2" t="s">
        <v>25</v>
      </c>
      <c r="P543" s="2" t="str">
        <f t="shared" si="26"/>
        <v>C-Y50F</v>
      </c>
    </row>
    <row r="544" spans="1:16">
      <c r="A544" s="1" t="s">
        <v>26</v>
      </c>
      <c r="B544" s="1" t="s">
        <v>27</v>
      </c>
      <c r="C544" s="1" t="s">
        <v>17</v>
      </c>
      <c r="D544" s="1">
        <v>50</v>
      </c>
      <c r="E544" s="1" t="s">
        <v>49</v>
      </c>
      <c r="F544" s="1" t="s">
        <v>41</v>
      </c>
      <c r="G544" s="1">
        <v>2.31</v>
      </c>
      <c r="H544" s="1" t="s">
        <v>20</v>
      </c>
      <c r="I544" t="s">
        <v>34</v>
      </c>
      <c r="J544" t="s">
        <v>35</v>
      </c>
      <c r="K544" t="s">
        <v>36</v>
      </c>
      <c r="L544" t="s">
        <v>37</v>
      </c>
      <c r="M544" t="str">
        <f t="shared" si="24"/>
        <v>non-charge-altering-6kiw</v>
      </c>
      <c r="N544" t="str">
        <f t="shared" si="25"/>
        <v>6kiw</v>
      </c>
      <c r="O544" s="2" t="s">
        <v>25</v>
      </c>
      <c r="P544" s="2" t="str">
        <f t="shared" si="26"/>
        <v>C-Y50N</v>
      </c>
    </row>
    <row r="545" spans="1:16">
      <c r="A545" s="1" t="s">
        <v>26</v>
      </c>
      <c r="B545" s="1" t="s">
        <v>27</v>
      </c>
      <c r="C545" s="1" t="s">
        <v>19</v>
      </c>
      <c r="D545" s="1">
        <v>103</v>
      </c>
      <c r="E545" s="1" t="s">
        <v>32</v>
      </c>
      <c r="F545" s="1" t="s">
        <v>58</v>
      </c>
      <c r="G545" s="1">
        <v>1.22</v>
      </c>
      <c r="H545" s="1" t="s">
        <v>20</v>
      </c>
      <c r="I545" t="s">
        <v>34</v>
      </c>
      <c r="J545" t="s">
        <v>35</v>
      </c>
      <c r="K545" t="s">
        <v>36</v>
      </c>
      <c r="L545" t="s">
        <v>37</v>
      </c>
      <c r="M545" t="str">
        <f t="shared" si="24"/>
        <v>non-charge-altering-6kiw</v>
      </c>
      <c r="N545" t="str">
        <f t="shared" si="25"/>
        <v>6kiw</v>
      </c>
      <c r="O545" s="2" t="s">
        <v>25</v>
      </c>
      <c r="P545" s="2" t="str">
        <f t="shared" si="26"/>
        <v>G-A103P</v>
      </c>
    </row>
    <row r="546" spans="1:16">
      <c r="A546" s="1" t="s">
        <v>26</v>
      </c>
      <c r="B546" s="1" t="s">
        <v>27</v>
      </c>
      <c r="C546" s="1" t="s">
        <v>19</v>
      </c>
      <c r="D546" s="1">
        <v>103</v>
      </c>
      <c r="E546" s="1" t="s">
        <v>32</v>
      </c>
      <c r="F546" s="1" t="s">
        <v>47</v>
      </c>
      <c r="G546" s="1">
        <v>0.57</v>
      </c>
      <c r="H546" s="1" t="s">
        <v>20</v>
      </c>
      <c r="I546" t="s">
        <v>34</v>
      </c>
      <c r="J546" t="s">
        <v>35</v>
      </c>
      <c r="K546" t="s">
        <v>36</v>
      </c>
      <c r="L546" t="s">
        <v>37</v>
      </c>
      <c r="M546" t="str">
        <f t="shared" si="24"/>
        <v>non-charge-altering-6kiw</v>
      </c>
      <c r="N546" t="str">
        <f t="shared" si="25"/>
        <v>6kiw</v>
      </c>
      <c r="O546" s="2" t="s">
        <v>25</v>
      </c>
      <c r="P546" s="2" t="str">
        <f t="shared" si="26"/>
        <v>G-A103T</v>
      </c>
    </row>
    <row r="547" spans="1:16">
      <c r="A547" s="1" t="s">
        <v>26</v>
      </c>
      <c r="B547" s="1" t="s">
        <v>27</v>
      </c>
      <c r="C547" s="1" t="s">
        <v>19</v>
      </c>
      <c r="D547" s="1">
        <v>53</v>
      </c>
      <c r="E547" s="1" t="s">
        <v>32</v>
      </c>
      <c r="F547" s="1" t="s">
        <v>47</v>
      </c>
      <c r="G547" s="1">
        <v>0.06</v>
      </c>
      <c r="H547" s="1" t="s">
        <v>20</v>
      </c>
      <c r="I547" t="s">
        <v>34</v>
      </c>
      <c r="J547" t="s">
        <v>35</v>
      </c>
      <c r="K547" t="s">
        <v>36</v>
      </c>
      <c r="L547" t="s">
        <v>37</v>
      </c>
      <c r="M547" t="str">
        <f t="shared" si="24"/>
        <v>non-charge-altering-6kiw</v>
      </c>
      <c r="N547" t="str">
        <f t="shared" si="25"/>
        <v>6kiw</v>
      </c>
      <c r="O547" s="2" t="s">
        <v>25</v>
      </c>
      <c r="P547" s="2" t="str">
        <f t="shared" si="26"/>
        <v>G-A53T</v>
      </c>
    </row>
    <row r="548" spans="1:16">
      <c r="A548" s="1" t="s">
        <v>26</v>
      </c>
      <c r="B548" s="1" t="s">
        <v>27</v>
      </c>
      <c r="C548" s="1" t="s">
        <v>19</v>
      </c>
      <c r="D548" s="1">
        <v>53</v>
      </c>
      <c r="E548" s="1" t="s">
        <v>32</v>
      </c>
      <c r="F548" s="1" t="s">
        <v>61</v>
      </c>
      <c r="G548" s="1">
        <v>0.37</v>
      </c>
      <c r="H548" s="1" t="s">
        <v>20</v>
      </c>
      <c r="I548" t="s">
        <v>34</v>
      </c>
      <c r="J548" t="s">
        <v>35</v>
      </c>
      <c r="K548" t="s">
        <v>36</v>
      </c>
      <c r="L548" t="s">
        <v>37</v>
      </c>
      <c r="M548" t="str">
        <f t="shared" si="24"/>
        <v>non-charge-altering-6kiw</v>
      </c>
      <c r="N548" t="str">
        <f t="shared" si="25"/>
        <v>6kiw</v>
      </c>
      <c r="O548" s="2" t="s">
        <v>25</v>
      </c>
      <c r="P548" s="2" t="str">
        <f t="shared" si="26"/>
        <v>G-A53V</v>
      </c>
    </row>
    <row r="549" spans="1:16">
      <c r="A549" s="1" t="s">
        <v>26</v>
      </c>
      <c r="B549" s="1" t="s">
        <v>27</v>
      </c>
      <c r="C549" s="1" t="s">
        <v>19</v>
      </c>
      <c r="D549" s="1">
        <v>60</v>
      </c>
      <c r="E549" s="1" t="s">
        <v>32</v>
      </c>
      <c r="F549" s="1" t="s">
        <v>58</v>
      </c>
      <c r="G549" s="1">
        <v>0.83</v>
      </c>
      <c r="H549" s="1" t="s">
        <v>20</v>
      </c>
      <c r="I549" t="s">
        <v>34</v>
      </c>
      <c r="J549" t="s">
        <v>35</v>
      </c>
      <c r="K549" t="s">
        <v>36</v>
      </c>
      <c r="L549" t="s">
        <v>37</v>
      </c>
      <c r="M549" t="str">
        <f t="shared" si="24"/>
        <v>non-charge-altering-6kiw</v>
      </c>
      <c r="N549" t="str">
        <f t="shared" si="25"/>
        <v>6kiw</v>
      </c>
      <c r="O549" s="2" t="s">
        <v>25</v>
      </c>
      <c r="P549" s="2" t="str">
        <f t="shared" si="26"/>
        <v>G-A60P</v>
      </c>
    </row>
    <row r="550" spans="1:16">
      <c r="A550" s="1" t="s">
        <v>26</v>
      </c>
      <c r="B550" s="1" t="s">
        <v>27</v>
      </c>
      <c r="C550" s="1" t="s">
        <v>19</v>
      </c>
      <c r="D550" s="1">
        <v>60</v>
      </c>
      <c r="E550" s="1" t="s">
        <v>32</v>
      </c>
      <c r="F550" s="1" t="s">
        <v>47</v>
      </c>
      <c r="G550" s="1">
        <v>0.31</v>
      </c>
      <c r="H550" s="1" t="s">
        <v>20</v>
      </c>
      <c r="I550" t="s">
        <v>34</v>
      </c>
      <c r="J550" t="s">
        <v>35</v>
      </c>
      <c r="K550" t="s">
        <v>36</v>
      </c>
      <c r="L550" t="s">
        <v>37</v>
      </c>
      <c r="M550" t="str">
        <f t="shared" si="24"/>
        <v>non-charge-altering-6kiw</v>
      </c>
      <c r="N550" t="str">
        <f t="shared" si="25"/>
        <v>6kiw</v>
      </c>
      <c r="O550" s="2" t="s">
        <v>25</v>
      </c>
      <c r="P550" s="2" t="str">
        <f t="shared" si="26"/>
        <v>G-A60T</v>
      </c>
    </row>
    <row r="551" spans="1:16">
      <c r="A551" s="1" t="s">
        <v>26</v>
      </c>
      <c r="B551" s="1" t="s">
        <v>27</v>
      </c>
      <c r="C551" s="1" t="s">
        <v>19</v>
      </c>
      <c r="D551" s="1">
        <v>61</v>
      </c>
      <c r="E551" s="1" t="s">
        <v>29</v>
      </c>
      <c r="F551" s="1" t="s">
        <v>18</v>
      </c>
      <c r="G551" s="1">
        <v>1.03</v>
      </c>
      <c r="H551" s="1" t="s">
        <v>20</v>
      </c>
      <c r="I551" t="s">
        <v>62</v>
      </c>
      <c r="J551" t="s">
        <v>35</v>
      </c>
      <c r="K551" t="s">
        <v>36</v>
      </c>
      <c r="L551" t="s">
        <v>37</v>
      </c>
      <c r="M551" t="str">
        <f t="shared" si="24"/>
        <v>non-charge-altering-6kiw</v>
      </c>
      <c r="N551" t="str">
        <f t="shared" si="25"/>
        <v>6kiw</v>
      </c>
      <c r="O551" s="2" t="s">
        <v>25</v>
      </c>
      <c r="P551" s="2" t="str">
        <f t="shared" si="26"/>
        <v>G-E61D</v>
      </c>
    </row>
    <row r="552" spans="1:16">
      <c r="A552" s="1" t="s">
        <v>26</v>
      </c>
      <c r="B552" s="1" t="s">
        <v>27</v>
      </c>
      <c r="C552" s="1" t="s">
        <v>19</v>
      </c>
      <c r="D552" s="1">
        <v>92</v>
      </c>
      <c r="E552" s="1" t="s">
        <v>29</v>
      </c>
      <c r="F552" s="1" t="s">
        <v>18</v>
      </c>
      <c r="G552" s="1">
        <v>0.84</v>
      </c>
      <c r="H552" s="1" t="s">
        <v>20</v>
      </c>
      <c r="I552" t="s">
        <v>62</v>
      </c>
      <c r="J552" t="s">
        <v>35</v>
      </c>
      <c r="K552" t="s">
        <v>36</v>
      </c>
      <c r="L552" t="s">
        <v>37</v>
      </c>
      <c r="M552" t="str">
        <f t="shared" si="24"/>
        <v>non-charge-altering-6kiw</v>
      </c>
      <c r="N552" t="str">
        <f t="shared" si="25"/>
        <v>6kiw</v>
      </c>
      <c r="O552" s="2" t="s">
        <v>25</v>
      </c>
      <c r="P552" s="2" t="str">
        <f t="shared" si="26"/>
        <v>G-E92D</v>
      </c>
    </row>
    <row r="553" spans="1:16">
      <c r="A553" s="1" t="s">
        <v>26</v>
      </c>
      <c r="B553" s="1" t="s">
        <v>27</v>
      </c>
      <c r="C553" s="1" t="s">
        <v>19</v>
      </c>
      <c r="D553" s="1">
        <v>37</v>
      </c>
      <c r="E553" s="1" t="s">
        <v>19</v>
      </c>
      <c r="F553" s="1" t="s">
        <v>46</v>
      </c>
      <c r="G553" s="1">
        <v>0.22</v>
      </c>
      <c r="H553" s="1" t="s">
        <v>20</v>
      </c>
      <c r="I553" t="s">
        <v>34</v>
      </c>
      <c r="J553" t="s">
        <v>35</v>
      </c>
      <c r="K553" t="s">
        <v>36</v>
      </c>
      <c r="L553" t="s">
        <v>37</v>
      </c>
      <c r="M553" t="str">
        <f t="shared" si="24"/>
        <v>non-charge-altering-6kiw</v>
      </c>
      <c r="N553" t="str">
        <f t="shared" si="25"/>
        <v>6kiw</v>
      </c>
      <c r="O553" s="2" t="s">
        <v>25</v>
      </c>
      <c r="P553" s="2" t="str">
        <f t="shared" si="26"/>
        <v>G-G37S</v>
      </c>
    </row>
    <row r="554" spans="1:16">
      <c r="A554" s="1" t="s">
        <v>26</v>
      </c>
      <c r="B554" s="1" t="s">
        <v>27</v>
      </c>
      <c r="C554" s="1" t="s">
        <v>19</v>
      </c>
      <c r="D554" s="1">
        <v>78</v>
      </c>
      <c r="E554" s="1" t="s">
        <v>48</v>
      </c>
      <c r="F554" s="1" t="s">
        <v>61</v>
      </c>
      <c r="G554" s="1">
        <v>1.1</v>
      </c>
      <c r="H554" s="1" t="s">
        <v>20</v>
      </c>
      <c r="I554" t="s">
        <v>34</v>
      </c>
      <c r="J554" t="s">
        <v>35</v>
      </c>
      <c r="K554" t="s">
        <v>36</v>
      </c>
      <c r="L554" t="s">
        <v>37</v>
      </c>
      <c r="M554" t="str">
        <f t="shared" si="24"/>
        <v>non-charge-altering-6kiw</v>
      </c>
      <c r="N554" t="str">
        <f t="shared" si="25"/>
        <v>6kiw</v>
      </c>
      <c r="O554" s="2" t="s">
        <v>25</v>
      </c>
      <c r="P554" s="2" t="str">
        <f t="shared" si="26"/>
        <v>G-I78V</v>
      </c>
    </row>
    <row r="555" spans="1:16">
      <c r="A555" s="1" t="s">
        <v>26</v>
      </c>
      <c r="B555" s="1" t="s">
        <v>27</v>
      </c>
      <c r="C555" s="1" t="s">
        <v>19</v>
      </c>
      <c r="D555" s="1">
        <v>51</v>
      </c>
      <c r="E555" s="1" t="s">
        <v>39</v>
      </c>
      <c r="F555" s="1" t="s">
        <v>63</v>
      </c>
      <c r="G555" s="1">
        <v>0.5</v>
      </c>
      <c r="H555" s="1" t="s">
        <v>20</v>
      </c>
      <c r="I555" t="s">
        <v>34</v>
      </c>
      <c r="J555" t="s">
        <v>35</v>
      </c>
      <c r="K555" t="s">
        <v>36</v>
      </c>
      <c r="L555" t="s">
        <v>37</v>
      </c>
      <c r="M555" t="str">
        <f t="shared" si="24"/>
        <v>non-charge-altering-6kiw</v>
      </c>
      <c r="N555" t="str">
        <f t="shared" si="25"/>
        <v>6kiw</v>
      </c>
      <c r="O555" s="2" t="s">
        <v>25</v>
      </c>
      <c r="P555" s="2" t="str">
        <f t="shared" si="26"/>
        <v>G-L51M</v>
      </c>
    </row>
    <row r="556" spans="1:16">
      <c r="A556" s="1" t="s">
        <v>26</v>
      </c>
      <c r="B556" s="1" t="s">
        <v>27</v>
      </c>
      <c r="C556" s="1" t="s">
        <v>19</v>
      </c>
      <c r="D556" s="1">
        <v>51</v>
      </c>
      <c r="E556" s="1" t="s">
        <v>39</v>
      </c>
      <c r="F556" s="1" t="s">
        <v>61</v>
      </c>
      <c r="G556" s="1">
        <v>0.76</v>
      </c>
      <c r="H556" s="1" t="s">
        <v>20</v>
      </c>
      <c r="I556" t="s">
        <v>34</v>
      </c>
      <c r="J556" t="s">
        <v>35</v>
      </c>
      <c r="K556" t="s">
        <v>36</v>
      </c>
      <c r="L556" t="s">
        <v>37</v>
      </c>
      <c r="M556" t="str">
        <f t="shared" si="24"/>
        <v>non-charge-altering-6kiw</v>
      </c>
      <c r="N556" t="str">
        <f t="shared" si="25"/>
        <v>6kiw</v>
      </c>
      <c r="O556" s="2" t="s">
        <v>25</v>
      </c>
      <c r="P556" s="2" t="str">
        <f t="shared" si="26"/>
        <v>G-L51V</v>
      </c>
    </row>
    <row r="557" spans="1:16">
      <c r="A557" s="1" t="s">
        <v>26</v>
      </c>
      <c r="B557" s="1" t="s">
        <v>27</v>
      </c>
      <c r="C557" s="1" t="s">
        <v>19</v>
      </c>
      <c r="D557" s="1">
        <v>58</v>
      </c>
      <c r="E557" s="1" t="s">
        <v>39</v>
      </c>
      <c r="F557" s="1" t="s">
        <v>61</v>
      </c>
      <c r="G557" s="1">
        <v>0.77</v>
      </c>
      <c r="H557" s="1" t="s">
        <v>20</v>
      </c>
      <c r="I557" t="s">
        <v>34</v>
      </c>
      <c r="J557" t="s">
        <v>35</v>
      </c>
      <c r="K557" t="s">
        <v>36</v>
      </c>
      <c r="L557" t="s">
        <v>37</v>
      </c>
      <c r="M557" t="str">
        <f t="shared" si="24"/>
        <v>non-charge-altering-6kiw</v>
      </c>
      <c r="N557" t="str">
        <f t="shared" si="25"/>
        <v>6kiw</v>
      </c>
      <c r="O557" s="2" t="s">
        <v>25</v>
      </c>
      <c r="P557" s="2" t="str">
        <f t="shared" si="26"/>
        <v>G-L58V</v>
      </c>
    </row>
    <row r="558" spans="1:16">
      <c r="A558" s="1" t="s">
        <v>26</v>
      </c>
      <c r="B558" s="1" t="s">
        <v>27</v>
      </c>
      <c r="C558" s="1" t="s">
        <v>19</v>
      </c>
      <c r="D558" s="1">
        <v>83</v>
      </c>
      <c r="E558" s="1" t="s">
        <v>39</v>
      </c>
      <c r="F558" s="1" t="s">
        <v>33</v>
      </c>
      <c r="G558" s="1">
        <v>0.49</v>
      </c>
      <c r="H558" s="1" t="s">
        <v>20</v>
      </c>
      <c r="I558" t="s">
        <v>34</v>
      </c>
      <c r="J558" t="s">
        <v>35</v>
      </c>
      <c r="K558" t="s">
        <v>36</v>
      </c>
      <c r="L558" t="s">
        <v>37</v>
      </c>
      <c r="M558" t="str">
        <f t="shared" si="24"/>
        <v>non-charge-altering-6kiw</v>
      </c>
      <c r="N558" t="str">
        <f t="shared" si="25"/>
        <v>6kiw</v>
      </c>
      <c r="O558" s="2" t="s">
        <v>25</v>
      </c>
      <c r="P558" s="2" t="str">
        <f t="shared" si="26"/>
        <v>G-L83F</v>
      </c>
    </row>
    <row r="559" spans="1:16">
      <c r="A559" s="1" t="s">
        <v>26</v>
      </c>
      <c r="B559" s="1" t="s">
        <v>27</v>
      </c>
      <c r="C559" s="1" t="s">
        <v>19</v>
      </c>
      <c r="D559" s="1">
        <v>93</v>
      </c>
      <c r="E559" s="1" t="s">
        <v>39</v>
      </c>
      <c r="F559" s="1" t="s">
        <v>61</v>
      </c>
      <c r="G559" s="1">
        <v>1.27</v>
      </c>
      <c r="H559" s="1" t="s">
        <v>20</v>
      </c>
      <c r="I559" t="s">
        <v>34</v>
      </c>
      <c r="J559" t="s">
        <v>35</v>
      </c>
      <c r="K559" t="s">
        <v>36</v>
      </c>
      <c r="L559" t="s">
        <v>37</v>
      </c>
      <c r="M559" t="str">
        <f t="shared" si="24"/>
        <v>non-charge-altering-6kiw</v>
      </c>
      <c r="N559" t="str">
        <f t="shared" si="25"/>
        <v>6kiw</v>
      </c>
      <c r="O559" s="2" t="s">
        <v>25</v>
      </c>
      <c r="P559" s="2" t="str">
        <f t="shared" si="26"/>
        <v>G-L93V</v>
      </c>
    </row>
    <row r="560" spans="1:16">
      <c r="A560" s="1" t="s">
        <v>26</v>
      </c>
      <c r="B560" s="1" t="s">
        <v>27</v>
      </c>
      <c r="C560" s="1" t="s">
        <v>19</v>
      </c>
      <c r="D560" s="1">
        <v>26</v>
      </c>
      <c r="E560" s="1" t="s">
        <v>58</v>
      </c>
      <c r="F560" s="1" t="s">
        <v>30</v>
      </c>
      <c r="G560" s="1">
        <v>0.39</v>
      </c>
      <c r="H560" s="1" t="s">
        <v>20</v>
      </c>
      <c r="I560" t="s">
        <v>34</v>
      </c>
      <c r="J560" t="s">
        <v>35</v>
      </c>
      <c r="K560" t="s">
        <v>36</v>
      </c>
      <c r="L560" t="s">
        <v>37</v>
      </c>
      <c r="M560" t="str">
        <f t="shared" si="24"/>
        <v>non-charge-altering-6kiw</v>
      </c>
      <c r="N560" t="str">
        <f t="shared" si="25"/>
        <v>6kiw</v>
      </c>
      <c r="O560" s="2" t="s">
        <v>25</v>
      </c>
      <c r="P560" s="2" t="str">
        <f t="shared" si="26"/>
        <v>G-P26Q</v>
      </c>
    </row>
    <row r="561" spans="1:16">
      <c r="A561" s="1" t="s">
        <v>26</v>
      </c>
      <c r="B561" s="1" t="s">
        <v>27</v>
      </c>
      <c r="C561" s="1" t="s">
        <v>19</v>
      </c>
      <c r="D561" s="1">
        <v>104</v>
      </c>
      <c r="E561" s="1" t="s">
        <v>30</v>
      </c>
      <c r="F561" s="1" t="s">
        <v>58</v>
      </c>
      <c r="G561" s="1">
        <v>1.24</v>
      </c>
      <c r="H561" s="1" t="s">
        <v>20</v>
      </c>
      <c r="I561" t="s">
        <v>34</v>
      </c>
      <c r="J561" t="s">
        <v>35</v>
      </c>
      <c r="K561" t="s">
        <v>36</v>
      </c>
      <c r="L561" t="s">
        <v>37</v>
      </c>
      <c r="M561" t="str">
        <f t="shared" si="24"/>
        <v>non-charge-altering-6kiw</v>
      </c>
      <c r="N561" t="str">
        <f t="shared" si="25"/>
        <v>6kiw</v>
      </c>
      <c r="O561" s="2" t="s">
        <v>25</v>
      </c>
      <c r="P561" s="2" t="str">
        <f t="shared" si="26"/>
        <v>G-Q104P</v>
      </c>
    </row>
    <row r="562" spans="1:16">
      <c r="A562" s="1" t="s">
        <v>26</v>
      </c>
      <c r="B562" s="1" t="s">
        <v>27</v>
      </c>
      <c r="C562" s="1" t="s">
        <v>19</v>
      </c>
      <c r="D562" s="1">
        <v>71</v>
      </c>
      <c r="E562" s="1" t="s">
        <v>43</v>
      </c>
      <c r="F562" s="1" t="s">
        <v>56</v>
      </c>
      <c r="G562" s="1">
        <v>0.97</v>
      </c>
      <c r="H562" s="1" t="s">
        <v>20</v>
      </c>
      <c r="I562" t="s">
        <v>44</v>
      </c>
      <c r="J562" t="s">
        <v>35</v>
      </c>
      <c r="K562" t="s">
        <v>36</v>
      </c>
      <c r="L562" t="s">
        <v>37</v>
      </c>
      <c r="M562" t="str">
        <f t="shared" si="24"/>
        <v>non-charge-altering-6kiw</v>
      </c>
      <c r="N562" t="str">
        <f t="shared" si="25"/>
        <v>6kiw</v>
      </c>
      <c r="O562" s="2" t="s">
        <v>25</v>
      </c>
      <c r="P562" s="2" t="str">
        <f t="shared" si="26"/>
        <v>G-R71H</v>
      </c>
    </row>
    <row r="563" spans="1:16">
      <c r="A563" s="1" t="s">
        <v>26</v>
      </c>
      <c r="B563" s="1" t="s">
        <v>27</v>
      </c>
      <c r="C563" s="1" t="s">
        <v>19</v>
      </c>
      <c r="D563" s="1">
        <v>59</v>
      </c>
      <c r="E563" s="1" t="s">
        <v>47</v>
      </c>
      <c r="F563" s="1" t="s">
        <v>48</v>
      </c>
      <c r="G563" s="1">
        <v>0.87</v>
      </c>
      <c r="H563" s="1" t="s">
        <v>20</v>
      </c>
      <c r="I563" t="s">
        <v>34</v>
      </c>
      <c r="J563" t="s">
        <v>35</v>
      </c>
      <c r="K563" t="s">
        <v>36</v>
      </c>
      <c r="L563" t="s">
        <v>37</v>
      </c>
      <c r="M563" t="str">
        <f t="shared" si="24"/>
        <v>non-charge-altering-6kiw</v>
      </c>
      <c r="N563" t="str">
        <f t="shared" si="25"/>
        <v>6kiw</v>
      </c>
      <c r="O563" s="2" t="s">
        <v>25</v>
      </c>
      <c r="P563" s="2" t="str">
        <f t="shared" si="26"/>
        <v>G-T59I</v>
      </c>
    </row>
    <row r="564" spans="1:16">
      <c r="A564" s="1" t="s">
        <v>26</v>
      </c>
      <c r="B564" s="1" t="s">
        <v>27</v>
      </c>
      <c r="C564" s="1" t="s">
        <v>19</v>
      </c>
      <c r="D564" s="1">
        <v>30</v>
      </c>
      <c r="E564" s="1" t="s">
        <v>61</v>
      </c>
      <c r="F564" s="1" t="s">
        <v>19</v>
      </c>
      <c r="G564" s="1">
        <v>0.49</v>
      </c>
      <c r="H564" s="1" t="s">
        <v>20</v>
      </c>
      <c r="I564" t="s">
        <v>34</v>
      </c>
      <c r="J564" t="s">
        <v>35</v>
      </c>
      <c r="K564" t="s">
        <v>36</v>
      </c>
      <c r="L564" t="s">
        <v>37</v>
      </c>
      <c r="M564" t="str">
        <f t="shared" si="24"/>
        <v>non-charge-altering-6kiw</v>
      </c>
      <c r="N564" t="str">
        <f t="shared" si="25"/>
        <v>6kiw</v>
      </c>
      <c r="O564" s="2" t="s">
        <v>25</v>
      </c>
      <c r="P564" s="2" t="str">
        <f t="shared" si="26"/>
        <v>G-V30G</v>
      </c>
    </row>
    <row r="565" spans="1:16">
      <c r="A565" s="1" t="s">
        <v>26</v>
      </c>
      <c r="B565" s="1" t="s">
        <v>27</v>
      </c>
      <c r="C565" s="1" t="s">
        <v>19</v>
      </c>
      <c r="D565" s="1">
        <v>30</v>
      </c>
      <c r="E565" s="1" t="s">
        <v>61</v>
      </c>
      <c r="F565" s="1" t="s">
        <v>63</v>
      </c>
      <c r="G565" s="1">
        <v>0.31</v>
      </c>
      <c r="H565" s="1" t="s">
        <v>20</v>
      </c>
      <c r="I565" t="s">
        <v>34</v>
      </c>
      <c r="J565" t="s">
        <v>35</v>
      </c>
      <c r="K565" t="s">
        <v>36</v>
      </c>
      <c r="L565" t="s">
        <v>37</v>
      </c>
      <c r="M565" t="str">
        <f t="shared" si="24"/>
        <v>non-charge-altering-6kiw</v>
      </c>
      <c r="N565" t="str">
        <f t="shared" si="25"/>
        <v>6kiw</v>
      </c>
      <c r="O565" s="2" t="s">
        <v>25</v>
      </c>
      <c r="P565" s="2" t="str">
        <f t="shared" si="26"/>
        <v>G-V30M</v>
      </c>
    </row>
    <row r="566" spans="1:16">
      <c r="A566" s="1" t="s">
        <v>26</v>
      </c>
      <c r="B566" s="1" t="s">
        <v>27</v>
      </c>
      <c r="C566" s="1" t="s">
        <v>19</v>
      </c>
      <c r="D566" s="1">
        <v>43</v>
      </c>
      <c r="E566" s="1" t="s">
        <v>61</v>
      </c>
      <c r="F566" s="1" t="s">
        <v>39</v>
      </c>
      <c r="G566" s="1">
        <v>0.42</v>
      </c>
      <c r="H566" s="1" t="s">
        <v>20</v>
      </c>
      <c r="I566" t="s">
        <v>34</v>
      </c>
      <c r="J566" t="s">
        <v>35</v>
      </c>
      <c r="K566" t="s">
        <v>36</v>
      </c>
      <c r="L566" t="s">
        <v>37</v>
      </c>
      <c r="M566" t="str">
        <f t="shared" si="24"/>
        <v>non-charge-altering-6kiw</v>
      </c>
      <c r="N566" t="str">
        <f t="shared" si="25"/>
        <v>6kiw</v>
      </c>
      <c r="O566" s="2" t="s">
        <v>25</v>
      </c>
      <c r="P566" s="2" t="str">
        <f t="shared" si="26"/>
        <v>G-V43L</v>
      </c>
    </row>
    <row r="567" spans="1:16">
      <c r="A567" s="1" t="s">
        <v>26</v>
      </c>
      <c r="B567" s="1" t="s">
        <v>27</v>
      </c>
      <c r="C567" s="1" t="s">
        <v>19</v>
      </c>
      <c r="D567" s="1">
        <v>50</v>
      </c>
      <c r="E567" s="1" t="s">
        <v>49</v>
      </c>
      <c r="F567" s="1" t="s">
        <v>33</v>
      </c>
      <c r="G567" s="1">
        <v>1.01</v>
      </c>
      <c r="H567" s="1" t="s">
        <v>20</v>
      </c>
      <c r="I567" t="s">
        <v>34</v>
      </c>
      <c r="J567" t="s">
        <v>35</v>
      </c>
      <c r="K567" t="s">
        <v>36</v>
      </c>
      <c r="L567" t="s">
        <v>37</v>
      </c>
      <c r="M567" t="str">
        <f t="shared" si="24"/>
        <v>non-charge-altering-6kiw</v>
      </c>
      <c r="N567" t="str">
        <f t="shared" si="25"/>
        <v>6kiw</v>
      </c>
      <c r="O567" s="2" t="s">
        <v>25</v>
      </c>
      <c r="P567" s="2" t="str">
        <f t="shared" si="26"/>
        <v>G-Y50F</v>
      </c>
    </row>
    <row r="568" spans="1:16">
      <c r="A568" s="1" t="s">
        <v>26</v>
      </c>
      <c r="B568" s="1" t="s">
        <v>27</v>
      </c>
      <c r="C568" s="1" t="s">
        <v>19</v>
      </c>
      <c r="D568" s="1">
        <v>50</v>
      </c>
      <c r="E568" s="1" t="s">
        <v>49</v>
      </c>
      <c r="F568" s="1" t="s">
        <v>41</v>
      </c>
      <c r="G568" s="1">
        <v>2.4</v>
      </c>
      <c r="H568" s="1" t="s">
        <v>20</v>
      </c>
      <c r="I568" t="s">
        <v>34</v>
      </c>
      <c r="J568" t="s">
        <v>35</v>
      </c>
      <c r="K568" t="s">
        <v>36</v>
      </c>
      <c r="L568" t="s">
        <v>37</v>
      </c>
      <c r="M568" t="str">
        <f t="shared" si="24"/>
        <v>non-charge-altering-6kiw</v>
      </c>
      <c r="N568" t="str">
        <f t="shared" si="25"/>
        <v>6kiw</v>
      </c>
      <c r="O568" s="2" t="s">
        <v>25</v>
      </c>
      <c r="P568" s="2" t="str">
        <f t="shared" si="26"/>
        <v>G-Y50N</v>
      </c>
    </row>
    <row r="569" spans="1:16">
      <c r="A569" s="1" t="s">
        <v>26</v>
      </c>
      <c r="B569" s="1" t="s">
        <v>27</v>
      </c>
      <c r="C569" s="1" t="s">
        <v>18</v>
      </c>
      <c r="D569" s="1">
        <v>90</v>
      </c>
      <c r="E569" s="1" t="s">
        <v>29</v>
      </c>
      <c r="F569" s="1" t="s">
        <v>18</v>
      </c>
      <c r="G569" s="1">
        <v>0.96</v>
      </c>
      <c r="H569" s="1" t="s">
        <v>20</v>
      </c>
      <c r="I569" t="s">
        <v>62</v>
      </c>
      <c r="J569" t="s">
        <v>35</v>
      </c>
      <c r="K569" t="s">
        <v>36</v>
      </c>
      <c r="L569" t="s">
        <v>37</v>
      </c>
      <c r="M569" t="str">
        <f t="shared" si="24"/>
        <v>non-charge-altering-6kiw</v>
      </c>
      <c r="N569" t="str">
        <f t="shared" si="25"/>
        <v>6kiw</v>
      </c>
      <c r="O569" s="2" t="s">
        <v>45</v>
      </c>
      <c r="P569" s="2" t="str">
        <f t="shared" si="26"/>
        <v>D-E90D</v>
      </c>
    </row>
    <row r="570" spans="1:16">
      <c r="A570" s="1" t="s">
        <v>26</v>
      </c>
      <c r="B570" s="1" t="s">
        <v>27</v>
      </c>
      <c r="C570" s="1" t="s">
        <v>18</v>
      </c>
      <c r="D570" s="1">
        <v>62</v>
      </c>
      <c r="E570" s="1" t="s">
        <v>33</v>
      </c>
      <c r="F570" s="1" t="s">
        <v>17</v>
      </c>
      <c r="G570" s="1">
        <v>1.4</v>
      </c>
      <c r="H570" s="1" t="s">
        <v>20</v>
      </c>
      <c r="I570" t="s">
        <v>34</v>
      </c>
      <c r="J570" t="s">
        <v>35</v>
      </c>
      <c r="K570" t="s">
        <v>36</v>
      </c>
      <c r="L570" t="s">
        <v>37</v>
      </c>
      <c r="M570" t="str">
        <f t="shared" si="24"/>
        <v>non-charge-altering-6kiw</v>
      </c>
      <c r="N570" t="str">
        <f t="shared" si="25"/>
        <v>6kiw</v>
      </c>
      <c r="O570" s="2" t="s">
        <v>45</v>
      </c>
      <c r="P570" s="2" t="str">
        <f t="shared" si="26"/>
        <v>D-F62C</v>
      </c>
    </row>
    <row r="571" spans="1:16">
      <c r="A571" s="1" t="s">
        <v>26</v>
      </c>
      <c r="B571" s="1" t="s">
        <v>27</v>
      </c>
      <c r="C571" s="1" t="s">
        <v>18</v>
      </c>
      <c r="D571" s="1">
        <v>67</v>
      </c>
      <c r="E571" s="1" t="s">
        <v>33</v>
      </c>
      <c r="F571" s="1" t="s">
        <v>39</v>
      </c>
      <c r="G571" s="1">
        <v>1.57</v>
      </c>
      <c r="H571" s="1" t="s">
        <v>20</v>
      </c>
      <c r="I571" t="s">
        <v>34</v>
      </c>
      <c r="J571" t="s">
        <v>35</v>
      </c>
      <c r="K571" t="s">
        <v>36</v>
      </c>
      <c r="L571" t="s">
        <v>37</v>
      </c>
      <c r="M571" t="str">
        <f t="shared" si="24"/>
        <v>non-charge-altering-6kiw</v>
      </c>
      <c r="N571" t="str">
        <f t="shared" si="25"/>
        <v>6kiw</v>
      </c>
      <c r="O571" s="2" t="s">
        <v>45</v>
      </c>
      <c r="P571" s="2" t="str">
        <f t="shared" si="26"/>
        <v>D-F67L</v>
      </c>
    </row>
    <row r="572" spans="1:16">
      <c r="A572" s="1" t="s">
        <v>26</v>
      </c>
      <c r="B572" s="1" t="s">
        <v>27</v>
      </c>
      <c r="C572" s="1" t="s">
        <v>18</v>
      </c>
      <c r="D572" s="1">
        <v>101</v>
      </c>
      <c r="E572" s="1" t="s">
        <v>19</v>
      </c>
      <c r="F572" s="1" t="s">
        <v>64</v>
      </c>
      <c r="G572" s="1">
        <v>0.35</v>
      </c>
      <c r="H572" s="1" t="s">
        <v>20</v>
      </c>
      <c r="I572" t="s">
        <v>34</v>
      </c>
      <c r="J572" t="s">
        <v>35</v>
      </c>
      <c r="K572" t="s">
        <v>36</v>
      </c>
      <c r="L572" t="s">
        <v>37</v>
      </c>
      <c r="M572" t="str">
        <f t="shared" si="24"/>
        <v>non-charge-altering-6kiw</v>
      </c>
      <c r="N572" t="str">
        <f t="shared" si="25"/>
        <v>6kiw</v>
      </c>
      <c r="O572" s="2" t="s">
        <v>45</v>
      </c>
      <c r="P572" s="2" t="str">
        <f t="shared" si="26"/>
        <v>D-G101W</v>
      </c>
    </row>
    <row r="573" spans="1:16">
      <c r="A573" s="1" t="s">
        <v>26</v>
      </c>
      <c r="B573" s="1" t="s">
        <v>27</v>
      </c>
      <c r="C573" s="1" t="s">
        <v>18</v>
      </c>
      <c r="D573" s="1">
        <v>50</v>
      </c>
      <c r="E573" s="1" t="s">
        <v>19</v>
      </c>
      <c r="F573" s="1" t="s">
        <v>32</v>
      </c>
      <c r="G573" s="1">
        <v>0.38</v>
      </c>
      <c r="H573" s="1" t="s">
        <v>20</v>
      </c>
      <c r="I573" t="s">
        <v>34</v>
      </c>
      <c r="J573" t="s">
        <v>35</v>
      </c>
      <c r="K573" t="s">
        <v>36</v>
      </c>
      <c r="L573" t="s">
        <v>37</v>
      </c>
      <c r="M573" t="str">
        <f t="shared" si="24"/>
        <v>non-charge-altering-6kiw</v>
      </c>
      <c r="N573" t="str">
        <f t="shared" si="25"/>
        <v>6kiw</v>
      </c>
      <c r="O573" s="2" t="s">
        <v>45</v>
      </c>
      <c r="P573" s="2" t="str">
        <f t="shared" si="26"/>
        <v>D-G50A</v>
      </c>
    </row>
    <row r="574" spans="1:16">
      <c r="A574" s="1" t="s">
        <v>26</v>
      </c>
      <c r="B574" s="1" t="s">
        <v>27</v>
      </c>
      <c r="C574" s="1" t="s">
        <v>18</v>
      </c>
      <c r="D574" s="1">
        <v>50</v>
      </c>
      <c r="E574" s="1" t="s">
        <v>19</v>
      </c>
      <c r="F574" s="1" t="s">
        <v>17</v>
      </c>
      <c r="G574" s="1">
        <v>0.13</v>
      </c>
      <c r="H574" s="1" t="s">
        <v>20</v>
      </c>
      <c r="I574" t="s">
        <v>34</v>
      </c>
      <c r="J574" t="s">
        <v>35</v>
      </c>
      <c r="K574" t="s">
        <v>36</v>
      </c>
      <c r="L574" t="s">
        <v>37</v>
      </c>
      <c r="M574" t="str">
        <f t="shared" si="24"/>
        <v>non-charge-altering-6kiw</v>
      </c>
      <c r="N574" t="str">
        <f t="shared" si="25"/>
        <v>6kiw</v>
      </c>
      <c r="O574" s="2" t="s">
        <v>45</v>
      </c>
      <c r="P574" s="2" t="str">
        <f t="shared" si="26"/>
        <v>D-G50C</v>
      </c>
    </row>
    <row r="575" spans="1:16">
      <c r="A575" s="1" t="s">
        <v>26</v>
      </c>
      <c r="B575" s="1" t="s">
        <v>27</v>
      </c>
      <c r="C575" s="1" t="s">
        <v>18</v>
      </c>
      <c r="D575" s="1">
        <v>86</v>
      </c>
      <c r="E575" s="1" t="s">
        <v>48</v>
      </c>
      <c r="F575" s="1" t="s">
        <v>47</v>
      </c>
      <c r="G575" s="1">
        <v>-0.09</v>
      </c>
      <c r="H575" s="1" t="s">
        <v>59</v>
      </c>
      <c r="I575" t="s">
        <v>34</v>
      </c>
      <c r="J575" t="s">
        <v>35</v>
      </c>
      <c r="K575" t="s">
        <v>36</v>
      </c>
      <c r="L575" t="s">
        <v>37</v>
      </c>
      <c r="M575" t="str">
        <f t="shared" si="24"/>
        <v>non-charge-altering-6kiw</v>
      </c>
      <c r="N575" t="str">
        <f t="shared" si="25"/>
        <v>6kiw</v>
      </c>
      <c r="O575" s="2" t="s">
        <v>45</v>
      </c>
      <c r="P575" s="2" t="str">
        <f t="shared" si="26"/>
        <v>D-I86T</v>
      </c>
    </row>
    <row r="576" spans="1:16">
      <c r="A576" s="1" t="s">
        <v>26</v>
      </c>
      <c r="B576" s="1" t="s">
        <v>27</v>
      </c>
      <c r="C576" s="1" t="s">
        <v>18</v>
      </c>
      <c r="D576" s="1">
        <v>103</v>
      </c>
      <c r="E576" s="1" t="s">
        <v>39</v>
      </c>
      <c r="F576" s="1" t="s">
        <v>61</v>
      </c>
      <c r="G576" s="1">
        <v>1.09</v>
      </c>
      <c r="H576" s="1" t="s">
        <v>20</v>
      </c>
      <c r="I576" t="s">
        <v>34</v>
      </c>
      <c r="J576" t="s">
        <v>35</v>
      </c>
      <c r="K576" t="s">
        <v>36</v>
      </c>
      <c r="L576" t="s">
        <v>37</v>
      </c>
      <c r="M576" t="str">
        <f t="shared" si="24"/>
        <v>non-charge-altering-6kiw</v>
      </c>
      <c r="N576" t="str">
        <f t="shared" si="25"/>
        <v>6kiw</v>
      </c>
      <c r="O576" s="2" t="s">
        <v>45</v>
      </c>
      <c r="P576" s="2" t="str">
        <f t="shared" si="26"/>
        <v>D-L103V</v>
      </c>
    </row>
    <row r="577" spans="1:16">
      <c r="A577" s="1" t="s">
        <v>26</v>
      </c>
      <c r="B577" s="1" t="s">
        <v>27</v>
      </c>
      <c r="C577" s="1" t="s">
        <v>18</v>
      </c>
      <c r="D577" s="1">
        <v>99</v>
      </c>
      <c r="E577" s="1" t="s">
        <v>39</v>
      </c>
      <c r="F577" s="1" t="s">
        <v>61</v>
      </c>
      <c r="G577" s="1">
        <v>1.18</v>
      </c>
      <c r="H577" s="1" t="s">
        <v>20</v>
      </c>
      <c r="I577" t="s">
        <v>34</v>
      </c>
      <c r="J577" t="s">
        <v>35</v>
      </c>
      <c r="K577" t="s">
        <v>36</v>
      </c>
      <c r="L577" t="s">
        <v>37</v>
      </c>
      <c r="M577" t="str">
        <f t="shared" si="24"/>
        <v>non-charge-altering-6kiw</v>
      </c>
      <c r="N577" t="str">
        <f t="shared" si="25"/>
        <v>6kiw</v>
      </c>
      <c r="O577" s="2" t="s">
        <v>45</v>
      </c>
      <c r="P577" s="2" t="str">
        <f t="shared" si="26"/>
        <v>D-L99V</v>
      </c>
    </row>
    <row r="578" spans="1:16">
      <c r="A578" s="1" t="s">
        <v>26</v>
      </c>
      <c r="B578" s="1" t="s">
        <v>27</v>
      </c>
      <c r="C578" s="1" t="s">
        <v>18</v>
      </c>
      <c r="D578" s="1">
        <v>59</v>
      </c>
      <c r="E578" s="1" t="s">
        <v>63</v>
      </c>
      <c r="F578" s="1" t="s">
        <v>48</v>
      </c>
      <c r="G578" s="1">
        <v>1.02</v>
      </c>
      <c r="H578" s="1" t="s">
        <v>20</v>
      </c>
      <c r="I578" t="s">
        <v>34</v>
      </c>
      <c r="J578" t="s">
        <v>35</v>
      </c>
      <c r="K578" t="s">
        <v>36</v>
      </c>
      <c r="L578" t="s">
        <v>37</v>
      </c>
      <c r="M578" t="str">
        <f t="shared" ref="M578:M641" si="27">L578&amp;"-"&amp;LEFT(A578,4)</f>
        <v>non-charge-altering-6kiw</v>
      </c>
      <c r="N578" t="str">
        <f t="shared" ref="N578:N641" si="28">LEFT(A578,4)</f>
        <v>6kiw</v>
      </c>
      <c r="O578" s="2" t="s">
        <v>45</v>
      </c>
      <c r="P578" s="2" t="str">
        <f t="shared" ref="P578:P641" si="29">C578&amp;"-"&amp;E578&amp;D578&amp;F578</f>
        <v>D-M59I</v>
      </c>
    </row>
    <row r="579" spans="1:16">
      <c r="A579" s="1" t="s">
        <v>26</v>
      </c>
      <c r="B579" s="1" t="s">
        <v>27</v>
      </c>
      <c r="C579" s="1" t="s">
        <v>18</v>
      </c>
      <c r="D579" s="1">
        <v>100</v>
      </c>
      <c r="E579" s="1" t="s">
        <v>58</v>
      </c>
      <c r="F579" s="1" t="s">
        <v>46</v>
      </c>
      <c r="G579" s="1">
        <v>0.81</v>
      </c>
      <c r="H579" s="1" t="s">
        <v>20</v>
      </c>
      <c r="I579" t="s">
        <v>34</v>
      </c>
      <c r="J579" t="s">
        <v>35</v>
      </c>
      <c r="K579" t="s">
        <v>36</v>
      </c>
      <c r="L579" t="s">
        <v>37</v>
      </c>
      <c r="M579" t="str">
        <f t="shared" si="27"/>
        <v>non-charge-altering-6kiw</v>
      </c>
      <c r="N579" t="str">
        <f t="shared" si="28"/>
        <v>6kiw</v>
      </c>
      <c r="O579" s="2" t="s">
        <v>45</v>
      </c>
      <c r="P579" s="2" t="str">
        <f t="shared" si="29"/>
        <v>D-P100S</v>
      </c>
    </row>
    <row r="580" spans="1:16">
      <c r="A580" s="1" t="s">
        <v>26</v>
      </c>
      <c r="B580" s="1" t="s">
        <v>27</v>
      </c>
      <c r="C580" s="1" t="s">
        <v>18</v>
      </c>
      <c r="D580" s="1">
        <v>100</v>
      </c>
      <c r="E580" s="1" t="s">
        <v>58</v>
      </c>
      <c r="F580" s="1" t="s">
        <v>47</v>
      </c>
      <c r="G580" s="1">
        <v>0.55</v>
      </c>
      <c r="H580" s="1" t="s">
        <v>20</v>
      </c>
      <c r="I580" t="s">
        <v>34</v>
      </c>
      <c r="J580" t="s">
        <v>35</v>
      </c>
      <c r="K580" t="s">
        <v>36</v>
      </c>
      <c r="L580" t="s">
        <v>37</v>
      </c>
      <c r="M580" t="str">
        <f t="shared" si="27"/>
        <v>non-charge-altering-6kiw</v>
      </c>
      <c r="N580" t="str">
        <f t="shared" si="28"/>
        <v>6kiw</v>
      </c>
      <c r="O580" s="2" t="s">
        <v>45</v>
      </c>
      <c r="P580" s="2" t="str">
        <f t="shared" si="29"/>
        <v>D-P100T</v>
      </c>
    </row>
    <row r="581" spans="1:16">
      <c r="A581" s="1" t="s">
        <v>26</v>
      </c>
      <c r="B581" s="1" t="s">
        <v>27</v>
      </c>
      <c r="C581" s="1" t="s">
        <v>18</v>
      </c>
      <c r="D581" s="1">
        <v>69</v>
      </c>
      <c r="E581" s="1" t="s">
        <v>43</v>
      </c>
      <c r="F581" s="1" t="s">
        <v>56</v>
      </c>
      <c r="G581" s="1">
        <v>0.62</v>
      </c>
      <c r="H581" s="1" t="s">
        <v>20</v>
      </c>
      <c r="I581" t="s">
        <v>44</v>
      </c>
      <c r="J581" t="s">
        <v>35</v>
      </c>
      <c r="K581" t="s">
        <v>36</v>
      </c>
      <c r="L581" t="s">
        <v>37</v>
      </c>
      <c r="M581" t="str">
        <f t="shared" si="27"/>
        <v>non-charge-altering-6kiw</v>
      </c>
      <c r="N581" t="str">
        <f t="shared" si="28"/>
        <v>6kiw</v>
      </c>
      <c r="O581" s="2" t="s">
        <v>45</v>
      </c>
      <c r="P581" s="2" t="str">
        <f t="shared" si="29"/>
        <v>D-R69H</v>
      </c>
    </row>
    <row r="582" spans="1:16">
      <c r="A582" s="1" t="s">
        <v>26</v>
      </c>
      <c r="B582" s="1" t="s">
        <v>27</v>
      </c>
      <c r="C582" s="1" t="s">
        <v>18</v>
      </c>
      <c r="D582" s="1">
        <v>89</v>
      </c>
      <c r="E582" s="1" t="s">
        <v>43</v>
      </c>
      <c r="F582" s="1" t="s">
        <v>40</v>
      </c>
      <c r="G582" s="1">
        <v>0.57</v>
      </c>
      <c r="H582" s="1" t="s">
        <v>20</v>
      </c>
      <c r="I582" t="s">
        <v>44</v>
      </c>
      <c r="J582" t="s">
        <v>35</v>
      </c>
      <c r="K582" t="s">
        <v>36</v>
      </c>
      <c r="L582" t="s">
        <v>37</v>
      </c>
      <c r="M582" t="str">
        <f t="shared" si="27"/>
        <v>non-charge-altering-6kiw</v>
      </c>
      <c r="N582" t="str">
        <f t="shared" si="28"/>
        <v>6kiw</v>
      </c>
      <c r="O582" s="2" t="s">
        <v>45</v>
      </c>
      <c r="P582" s="2" t="str">
        <f t="shared" si="29"/>
        <v>D-R89K</v>
      </c>
    </row>
    <row r="583" spans="1:16">
      <c r="A583" s="1" t="s">
        <v>26</v>
      </c>
      <c r="B583" s="1" t="s">
        <v>27</v>
      </c>
      <c r="C583" s="1" t="s">
        <v>18</v>
      </c>
      <c r="D583" s="1">
        <v>33</v>
      </c>
      <c r="E583" s="1" t="s">
        <v>46</v>
      </c>
      <c r="F583" s="1" t="s">
        <v>41</v>
      </c>
      <c r="G583" s="1">
        <v>0.24</v>
      </c>
      <c r="H583" s="1" t="s">
        <v>20</v>
      </c>
      <c r="I583" t="s">
        <v>34</v>
      </c>
      <c r="J583" t="s">
        <v>35</v>
      </c>
      <c r="K583" t="s">
        <v>36</v>
      </c>
      <c r="L583" t="s">
        <v>37</v>
      </c>
      <c r="M583" t="str">
        <f t="shared" si="27"/>
        <v>non-charge-altering-6kiw</v>
      </c>
      <c r="N583" t="str">
        <f t="shared" si="28"/>
        <v>6kiw</v>
      </c>
      <c r="O583" s="2" t="s">
        <v>45</v>
      </c>
      <c r="P583" s="2" t="str">
        <f t="shared" si="29"/>
        <v>D-S33N</v>
      </c>
    </row>
    <row r="584" spans="1:16">
      <c r="A584" s="1" t="s">
        <v>26</v>
      </c>
      <c r="B584" s="1" t="s">
        <v>27</v>
      </c>
      <c r="C584" s="1" t="s">
        <v>18</v>
      </c>
      <c r="D584" s="1">
        <v>52</v>
      </c>
      <c r="E584" s="1" t="s">
        <v>46</v>
      </c>
      <c r="F584" s="1" t="s">
        <v>39</v>
      </c>
      <c r="G584" s="1">
        <v>0.66</v>
      </c>
      <c r="H584" s="1" t="s">
        <v>20</v>
      </c>
      <c r="I584" t="s">
        <v>34</v>
      </c>
      <c r="J584" t="s">
        <v>35</v>
      </c>
      <c r="K584" t="s">
        <v>36</v>
      </c>
      <c r="L584" t="s">
        <v>37</v>
      </c>
      <c r="M584" t="str">
        <f t="shared" si="27"/>
        <v>non-charge-altering-6kiw</v>
      </c>
      <c r="N584" t="str">
        <f t="shared" si="28"/>
        <v>6kiw</v>
      </c>
      <c r="O584" s="2" t="s">
        <v>45</v>
      </c>
      <c r="P584" s="2" t="str">
        <f t="shared" si="29"/>
        <v>D-S52L</v>
      </c>
    </row>
    <row r="585" spans="1:16">
      <c r="A585" s="1" t="s">
        <v>26</v>
      </c>
      <c r="B585" s="1" t="s">
        <v>27</v>
      </c>
      <c r="C585" s="1" t="s">
        <v>18</v>
      </c>
      <c r="D585" s="1">
        <v>84</v>
      </c>
      <c r="E585" s="1" t="s">
        <v>46</v>
      </c>
      <c r="F585" s="1" t="s">
        <v>64</v>
      </c>
      <c r="G585" s="1">
        <v>0.52</v>
      </c>
      <c r="H585" s="1" t="s">
        <v>20</v>
      </c>
      <c r="I585" t="s">
        <v>34</v>
      </c>
      <c r="J585" t="s">
        <v>35</v>
      </c>
      <c r="K585" t="s">
        <v>36</v>
      </c>
      <c r="L585" t="s">
        <v>37</v>
      </c>
      <c r="M585" t="str">
        <f t="shared" si="27"/>
        <v>non-charge-altering-6kiw</v>
      </c>
      <c r="N585" t="str">
        <f t="shared" si="28"/>
        <v>6kiw</v>
      </c>
      <c r="O585" s="2" t="s">
        <v>45</v>
      </c>
      <c r="P585" s="2" t="str">
        <f t="shared" si="29"/>
        <v>D-S84W</v>
      </c>
    </row>
    <row r="586" spans="1:16">
      <c r="A586" s="1" t="s">
        <v>26</v>
      </c>
      <c r="B586" s="1" t="s">
        <v>27</v>
      </c>
      <c r="C586" s="1" t="s">
        <v>18</v>
      </c>
      <c r="D586" s="1">
        <v>112</v>
      </c>
      <c r="E586" s="1" t="s">
        <v>47</v>
      </c>
      <c r="F586" s="1" t="s">
        <v>46</v>
      </c>
      <c r="G586" s="1">
        <v>1.3</v>
      </c>
      <c r="H586" s="1" t="s">
        <v>20</v>
      </c>
      <c r="I586" t="s">
        <v>34</v>
      </c>
      <c r="J586" t="s">
        <v>35</v>
      </c>
      <c r="K586" t="s">
        <v>36</v>
      </c>
      <c r="L586" t="s">
        <v>37</v>
      </c>
      <c r="M586" t="str">
        <f t="shared" si="27"/>
        <v>non-charge-altering-6kiw</v>
      </c>
      <c r="N586" t="str">
        <f t="shared" si="28"/>
        <v>6kiw</v>
      </c>
      <c r="O586" s="2" t="s">
        <v>45</v>
      </c>
      <c r="P586" s="2" t="str">
        <f t="shared" si="29"/>
        <v>D-T112S</v>
      </c>
    </row>
    <row r="587" spans="1:16">
      <c r="A587" s="1" t="s">
        <v>26</v>
      </c>
      <c r="B587" s="1" t="s">
        <v>27</v>
      </c>
      <c r="C587" s="1" t="s">
        <v>18</v>
      </c>
      <c r="D587" s="1">
        <v>85</v>
      </c>
      <c r="E587" s="1" t="s">
        <v>47</v>
      </c>
      <c r="F587" s="1" t="s">
        <v>48</v>
      </c>
      <c r="G587" s="1">
        <v>0.89</v>
      </c>
      <c r="H587" s="1" t="s">
        <v>20</v>
      </c>
      <c r="I587" t="s">
        <v>34</v>
      </c>
      <c r="J587" t="s">
        <v>35</v>
      </c>
      <c r="K587" t="s">
        <v>36</v>
      </c>
      <c r="L587" t="s">
        <v>37</v>
      </c>
      <c r="M587" t="str">
        <f t="shared" si="27"/>
        <v>non-charge-altering-6kiw</v>
      </c>
      <c r="N587" t="str">
        <f t="shared" si="28"/>
        <v>6kiw</v>
      </c>
      <c r="O587" s="2" t="s">
        <v>45</v>
      </c>
      <c r="P587" s="2" t="str">
        <f t="shared" si="29"/>
        <v>D-T85I</v>
      </c>
    </row>
    <row r="588" spans="1:16">
      <c r="A588" s="1" t="s">
        <v>26</v>
      </c>
      <c r="B588" s="1" t="s">
        <v>27</v>
      </c>
      <c r="C588" s="1" t="s">
        <v>18</v>
      </c>
      <c r="D588" s="1">
        <v>95</v>
      </c>
      <c r="E588" s="1" t="s">
        <v>61</v>
      </c>
      <c r="F588" s="1" t="s">
        <v>39</v>
      </c>
      <c r="G588" s="1">
        <v>0.36</v>
      </c>
      <c r="H588" s="1" t="s">
        <v>20</v>
      </c>
      <c r="I588" t="s">
        <v>34</v>
      </c>
      <c r="J588" t="s">
        <v>35</v>
      </c>
      <c r="K588" t="s">
        <v>36</v>
      </c>
      <c r="L588" t="s">
        <v>37</v>
      </c>
      <c r="M588" t="str">
        <f t="shared" si="27"/>
        <v>non-charge-altering-6kiw</v>
      </c>
      <c r="N588" t="str">
        <f t="shared" si="28"/>
        <v>6kiw</v>
      </c>
      <c r="O588" s="2" t="s">
        <v>45</v>
      </c>
      <c r="P588" s="2" t="str">
        <f t="shared" si="29"/>
        <v>D-V95L</v>
      </c>
    </row>
    <row r="589" spans="1:16">
      <c r="A589" s="1" t="s">
        <v>26</v>
      </c>
      <c r="B589" s="1" t="s">
        <v>27</v>
      </c>
      <c r="C589" s="1" t="s">
        <v>56</v>
      </c>
      <c r="D589" s="1">
        <v>90</v>
      </c>
      <c r="E589" s="1" t="s">
        <v>29</v>
      </c>
      <c r="F589" s="1" t="s">
        <v>18</v>
      </c>
      <c r="G589" s="1">
        <v>0.79</v>
      </c>
      <c r="H589" s="1" t="s">
        <v>20</v>
      </c>
      <c r="I589" t="s">
        <v>62</v>
      </c>
      <c r="J589" t="s">
        <v>35</v>
      </c>
      <c r="K589" t="s">
        <v>36</v>
      </c>
      <c r="L589" t="s">
        <v>37</v>
      </c>
      <c r="M589" t="str">
        <f t="shared" si="27"/>
        <v>non-charge-altering-6kiw</v>
      </c>
      <c r="N589" t="str">
        <f t="shared" si="28"/>
        <v>6kiw</v>
      </c>
      <c r="O589" s="2" t="s">
        <v>45</v>
      </c>
      <c r="P589" s="2" t="str">
        <f t="shared" si="29"/>
        <v>H-E90D</v>
      </c>
    </row>
    <row r="590" spans="1:16">
      <c r="A590" s="1" t="s">
        <v>26</v>
      </c>
      <c r="B590" s="1" t="s">
        <v>27</v>
      </c>
      <c r="C590" s="1" t="s">
        <v>56</v>
      </c>
      <c r="D590" s="1">
        <v>62</v>
      </c>
      <c r="E590" s="1" t="s">
        <v>33</v>
      </c>
      <c r="F590" s="1" t="s">
        <v>17</v>
      </c>
      <c r="G590" s="1">
        <v>1.84</v>
      </c>
      <c r="H590" s="1" t="s">
        <v>20</v>
      </c>
      <c r="I590" t="s">
        <v>34</v>
      </c>
      <c r="J590" t="s">
        <v>35</v>
      </c>
      <c r="K590" t="s">
        <v>36</v>
      </c>
      <c r="L590" t="s">
        <v>37</v>
      </c>
      <c r="M590" t="str">
        <f t="shared" si="27"/>
        <v>non-charge-altering-6kiw</v>
      </c>
      <c r="N590" t="str">
        <f t="shared" si="28"/>
        <v>6kiw</v>
      </c>
      <c r="O590" s="2" t="s">
        <v>45</v>
      </c>
      <c r="P590" s="2" t="str">
        <f t="shared" si="29"/>
        <v>H-F62C</v>
      </c>
    </row>
    <row r="591" spans="1:16">
      <c r="A591" s="1" t="s">
        <v>26</v>
      </c>
      <c r="B591" s="1" t="s">
        <v>27</v>
      </c>
      <c r="C591" s="1" t="s">
        <v>56</v>
      </c>
      <c r="D591" s="1">
        <v>67</v>
      </c>
      <c r="E591" s="1" t="s">
        <v>33</v>
      </c>
      <c r="F591" s="1" t="s">
        <v>39</v>
      </c>
      <c r="G591" s="1">
        <v>1.57</v>
      </c>
      <c r="H591" s="1" t="s">
        <v>20</v>
      </c>
      <c r="I591" t="s">
        <v>34</v>
      </c>
      <c r="J591" t="s">
        <v>35</v>
      </c>
      <c r="K591" t="s">
        <v>36</v>
      </c>
      <c r="L591" t="s">
        <v>37</v>
      </c>
      <c r="M591" t="str">
        <f t="shared" si="27"/>
        <v>non-charge-altering-6kiw</v>
      </c>
      <c r="N591" t="str">
        <f t="shared" si="28"/>
        <v>6kiw</v>
      </c>
      <c r="O591" s="2" t="s">
        <v>45</v>
      </c>
      <c r="P591" s="2" t="str">
        <f t="shared" si="29"/>
        <v>H-F67L</v>
      </c>
    </row>
    <row r="592" spans="1:16">
      <c r="A592" s="1" t="s">
        <v>26</v>
      </c>
      <c r="B592" s="1" t="s">
        <v>27</v>
      </c>
      <c r="C592" s="1" t="s">
        <v>56</v>
      </c>
      <c r="D592" s="1">
        <v>50</v>
      </c>
      <c r="E592" s="1" t="s">
        <v>19</v>
      </c>
      <c r="F592" s="1" t="s">
        <v>32</v>
      </c>
      <c r="G592" s="1">
        <v>0.48</v>
      </c>
      <c r="H592" s="1" t="s">
        <v>20</v>
      </c>
      <c r="I592" t="s">
        <v>34</v>
      </c>
      <c r="J592" t="s">
        <v>35</v>
      </c>
      <c r="K592" t="s">
        <v>36</v>
      </c>
      <c r="L592" t="s">
        <v>37</v>
      </c>
      <c r="M592" t="str">
        <f t="shared" si="27"/>
        <v>non-charge-altering-6kiw</v>
      </c>
      <c r="N592" t="str">
        <f t="shared" si="28"/>
        <v>6kiw</v>
      </c>
      <c r="O592" s="2" t="s">
        <v>45</v>
      </c>
      <c r="P592" s="2" t="str">
        <f t="shared" si="29"/>
        <v>H-G50A</v>
      </c>
    </row>
    <row r="593" spans="1:16">
      <c r="A593" s="1" t="s">
        <v>26</v>
      </c>
      <c r="B593" s="1" t="s">
        <v>27</v>
      </c>
      <c r="C593" s="1" t="s">
        <v>56</v>
      </c>
      <c r="D593" s="1">
        <v>50</v>
      </c>
      <c r="E593" s="1" t="s">
        <v>19</v>
      </c>
      <c r="F593" s="1" t="s">
        <v>17</v>
      </c>
      <c r="G593" s="1">
        <v>0.15</v>
      </c>
      <c r="H593" s="1" t="s">
        <v>20</v>
      </c>
      <c r="I593" t="s">
        <v>34</v>
      </c>
      <c r="J593" t="s">
        <v>35</v>
      </c>
      <c r="K593" t="s">
        <v>36</v>
      </c>
      <c r="L593" t="s">
        <v>37</v>
      </c>
      <c r="M593" t="str">
        <f t="shared" si="27"/>
        <v>non-charge-altering-6kiw</v>
      </c>
      <c r="N593" t="str">
        <f t="shared" si="28"/>
        <v>6kiw</v>
      </c>
      <c r="O593" s="2" t="s">
        <v>45</v>
      </c>
      <c r="P593" s="2" t="str">
        <f t="shared" si="29"/>
        <v>H-G50C</v>
      </c>
    </row>
    <row r="594" spans="1:16">
      <c r="A594" s="1" t="s">
        <v>26</v>
      </c>
      <c r="B594" s="1" t="s">
        <v>27</v>
      </c>
      <c r="C594" s="1" t="s">
        <v>56</v>
      </c>
      <c r="D594" s="1">
        <v>86</v>
      </c>
      <c r="E594" s="1" t="s">
        <v>48</v>
      </c>
      <c r="F594" s="1" t="s">
        <v>47</v>
      </c>
      <c r="G594" s="1">
        <v>0.19</v>
      </c>
      <c r="H594" s="1" t="s">
        <v>20</v>
      </c>
      <c r="I594" t="s">
        <v>34</v>
      </c>
      <c r="J594" t="s">
        <v>35</v>
      </c>
      <c r="K594" t="s">
        <v>36</v>
      </c>
      <c r="L594" t="s">
        <v>37</v>
      </c>
      <c r="M594" t="str">
        <f t="shared" si="27"/>
        <v>non-charge-altering-6kiw</v>
      </c>
      <c r="N594" t="str">
        <f t="shared" si="28"/>
        <v>6kiw</v>
      </c>
      <c r="O594" s="2" t="s">
        <v>45</v>
      </c>
      <c r="P594" s="2" t="str">
        <f t="shared" si="29"/>
        <v>H-I86T</v>
      </c>
    </row>
    <row r="595" spans="1:16">
      <c r="A595" s="1" t="s">
        <v>26</v>
      </c>
      <c r="B595" s="1" t="s">
        <v>27</v>
      </c>
      <c r="C595" s="1" t="s">
        <v>56</v>
      </c>
      <c r="D595" s="1">
        <v>103</v>
      </c>
      <c r="E595" s="1" t="s">
        <v>39</v>
      </c>
      <c r="F595" s="1" t="s">
        <v>61</v>
      </c>
      <c r="G595" s="1">
        <v>1.29</v>
      </c>
      <c r="H595" s="1" t="s">
        <v>20</v>
      </c>
      <c r="I595" t="s">
        <v>34</v>
      </c>
      <c r="J595" t="s">
        <v>35</v>
      </c>
      <c r="K595" t="s">
        <v>36</v>
      </c>
      <c r="L595" t="s">
        <v>37</v>
      </c>
      <c r="M595" t="str">
        <f t="shared" si="27"/>
        <v>non-charge-altering-6kiw</v>
      </c>
      <c r="N595" t="str">
        <f t="shared" si="28"/>
        <v>6kiw</v>
      </c>
      <c r="O595" s="2" t="s">
        <v>45</v>
      </c>
      <c r="P595" s="2" t="str">
        <f t="shared" si="29"/>
        <v>H-L103V</v>
      </c>
    </row>
    <row r="596" spans="1:16">
      <c r="A596" s="1" t="s">
        <v>26</v>
      </c>
      <c r="B596" s="1" t="s">
        <v>27</v>
      </c>
      <c r="C596" s="1" t="s">
        <v>56</v>
      </c>
      <c r="D596" s="1">
        <v>99</v>
      </c>
      <c r="E596" s="1" t="s">
        <v>39</v>
      </c>
      <c r="F596" s="1" t="s">
        <v>61</v>
      </c>
      <c r="G596" s="1">
        <v>1.09</v>
      </c>
      <c r="H596" s="1" t="s">
        <v>20</v>
      </c>
      <c r="I596" t="s">
        <v>34</v>
      </c>
      <c r="J596" t="s">
        <v>35</v>
      </c>
      <c r="K596" t="s">
        <v>36</v>
      </c>
      <c r="L596" t="s">
        <v>37</v>
      </c>
      <c r="M596" t="str">
        <f t="shared" si="27"/>
        <v>non-charge-altering-6kiw</v>
      </c>
      <c r="N596" t="str">
        <f t="shared" si="28"/>
        <v>6kiw</v>
      </c>
      <c r="O596" s="2" t="s">
        <v>45</v>
      </c>
      <c r="P596" s="2" t="str">
        <f t="shared" si="29"/>
        <v>H-L99V</v>
      </c>
    </row>
    <row r="597" spans="1:16">
      <c r="A597" s="1" t="s">
        <v>26</v>
      </c>
      <c r="B597" s="1" t="s">
        <v>27</v>
      </c>
      <c r="C597" s="1" t="s">
        <v>56</v>
      </c>
      <c r="D597" s="1">
        <v>59</v>
      </c>
      <c r="E597" s="1" t="s">
        <v>63</v>
      </c>
      <c r="F597" s="1" t="s">
        <v>48</v>
      </c>
      <c r="G597" s="1">
        <v>0.95</v>
      </c>
      <c r="H597" s="1" t="s">
        <v>20</v>
      </c>
      <c r="I597" t="s">
        <v>34</v>
      </c>
      <c r="J597" t="s">
        <v>35</v>
      </c>
      <c r="K597" t="s">
        <v>36</v>
      </c>
      <c r="L597" t="s">
        <v>37</v>
      </c>
      <c r="M597" t="str">
        <f t="shared" si="27"/>
        <v>non-charge-altering-6kiw</v>
      </c>
      <c r="N597" t="str">
        <f t="shared" si="28"/>
        <v>6kiw</v>
      </c>
      <c r="O597" s="2" t="s">
        <v>45</v>
      </c>
      <c r="P597" s="2" t="str">
        <f t="shared" si="29"/>
        <v>H-M59I</v>
      </c>
    </row>
    <row r="598" spans="1:16">
      <c r="A598" s="1" t="s">
        <v>26</v>
      </c>
      <c r="B598" s="1" t="s">
        <v>27</v>
      </c>
      <c r="C598" s="1" t="s">
        <v>56</v>
      </c>
      <c r="D598" s="1">
        <v>100</v>
      </c>
      <c r="E598" s="1" t="s">
        <v>58</v>
      </c>
      <c r="F598" s="1" t="s">
        <v>46</v>
      </c>
      <c r="G598" s="1">
        <v>0.81</v>
      </c>
      <c r="H598" s="1" t="s">
        <v>20</v>
      </c>
      <c r="I598" t="s">
        <v>34</v>
      </c>
      <c r="J598" t="s">
        <v>35</v>
      </c>
      <c r="K598" t="s">
        <v>36</v>
      </c>
      <c r="L598" t="s">
        <v>37</v>
      </c>
      <c r="M598" t="str">
        <f t="shared" si="27"/>
        <v>non-charge-altering-6kiw</v>
      </c>
      <c r="N598" t="str">
        <f t="shared" si="28"/>
        <v>6kiw</v>
      </c>
      <c r="O598" s="2" t="s">
        <v>45</v>
      </c>
      <c r="P598" s="2" t="str">
        <f t="shared" si="29"/>
        <v>H-P100S</v>
      </c>
    </row>
    <row r="599" spans="1:16">
      <c r="A599" s="1" t="s">
        <v>26</v>
      </c>
      <c r="B599" s="1" t="s">
        <v>27</v>
      </c>
      <c r="C599" s="1" t="s">
        <v>56</v>
      </c>
      <c r="D599" s="1">
        <v>100</v>
      </c>
      <c r="E599" s="1" t="s">
        <v>58</v>
      </c>
      <c r="F599" s="1" t="s">
        <v>47</v>
      </c>
      <c r="G599" s="1">
        <v>0.55</v>
      </c>
      <c r="H599" s="1" t="s">
        <v>20</v>
      </c>
      <c r="I599" t="s">
        <v>34</v>
      </c>
      <c r="J599" t="s">
        <v>35</v>
      </c>
      <c r="K599" t="s">
        <v>36</v>
      </c>
      <c r="L599" t="s">
        <v>37</v>
      </c>
      <c r="M599" t="str">
        <f t="shared" si="27"/>
        <v>non-charge-altering-6kiw</v>
      </c>
      <c r="N599" t="str">
        <f t="shared" si="28"/>
        <v>6kiw</v>
      </c>
      <c r="O599" s="2" t="s">
        <v>45</v>
      </c>
      <c r="P599" s="2" t="str">
        <f t="shared" si="29"/>
        <v>H-P100T</v>
      </c>
    </row>
    <row r="600" spans="1:16">
      <c r="A600" s="1" t="s">
        <v>26</v>
      </c>
      <c r="B600" s="1" t="s">
        <v>27</v>
      </c>
      <c r="C600" s="1" t="s">
        <v>56</v>
      </c>
      <c r="D600" s="1">
        <v>69</v>
      </c>
      <c r="E600" s="1" t="s">
        <v>43</v>
      </c>
      <c r="F600" s="1" t="s">
        <v>56</v>
      </c>
      <c r="G600" s="1">
        <v>0.62</v>
      </c>
      <c r="H600" s="1" t="s">
        <v>20</v>
      </c>
      <c r="I600" t="s">
        <v>44</v>
      </c>
      <c r="J600" t="s">
        <v>35</v>
      </c>
      <c r="K600" t="s">
        <v>36</v>
      </c>
      <c r="L600" t="s">
        <v>37</v>
      </c>
      <c r="M600" t="str">
        <f t="shared" si="27"/>
        <v>non-charge-altering-6kiw</v>
      </c>
      <c r="N600" t="str">
        <f t="shared" si="28"/>
        <v>6kiw</v>
      </c>
      <c r="O600" s="2" t="s">
        <v>45</v>
      </c>
      <c r="P600" s="2" t="str">
        <f t="shared" si="29"/>
        <v>H-R69H</v>
      </c>
    </row>
    <row r="601" spans="1:16">
      <c r="A601" s="1" t="s">
        <v>26</v>
      </c>
      <c r="B601" s="1" t="s">
        <v>27</v>
      </c>
      <c r="C601" s="1" t="s">
        <v>56</v>
      </c>
      <c r="D601" s="1">
        <v>89</v>
      </c>
      <c r="E601" s="1" t="s">
        <v>43</v>
      </c>
      <c r="F601" s="1" t="s">
        <v>40</v>
      </c>
      <c r="G601" s="1">
        <v>1.08</v>
      </c>
      <c r="H601" s="1" t="s">
        <v>20</v>
      </c>
      <c r="I601" t="s">
        <v>44</v>
      </c>
      <c r="J601" t="s">
        <v>35</v>
      </c>
      <c r="K601" t="s">
        <v>36</v>
      </c>
      <c r="L601" t="s">
        <v>37</v>
      </c>
      <c r="M601" t="str">
        <f t="shared" si="27"/>
        <v>non-charge-altering-6kiw</v>
      </c>
      <c r="N601" t="str">
        <f t="shared" si="28"/>
        <v>6kiw</v>
      </c>
      <c r="O601" s="2" t="s">
        <v>45</v>
      </c>
      <c r="P601" s="2" t="str">
        <f t="shared" si="29"/>
        <v>H-R89K</v>
      </c>
    </row>
    <row r="602" spans="1:16">
      <c r="A602" s="1" t="s">
        <v>26</v>
      </c>
      <c r="B602" s="1" t="s">
        <v>27</v>
      </c>
      <c r="C602" s="1" t="s">
        <v>56</v>
      </c>
      <c r="D602" s="1">
        <v>33</v>
      </c>
      <c r="E602" s="1" t="s">
        <v>46</v>
      </c>
      <c r="F602" s="1" t="s">
        <v>41</v>
      </c>
      <c r="G602" s="1">
        <v>0.24</v>
      </c>
      <c r="H602" s="1" t="s">
        <v>20</v>
      </c>
      <c r="I602" t="s">
        <v>34</v>
      </c>
      <c r="J602" t="s">
        <v>35</v>
      </c>
      <c r="K602" t="s">
        <v>36</v>
      </c>
      <c r="L602" t="s">
        <v>37</v>
      </c>
      <c r="M602" t="str">
        <f t="shared" si="27"/>
        <v>non-charge-altering-6kiw</v>
      </c>
      <c r="N602" t="str">
        <f t="shared" si="28"/>
        <v>6kiw</v>
      </c>
      <c r="O602" s="2" t="s">
        <v>45</v>
      </c>
      <c r="P602" s="2" t="str">
        <f t="shared" si="29"/>
        <v>H-S33N</v>
      </c>
    </row>
    <row r="603" spans="1:16">
      <c r="A603" s="1" t="s">
        <v>26</v>
      </c>
      <c r="B603" s="1" t="s">
        <v>27</v>
      </c>
      <c r="C603" s="1" t="s">
        <v>56</v>
      </c>
      <c r="D603" s="1">
        <v>52</v>
      </c>
      <c r="E603" s="1" t="s">
        <v>46</v>
      </c>
      <c r="F603" s="1" t="s">
        <v>39</v>
      </c>
      <c r="G603" s="1">
        <v>0.66</v>
      </c>
      <c r="H603" s="1" t="s">
        <v>20</v>
      </c>
      <c r="I603" t="s">
        <v>34</v>
      </c>
      <c r="J603" t="s">
        <v>35</v>
      </c>
      <c r="K603" t="s">
        <v>36</v>
      </c>
      <c r="L603" t="s">
        <v>37</v>
      </c>
      <c r="M603" t="str">
        <f t="shared" si="27"/>
        <v>non-charge-altering-6kiw</v>
      </c>
      <c r="N603" t="str">
        <f t="shared" si="28"/>
        <v>6kiw</v>
      </c>
      <c r="O603" s="2" t="s">
        <v>45</v>
      </c>
      <c r="P603" s="2" t="str">
        <f t="shared" si="29"/>
        <v>H-S52L</v>
      </c>
    </row>
    <row r="604" spans="1:16">
      <c r="A604" s="1" t="s">
        <v>26</v>
      </c>
      <c r="B604" s="1" t="s">
        <v>27</v>
      </c>
      <c r="C604" s="1" t="s">
        <v>56</v>
      </c>
      <c r="D604" s="1">
        <v>84</v>
      </c>
      <c r="E604" s="1" t="s">
        <v>46</v>
      </c>
      <c r="F604" s="1" t="s">
        <v>64</v>
      </c>
      <c r="G604" s="1">
        <v>0.46</v>
      </c>
      <c r="H604" s="1" t="s">
        <v>20</v>
      </c>
      <c r="I604" t="s">
        <v>34</v>
      </c>
      <c r="J604" t="s">
        <v>35</v>
      </c>
      <c r="K604" t="s">
        <v>36</v>
      </c>
      <c r="L604" t="s">
        <v>37</v>
      </c>
      <c r="M604" t="str">
        <f t="shared" si="27"/>
        <v>non-charge-altering-6kiw</v>
      </c>
      <c r="N604" t="str">
        <f t="shared" si="28"/>
        <v>6kiw</v>
      </c>
      <c r="O604" s="2" t="s">
        <v>45</v>
      </c>
      <c r="P604" s="2" t="str">
        <f t="shared" si="29"/>
        <v>H-S84W</v>
      </c>
    </row>
    <row r="605" spans="1:16">
      <c r="A605" s="1" t="s">
        <v>26</v>
      </c>
      <c r="B605" s="1" t="s">
        <v>27</v>
      </c>
      <c r="C605" s="1" t="s">
        <v>56</v>
      </c>
      <c r="D605" s="1">
        <v>112</v>
      </c>
      <c r="E605" s="1" t="s">
        <v>47</v>
      </c>
      <c r="F605" s="1" t="s">
        <v>46</v>
      </c>
      <c r="G605" s="1">
        <v>1.1</v>
      </c>
      <c r="H605" s="1" t="s">
        <v>20</v>
      </c>
      <c r="I605" t="s">
        <v>34</v>
      </c>
      <c r="J605" t="s">
        <v>35</v>
      </c>
      <c r="K605" t="s">
        <v>36</v>
      </c>
      <c r="L605" t="s">
        <v>37</v>
      </c>
      <c r="M605" t="str">
        <f t="shared" si="27"/>
        <v>non-charge-altering-6kiw</v>
      </c>
      <c r="N605" t="str">
        <f t="shared" si="28"/>
        <v>6kiw</v>
      </c>
      <c r="O605" s="2" t="s">
        <v>45</v>
      </c>
      <c r="P605" s="2" t="str">
        <f t="shared" si="29"/>
        <v>H-T112S</v>
      </c>
    </row>
    <row r="606" spans="1:16">
      <c r="A606" s="1" t="s">
        <v>26</v>
      </c>
      <c r="B606" s="1" t="s">
        <v>27</v>
      </c>
      <c r="C606" s="1" t="s">
        <v>56</v>
      </c>
      <c r="D606" s="1">
        <v>85</v>
      </c>
      <c r="E606" s="1" t="s">
        <v>47</v>
      </c>
      <c r="F606" s="1" t="s">
        <v>48</v>
      </c>
      <c r="G606" s="1">
        <v>0.82</v>
      </c>
      <c r="H606" s="1" t="s">
        <v>20</v>
      </c>
      <c r="I606" t="s">
        <v>34</v>
      </c>
      <c r="J606" t="s">
        <v>35</v>
      </c>
      <c r="K606" t="s">
        <v>36</v>
      </c>
      <c r="L606" t="s">
        <v>37</v>
      </c>
      <c r="M606" t="str">
        <f t="shared" si="27"/>
        <v>non-charge-altering-6kiw</v>
      </c>
      <c r="N606" t="str">
        <f t="shared" si="28"/>
        <v>6kiw</v>
      </c>
      <c r="O606" s="2" t="s">
        <v>45</v>
      </c>
      <c r="P606" s="2" t="str">
        <f t="shared" si="29"/>
        <v>H-T85I</v>
      </c>
    </row>
    <row r="607" spans="1:16">
      <c r="A607" s="1" t="s">
        <v>26</v>
      </c>
      <c r="B607" s="1" t="s">
        <v>27</v>
      </c>
      <c r="C607" s="1" t="s">
        <v>56</v>
      </c>
      <c r="D607" s="1">
        <v>95</v>
      </c>
      <c r="E607" s="1" t="s">
        <v>61</v>
      </c>
      <c r="F607" s="1" t="s">
        <v>39</v>
      </c>
      <c r="G607" s="1">
        <v>0.36</v>
      </c>
      <c r="H607" s="1" t="s">
        <v>20</v>
      </c>
      <c r="I607" t="s">
        <v>34</v>
      </c>
      <c r="J607" t="s">
        <v>35</v>
      </c>
      <c r="K607" t="s">
        <v>36</v>
      </c>
      <c r="L607" t="s">
        <v>37</v>
      </c>
      <c r="M607" t="str">
        <f t="shared" si="27"/>
        <v>non-charge-altering-6kiw</v>
      </c>
      <c r="N607" t="str">
        <f t="shared" si="28"/>
        <v>6kiw</v>
      </c>
      <c r="O607" s="2" t="s">
        <v>45</v>
      </c>
      <c r="P607" s="2" t="str">
        <f t="shared" si="29"/>
        <v>H-V95L</v>
      </c>
    </row>
    <row r="608" spans="1:16">
      <c r="A608" s="1" t="s">
        <v>26</v>
      </c>
      <c r="B608" s="1" t="s">
        <v>27</v>
      </c>
      <c r="C608" s="1" t="s">
        <v>32</v>
      </c>
      <c r="D608" s="1">
        <v>114</v>
      </c>
      <c r="E608" s="1" t="s">
        <v>32</v>
      </c>
      <c r="F608" s="1" t="s">
        <v>46</v>
      </c>
      <c r="G608" s="1">
        <v>-0.14</v>
      </c>
      <c r="H608" s="1" t="s">
        <v>59</v>
      </c>
      <c r="I608" t="s">
        <v>34</v>
      </c>
      <c r="J608" t="s">
        <v>35</v>
      </c>
      <c r="K608" t="s">
        <v>36</v>
      </c>
      <c r="L608" t="s">
        <v>37</v>
      </c>
      <c r="M608" t="str">
        <f t="shared" si="27"/>
        <v>non-charge-altering-6kiw</v>
      </c>
      <c r="N608" t="str">
        <f t="shared" si="28"/>
        <v>6kiw</v>
      </c>
      <c r="O608" s="2" t="s">
        <v>38</v>
      </c>
      <c r="P608" s="2" t="str">
        <f t="shared" si="29"/>
        <v>A-A114S</v>
      </c>
    </row>
    <row r="609" spans="1:16">
      <c r="A609" s="1" t="s">
        <v>26</v>
      </c>
      <c r="B609" s="1" t="s">
        <v>27</v>
      </c>
      <c r="C609" s="1" t="s">
        <v>32</v>
      </c>
      <c r="D609" s="1">
        <v>127</v>
      </c>
      <c r="E609" s="1" t="s">
        <v>32</v>
      </c>
      <c r="F609" s="1" t="s">
        <v>58</v>
      </c>
      <c r="G609" s="1">
        <v>0.53</v>
      </c>
      <c r="H609" s="1" t="s">
        <v>20</v>
      </c>
      <c r="I609" t="s">
        <v>34</v>
      </c>
      <c r="J609" t="s">
        <v>35</v>
      </c>
      <c r="K609" t="s">
        <v>36</v>
      </c>
      <c r="L609" t="s">
        <v>37</v>
      </c>
      <c r="M609" t="str">
        <f t="shared" si="27"/>
        <v>non-charge-altering-6kiw</v>
      </c>
      <c r="N609" t="str">
        <f t="shared" si="28"/>
        <v>6kiw</v>
      </c>
      <c r="O609" s="2" t="s">
        <v>38</v>
      </c>
      <c r="P609" s="2" t="str">
        <f t="shared" si="29"/>
        <v>A-A127P</v>
      </c>
    </row>
    <row r="610" spans="1:16">
      <c r="A610" s="1" t="s">
        <v>26</v>
      </c>
      <c r="B610" s="1" t="s">
        <v>27</v>
      </c>
      <c r="C610" s="1" t="s">
        <v>32</v>
      </c>
      <c r="D610" s="1">
        <v>47</v>
      </c>
      <c r="E610" s="1" t="s">
        <v>32</v>
      </c>
      <c r="F610" s="1" t="s">
        <v>46</v>
      </c>
      <c r="G610" s="1">
        <v>0.18</v>
      </c>
      <c r="H610" s="1" t="s">
        <v>20</v>
      </c>
      <c r="I610" t="s">
        <v>34</v>
      </c>
      <c r="J610" t="s">
        <v>35</v>
      </c>
      <c r="K610" t="s">
        <v>36</v>
      </c>
      <c r="L610" t="s">
        <v>37</v>
      </c>
      <c r="M610" t="str">
        <f t="shared" si="27"/>
        <v>non-charge-altering-6kiw</v>
      </c>
      <c r="N610" t="str">
        <f t="shared" si="28"/>
        <v>6kiw</v>
      </c>
      <c r="O610" s="2" t="s">
        <v>38</v>
      </c>
      <c r="P610" s="2" t="str">
        <f t="shared" si="29"/>
        <v>A-A47S</v>
      </c>
    </row>
    <row r="611" spans="1:16">
      <c r="A611" s="1" t="s">
        <v>26</v>
      </c>
      <c r="B611" s="1" t="s">
        <v>27</v>
      </c>
      <c r="C611" s="1" t="s">
        <v>32</v>
      </c>
      <c r="D611" s="1">
        <v>47</v>
      </c>
      <c r="E611" s="1" t="s">
        <v>32</v>
      </c>
      <c r="F611" s="1" t="s">
        <v>47</v>
      </c>
      <c r="G611" s="1">
        <v>0.14</v>
      </c>
      <c r="H611" s="1" t="s">
        <v>20</v>
      </c>
      <c r="I611" t="s">
        <v>34</v>
      </c>
      <c r="J611" t="s">
        <v>35</v>
      </c>
      <c r="K611" t="s">
        <v>36</v>
      </c>
      <c r="L611" t="s">
        <v>37</v>
      </c>
      <c r="M611" t="str">
        <f t="shared" si="27"/>
        <v>non-charge-altering-6kiw</v>
      </c>
      <c r="N611" t="str">
        <f t="shared" si="28"/>
        <v>6kiw</v>
      </c>
      <c r="O611" s="2" t="s">
        <v>38</v>
      </c>
      <c r="P611" s="2" t="str">
        <f t="shared" si="29"/>
        <v>A-A47T</v>
      </c>
    </row>
    <row r="612" spans="1:16">
      <c r="A612" s="1" t="s">
        <v>26</v>
      </c>
      <c r="B612" s="1" t="s">
        <v>27</v>
      </c>
      <c r="C612" s="1" t="s">
        <v>32</v>
      </c>
      <c r="D612" s="1">
        <v>75</v>
      </c>
      <c r="E612" s="1" t="s">
        <v>32</v>
      </c>
      <c r="F612" s="1" t="s">
        <v>19</v>
      </c>
      <c r="G612" s="1">
        <v>0.69</v>
      </c>
      <c r="H612" s="1" t="s">
        <v>20</v>
      </c>
      <c r="I612" t="s">
        <v>34</v>
      </c>
      <c r="J612" t="s">
        <v>35</v>
      </c>
      <c r="K612" t="s">
        <v>36</v>
      </c>
      <c r="L612" t="s">
        <v>37</v>
      </c>
      <c r="M612" t="str">
        <f t="shared" si="27"/>
        <v>non-charge-altering-6kiw</v>
      </c>
      <c r="N612" t="str">
        <f t="shared" si="28"/>
        <v>6kiw</v>
      </c>
      <c r="O612" s="2" t="s">
        <v>38</v>
      </c>
      <c r="P612" s="2" t="str">
        <f t="shared" si="29"/>
        <v>A-A75G</v>
      </c>
    </row>
    <row r="613" spans="1:16">
      <c r="A613" s="1" t="s">
        <v>26</v>
      </c>
      <c r="B613" s="1" t="s">
        <v>27</v>
      </c>
      <c r="C613" s="1" t="s">
        <v>32</v>
      </c>
      <c r="D613" s="1">
        <v>88</v>
      </c>
      <c r="E613" s="1" t="s">
        <v>32</v>
      </c>
      <c r="F613" s="1" t="s">
        <v>58</v>
      </c>
      <c r="G613" s="1">
        <v>0.97</v>
      </c>
      <c r="H613" s="1" t="s">
        <v>20</v>
      </c>
      <c r="I613" t="s">
        <v>34</v>
      </c>
      <c r="J613" t="s">
        <v>35</v>
      </c>
      <c r="K613" t="s">
        <v>36</v>
      </c>
      <c r="L613" t="s">
        <v>37</v>
      </c>
      <c r="M613" t="str">
        <f t="shared" si="27"/>
        <v>non-charge-altering-6kiw</v>
      </c>
      <c r="N613" t="str">
        <f t="shared" si="28"/>
        <v>6kiw</v>
      </c>
      <c r="O613" s="2" t="s">
        <v>38</v>
      </c>
      <c r="P613" s="2" t="str">
        <f t="shared" si="29"/>
        <v>A-A88P</v>
      </c>
    </row>
    <row r="614" spans="1:16">
      <c r="A614" s="1" t="s">
        <v>26</v>
      </c>
      <c r="B614" s="1" t="s">
        <v>27</v>
      </c>
      <c r="C614" s="1" t="s">
        <v>32</v>
      </c>
      <c r="D614" s="1">
        <v>95</v>
      </c>
      <c r="E614" s="1" t="s">
        <v>32</v>
      </c>
      <c r="F614" s="1" t="s">
        <v>61</v>
      </c>
      <c r="G614" s="1">
        <v>0.9</v>
      </c>
      <c r="H614" s="1" t="s">
        <v>20</v>
      </c>
      <c r="I614" t="s">
        <v>34</v>
      </c>
      <c r="J614" t="s">
        <v>35</v>
      </c>
      <c r="K614" t="s">
        <v>36</v>
      </c>
      <c r="L614" t="s">
        <v>37</v>
      </c>
      <c r="M614" t="str">
        <f t="shared" si="27"/>
        <v>non-charge-altering-6kiw</v>
      </c>
      <c r="N614" t="str">
        <f t="shared" si="28"/>
        <v>6kiw</v>
      </c>
      <c r="O614" s="2" t="s">
        <v>38</v>
      </c>
      <c r="P614" s="2" t="str">
        <f t="shared" si="29"/>
        <v>A-A95V</v>
      </c>
    </row>
    <row r="615" spans="1:16">
      <c r="A615" s="1" t="s">
        <v>26</v>
      </c>
      <c r="B615" s="1" t="s">
        <v>27</v>
      </c>
      <c r="C615" s="1" t="s">
        <v>32</v>
      </c>
      <c r="D615" s="1">
        <v>105</v>
      </c>
      <c r="E615" s="1" t="s">
        <v>29</v>
      </c>
      <c r="F615" s="1" t="s">
        <v>18</v>
      </c>
      <c r="G615" s="1">
        <v>0.81</v>
      </c>
      <c r="H615" s="1" t="s">
        <v>20</v>
      </c>
      <c r="I615" t="s">
        <v>62</v>
      </c>
      <c r="J615" t="s">
        <v>35</v>
      </c>
      <c r="K615" t="s">
        <v>36</v>
      </c>
      <c r="L615" t="s">
        <v>37</v>
      </c>
      <c r="M615" t="str">
        <f t="shared" si="27"/>
        <v>non-charge-altering-6kiw</v>
      </c>
      <c r="N615" t="str">
        <f t="shared" si="28"/>
        <v>6kiw</v>
      </c>
      <c r="O615" s="2" t="s">
        <v>38</v>
      </c>
      <c r="P615" s="2" t="str">
        <f t="shared" si="29"/>
        <v>A-E105D</v>
      </c>
    </row>
    <row r="616" spans="1:16">
      <c r="A616" s="1" t="s">
        <v>26</v>
      </c>
      <c r="B616" s="1" t="s">
        <v>27</v>
      </c>
      <c r="C616" s="1" t="s">
        <v>32</v>
      </c>
      <c r="D616" s="1">
        <v>133</v>
      </c>
      <c r="E616" s="1" t="s">
        <v>29</v>
      </c>
      <c r="F616" s="1" t="s">
        <v>18</v>
      </c>
      <c r="G616" s="1">
        <v>0.8</v>
      </c>
      <c r="H616" s="1" t="s">
        <v>20</v>
      </c>
      <c r="I616" t="s">
        <v>62</v>
      </c>
      <c r="J616" t="s">
        <v>35</v>
      </c>
      <c r="K616" t="s">
        <v>36</v>
      </c>
      <c r="L616" t="s">
        <v>37</v>
      </c>
      <c r="M616" t="str">
        <f t="shared" si="27"/>
        <v>non-charge-altering-6kiw</v>
      </c>
      <c r="N616" t="str">
        <f t="shared" si="28"/>
        <v>6kiw</v>
      </c>
      <c r="O616" s="2" t="s">
        <v>38</v>
      </c>
      <c r="P616" s="2" t="str">
        <f t="shared" si="29"/>
        <v>A-E133D</v>
      </c>
    </row>
    <row r="617" spans="1:16">
      <c r="A617" s="1" t="s">
        <v>26</v>
      </c>
      <c r="B617" s="1" t="s">
        <v>27</v>
      </c>
      <c r="C617" s="1" t="s">
        <v>32</v>
      </c>
      <c r="D617" s="1">
        <v>50</v>
      </c>
      <c r="E617" s="1" t="s">
        <v>29</v>
      </c>
      <c r="F617" s="1" t="s">
        <v>18</v>
      </c>
      <c r="G617" s="1">
        <v>0.87</v>
      </c>
      <c r="H617" s="1" t="s">
        <v>20</v>
      </c>
      <c r="I617" t="s">
        <v>62</v>
      </c>
      <c r="J617" t="s">
        <v>35</v>
      </c>
      <c r="K617" t="s">
        <v>36</v>
      </c>
      <c r="L617" t="s">
        <v>37</v>
      </c>
      <c r="M617" t="str">
        <f t="shared" si="27"/>
        <v>non-charge-altering-6kiw</v>
      </c>
      <c r="N617" t="str">
        <f t="shared" si="28"/>
        <v>6kiw</v>
      </c>
      <c r="O617" s="2" t="s">
        <v>38</v>
      </c>
      <c r="P617" s="2" t="str">
        <f t="shared" si="29"/>
        <v>A-E50D</v>
      </c>
    </row>
    <row r="618" spans="1:16">
      <c r="A618" s="1" t="s">
        <v>26</v>
      </c>
      <c r="B618" s="1" t="s">
        <v>27</v>
      </c>
      <c r="C618" s="1" t="s">
        <v>32</v>
      </c>
      <c r="D618" s="1">
        <v>67</v>
      </c>
      <c r="E618" s="1" t="s">
        <v>33</v>
      </c>
      <c r="F618" s="1" t="s">
        <v>39</v>
      </c>
      <c r="G618" s="1">
        <v>1.45</v>
      </c>
      <c r="H618" s="1" t="s">
        <v>20</v>
      </c>
      <c r="I618" t="s">
        <v>34</v>
      </c>
      <c r="J618" t="s">
        <v>35</v>
      </c>
      <c r="K618" t="s">
        <v>36</v>
      </c>
      <c r="L618" t="s">
        <v>37</v>
      </c>
      <c r="M618" t="str">
        <f t="shared" si="27"/>
        <v>non-charge-altering-6kiw</v>
      </c>
      <c r="N618" t="str">
        <f t="shared" si="28"/>
        <v>6kiw</v>
      </c>
      <c r="O618" s="2" t="s">
        <v>38</v>
      </c>
      <c r="P618" s="2" t="str">
        <f t="shared" si="29"/>
        <v>A-F67L</v>
      </c>
    </row>
    <row r="619" spans="1:16">
      <c r="A619" s="1" t="s">
        <v>26</v>
      </c>
      <c r="B619" s="1" t="s">
        <v>27</v>
      </c>
      <c r="C619" s="1" t="s">
        <v>32</v>
      </c>
      <c r="D619" s="1">
        <v>78</v>
      </c>
      <c r="E619" s="1" t="s">
        <v>33</v>
      </c>
      <c r="F619" s="1" t="s">
        <v>17</v>
      </c>
      <c r="G619" s="1">
        <v>1.92</v>
      </c>
      <c r="H619" s="1" t="s">
        <v>20</v>
      </c>
      <c r="I619" t="s">
        <v>34</v>
      </c>
      <c r="J619" t="s">
        <v>35</v>
      </c>
      <c r="K619" t="s">
        <v>36</v>
      </c>
      <c r="L619" t="s">
        <v>37</v>
      </c>
      <c r="M619" t="str">
        <f t="shared" si="27"/>
        <v>non-charge-altering-6kiw</v>
      </c>
      <c r="N619" t="str">
        <f t="shared" si="28"/>
        <v>6kiw</v>
      </c>
      <c r="O619" s="2" t="s">
        <v>38</v>
      </c>
      <c r="P619" s="2" t="str">
        <f t="shared" si="29"/>
        <v>A-F78C</v>
      </c>
    </row>
    <row r="620" spans="1:16">
      <c r="A620" s="1" t="s">
        <v>26</v>
      </c>
      <c r="B620" s="1" t="s">
        <v>27</v>
      </c>
      <c r="C620" s="1" t="s">
        <v>32</v>
      </c>
      <c r="D620" s="1">
        <v>78</v>
      </c>
      <c r="E620" s="1" t="s">
        <v>33</v>
      </c>
      <c r="F620" s="1" t="s">
        <v>39</v>
      </c>
      <c r="G620" s="1">
        <v>1.77</v>
      </c>
      <c r="H620" s="1" t="s">
        <v>20</v>
      </c>
      <c r="I620" t="s">
        <v>34</v>
      </c>
      <c r="J620" t="s">
        <v>35</v>
      </c>
      <c r="K620" t="s">
        <v>36</v>
      </c>
      <c r="L620" t="s">
        <v>37</v>
      </c>
      <c r="M620" t="str">
        <f t="shared" si="27"/>
        <v>non-charge-altering-6kiw</v>
      </c>
      <c r="N620" t="str">
        <f t="shared" si="28"/>
        <v>6kiw</v>
      </c>
      <c r="O620" s="2" t="s">
        <v>38</v>
      </c>
      <c r="P620" s="2" t="str">
        <f t="shared" si="29"/>
        <v>A-F78L</v>
      </c>
    </row>
    <row r="621" spans="1:16">
      <c r="A621" s="1" t="s">
        <v>26</v>
      </c>
      <c r="B621" s="1" t="s">
        <v>27</v>
      </c>
      <c r="C621" s="1" t="s">
        <v>32</v>
      </c>
      <c r="D621" s="1">
        <v>84</v>
      </c>
      <c r="E621" s="1" t="s">
        <v>33</v>
      </c>
      <c r="F621" s="1" t="s">
        <v>39</v>
      </c>
      <c r="G621" s="1">
        <v>1.45</v>
      </c>
      <c r="H621" s="1" t="s">
        <v>20</v>
      </c>
      <c r="I621" t="s">
        <v>34</v>
      </c>
      <c r="J621" t="s">
        <v>35</v>
      </c>
      <c r="K621" t="s">
        <v>36</v>
      </c>
      <c r="L621" t="s">
        <v>37</v>
      </c>
      <c r="M621" t="str">
        <f t="shared" si="27"/>
        <v>non-charge-altering-6kiw</v>
      </c>
      <c r="N621" t="str">
        <f t="shared" si="28"/>
        <v>6kiw</v>
      </c>
      <c r="O621" s="2" t="s">
        <v>38</v>
      </c>
      <c r="P621" s="2" t="str">
        <f t="shared" si="29"/>
        <v>A-F84L</v>
      </c>
    </row>
    <row r="622" spans="1:16">
      <c r="A622" s="1" t="s">
        <v>26</v>
      </c>
      <c r="B622" s="1" t="s">
        <v>27</v>
      </c>
      <c r="C622" s="1" t="s">
        <v>32</v>
      </c>
      <c r="D622" s="1">
        <v>44</v>
      </c>
      <c r="E622" s="1" t="s">
        <v>19</v>
      </c>
      <c r="F622" s="1" t="s">
        <v>61</v>
      </c>
      <c r="G622" s="1">
        <v>0.63</v>
      </c>
      <c r="H622" s="1" t="s">
        <v>20</v>
      </c>
      <c r="I622" t="s">
        <v>34</v>
      </c>
      <c r="J622" t="s">
        <v>35</v>
      </c>
      <c r="K622" t="s">
        <v>36</v>
      </c>
      <c r="L622" t="s">
        <v>37</v>
      </c>
      <c r="M622" t="str">
        <f t="shared" si="27"/>
        <v>non-charge-altering-6kiw</v>
      </c>
      <c r="N622" t="str">
        <f t="shared" si="28"/>
        <v>6kiw</v>
      </c>
      <c r="O622" s="2" t="s">
        <v>38</v>
      </c>
      <c r="P622" s="2" t="str">
        <f t="shared" si="29"/>
        <v>A-G44V</v>
      </c>
    </row>
    <row r="623" spans="1:16">
      <c r="A623" s="1" t="s">
        <v>26</v>
      </c>
      <c r="B623" s="1" t="s">
        <v>27</v>
      </c>
      <c r="C623" s="1" t="s">
        <v>32</v>
      </c>
      <c r="D623" s="1">
        <v>112</v>
      </c>
      <c r="E623" s="1" t="s">
        <v>48</v>
      </c>
      <c r="F623" s="1" t="s">
        <v>61</v>
      </c>
      <c r="G623" s="1">
        <v>1.11</v>
      </c>
      <c r="H623" s="1" t="s">
        <v>20</v>
      </c>
      <c r="I623" t="s">
        <v>34</v>
      </c>
      <c r="J623" t="s">
        <v>35</v>
      </c>
      <c r="K623" t="s">
        <v>36</v>
      </c>
      <c r="L623" t="s">
        <v>37</v>
      </c>
      <c r="M623" t="str">
        <f t="shared" si="27"/>
        <v>non-charge-altering-6kiw</v>
      </c>
      <c r="N623" t="str">
        <f t="shared" si="28"/>
        <v>6kiw</v>
      </c>
      <c r="O623" s="2" t="s">
        <v>38</v>
      </c>
      <c r="P623" s="2" t="str">
        <f t="shared" si="29"/>
        <v>A-I112V</v>
      </c>
    </row>
    <row r="624" spans="1:16">
      <c r="A624" s="1" t="s">
        <v>26</v>
      </c>
      <c r="B624" s="1" t="s">
        <v>27</v>
      </c>
      <c r="C624" s="1" t="s">
        <v>32</v>
      </c>
      <c r="D624" s="1">
        <v>119</v>
      </c>
      <c r="E624" s="1" t="s">
        <v>48</v>
      </c>
      <c r="F624" s="1" t="s">
        <v>39</v>
      </c>
      <c r="G624" s="1">
        <v>0.69</v>
      </c>
      <c r="H624" s="1" t="s">
        <v>20</v>
      </c>
      <c r="I624" t="s">
        <v>34</v>
      </c>
      <c r="J624" t="s">
        <v>35</v>
      </c>
      <c r="K624" t="s">
        <v>36</v>
      </c>
      <c r="L624" t="s">
        <v>37</v>
      </c>
      <c r="M624" t="str">
        <f t="shared" si="27"/>
        <v>non-charge-altering-6kiw</v>
      </c>
      <c r="N624" t="str">
        <f t="shared" si="28"/>
        <v>6kiw</v>
      </c>
      <c r="O624" s="2" t="s">
        <v>38</v>
      </c>
      <c r="P624" s="2" t="str">
        <f t="shared" si="29"/>
        <v>A-I119L</v>
      </c>
    </row>
    <row r="625" spans="1:16">
      <c r="A625" s="1" t="s">
        <v>26</v>
      </c>
      <c r="B625" s="1" t="s">
        <v>27</v>
      </c>
      <c r="C625" s="1" t="s">
        <v>32</v>
      </c>
      <c r="D625" s="1">
        <v>74</v>
      </c>
      <c r="E625" s="1" t="s">
        <v>48</v>
      </c>
      <c r="F625" s="1" t="s">
        <v>61</v>
      </c>
      <c r="G625" s="1">
        <v>0.87</v>
      </c>
      <c r="H625" s="1" t="s">
        <v>20</v>
      </c>
      <c r="I625" t="s">
        <v>34</v>
      </c>
      <c r="J625" t="s">
        <v>35</v>
      </c>
      <c r="K625" t="s">
        <v>36</v>
      </c>
      <c r="L625" t="s">
        <v>37</v>
      </c>
      <c r="M625" t="str">
        <f t="shared" si="27"/>
        <v>non-charge-altering-6kiw</v>
      </c>
      <c r="N625" t="str">
        <f t="shared" si="28"/>
        <v>6kiw</v>
      </c>
      <c r="O625" s="2" t="s">
        <v>38</v>
      </c>
      <c r="P625" s="2" t="str">
        <f t="shared" si="29"/>
        <v>A-I74V</v>
      </c>
    </row>
    <row r="626" spans="1:16">
      <c r="A626" s="1" t="s">
        <v>26</v>
      </c>
      <c r="B626" s="1" t="s">
        <v>27</v>
      </c>
      <c r="C626" s="1" t="s">
        <v>32</v>
      </c>
      <c r="D626" s="1">
        <v>126</v>
      </c>
      <c r="E626" s="1" t="s">
        <v>39</v>
      </c>
      <c r="F626" s="1" t="s">
        <v>63</v>
      </c>
      <c r="G626" s="1">
        <v>0.36</v>
      </c>
      <c r="H626" s="1" t="s">
        <v>20</v>
      </c>
      <c r="I626" t="s">
        <v>34</v>
      </c>
      <c r="J626" t="s">
        <v>35</v>
      </c>
      <c r="K626" t="s">
        <v>36</v>
      </c>
      <c r="L626" t="s">
        <v>37</v>
      </c>
      <c r="M626" t="str">
        <f t="shared" si="27"/>
        <v>non-charge-altering-6kiw</v>
      </c>
      <c r="N626" t="str">
        <f t="shared" si="28"/>
        <v>6kiw</v>
      </c>
      <c r="O626" s="2" t="s">
        <v>38</v>
      </c>
      <c r="P626" s="2" t="str">
        <f t="shared" si="29"/>
        <v>A-L126M</v>
      </c>
    </row>
    <row r="627" spans="1:16">
      <c r="A627" s="1" t="s">
        <v>26</v>
      </c>
      <c r="B627" s="1" t="s">
        <v>27</v>
      </c>
      <c r="C627" s="1" t="s">
        <v>32</v>
      </c>
      <c r="D627" s="1">
        <v>126</v>
      </c>
      <c r="E627" s="1" t="s">
        <v>39</v>
      </c>
      <c r="F627" s="1" t="s">
        <v>61</v>
      </c>
      <c r="G627" s="1">
        <v>0.91</v>
      </c>
      <c r="H627" s="1" t="s">
        <v>20</v>
      </c>
      <c r="I627" t="s">
        <v>34</v>
      </c>
      <c r="J627" t="s">
        <v>35</v>
      </c>
      <c r="K627" t="s">
        <v>36</v>
      </c>
      <c r="L627" t="s">
        <v>37</v>
      </c>
      <c r="M627" t="str">
        <f t="shared" si="27"/>
        <v>non-charge-altering-6kiw</v>
      </c>
      <c r="N627" t="str">
        <f t="shared" si="28"/>
        <v>6kiw</v>
      </c>
      <c r="O627" s="2" t="s">
        <v>38</v>
      </c>
      <c r="P627" s="2" t="str">
        <f t="shared" si="29"/>
        <v>A-L126V</v>
      </c>
    </row>
    <row r="628" spans="1:16">
      <c r="A628" s="1" t="s">
        <v>26</v>
      </c>
      <c r="B628" s="1" t="s">
        <v>27</v>
      </c>
      <c r="C628" s="1" t="s">
        <v>32</v>
      </c>
      <c r="D628" s="1">
        <v>61</v>
      </c>
      <c r="E628" s="1" t="s">
        <v>39</v>
      </c>
      <c r="F628" s="1" t="s">
        <v>61</v>
      </c>
      <c r="G628" s="1">
        <v>0.92</v>
      </c>
      <c r="H628" s="1" t="s">
        <v>20</v>
      </c>
      <c r="I628" t="s">
        <v>34</v>
      </c>
      <c r="J628" t="s">
        <v>35</v>
      </c>
      <c r="K628" t="s">
        <v>36</v>
      </c>
      <c r="L628" t="s">
        <v>37</v>
      </c>
      <c r="M628" t="str">
        <f t="shared" si="27"/>
        <v>non-charge-altering-6kiw</v>
      </c>
      <c r="N628" t="str">
        <f t="shared" si="28"/>
        <v>6kiw</v>
      </c>
      <c r="O628" s="2" t="s">
        <v>38</v>
      </c>
      <c r="P628" s="2" t="str">
        <f t="shared" si="29"/>
        <v>A-L61V</v>
      </c>
    </row>
    <row r="629" spans="1:16">
      <c r="A629" s="1" t="s">
        <v>26</v>
      </c>
      <c r="B629" s="1" t="s">
        <v>27</v>
      </c>
      <c r="C629" s="1" t="s">
        <v>32</v>
      </c>
      <c r="D629" s="1">
        <v>82</v>
      </c>
      <c r="E629" s="1" t="s">
        <v>39</v>
      </c>
      <c r="F629" s="1" t="s">
        <v>33</v>
      </c>
      <c r="G629" s="1">
        <v>0.24</v>
      </c>
      <c r="H629" s="1" t="s">
        <v>20</v>
      </c>
      <c r="I629" t="s">
        <v>34</v>
      </c>
      <c r="J629" t="s">
        <v>35</v>
      </c>
      <c r="K629" t="s">
        <v>36</v>
      </c>
      <c r="L629" t="s">
        <v>37</v>
      </c>
      <c r="M629" t="str">
        <f t="shared" si="27"/>
        <v>non-charge-altering-6kiw</v>
      </c>
      <c r="N629" t="str">
        <f t="shared" si="28"/>
        <v>6kiw</v>
      </c>
      <c r="O629" s="2" t="s">
        <v>38</v>
      </c>
      <c r="P629" s="2" t="str">
        <f t="shared" si="29"/>
        <v>A-L82F</v>
      </c>
    </row>
    <row r="630" spans="1:16">
      <c r="A630" s="1" t="s">
        <v>26</v>
      </c>
      <c r="B630" s="1" t="s">
        <v>27</v>
      </c>
      <c r="C630" s="1" t="s">
        <v>32</v>
      </c>
      <c r="D630" s="1">
        <v>92</v>
      </c>
      <c r="E630" s="1" t="s">
        <v>39</v>
      </c>
      <c r="F630" s="1" t="s">
        <v>61</v>
      </c>
      <c r="G630" s="1">
        <v>1.51</v>
      </c>
      <c r="H630" s="1" t="s">
        <v>20</v>
      </c>
      <c r="I630" t="s">
        <v>34</v>
      </c>
      <c r="J630" t="s">
        <v>35</v>
      </c>
      <c r="K630" t="s">
        <v>36</v>
      </c>
      <c r="L630" t="s">
        <v>37</v>
      </c>
      <c r="M630" t="str">
        <f t="shared" si="27"/>
        <v>non-charge-altering-6kiw</v>
      </c>
      <c r="N630" t="str">
        <f t="shared" si="28"/>
        <v>6kiw</v>
      </c>
      <c r="O630" s="2" t="s">
        <v>38</v>
      </c>
      <c r="P630" s="2" t="str">
        <f t="shared" si="29"/>
        <v>A-L92V</v>
      </c>
    </row>
    <row r="631" spans="1:16">
      <c r="A631" s="1" t="s">
        <v>26</v>
      </c>
      <c r="B631" s="1" t="s">
        <v>27</v>
      </c>
      <c r="C631" s="1" t="s">
        <v>32</v>
      </c>
      <c r="D631" s="1">
        <v>120</v>
      </c>
      <c r="E631" s="1" t="s">
        <v>63</v>
      </c>
      <c r="F631" s="1" t="s">
        <v>48</v>
      </c>
      <c r="G631" s="1">
        <v>0.88</v>
      </c>
      <c r="H631" s="1" t="s">
        <v>20</v>
      </c>
      <c r="I631" t="s">
        <v>34</v>
      </c>
      <c r="J631" t="s">
        <v>35</v>
      </c>
      <c r="K631" t="s">
        <v>36</v>
      </c>
      <c r="L631" t="s">
        <v>37</v>
      </c>
      <c r="M631" t="str">
        <f t="shared" si="27"/>
        <v>non-charge-altering-6kiw</v>
      </c>
      <c r="N631" t="str">
        <f t="shared" si="28"/>
        <v>6kiw</v>
      </c>
      <c r="O631" s="2" t="s">
        <v>38</v>
      </c>
      <c r="P631" s="2" t="str">
        <f t="shared" si="29"/>
        <v>A-M120I</v>
      </c>
    </row>
    <row r="632" spans="1:16">
      <c r="A632" s="1" t="s">
        <v>26</v>
      </c>
      <c r="B632" s="1" t="s">
        <v>27</v>
      </c>
      <c r="C632" s="1" t="s">
        <v>32</v>
      </c>
      <c r="D632" s="1">
        <v>121</v>
      </c>
      <c r="E632" s="1" t="s">
        <v>58</v>
      </c>
      <c r="F632" s="1" t="s">
        <v>47</v>
      </c>
      <c r="G632" s="1">
        <v>-0.19</v>
      </c>
      <c r="H632" s="1" t="s">
        <v>59</v>
      </c>
      <c r="I632" t="s">
        <v>34</v>
      </c>
      <c r="J632" t="s">
        <v>35</v>
      </c>
      <c r="K632" t="s">
        <v>36</v>
      </c>
      <c r="L632" t="s">
        <v>37</v>
      </c>
      <c r="M632" t="str">
        <f t="shared" si="27"/>
        <v>non-charge-altering-6kiw</v>
      </c>
      <c r="N632" t="str">
        <f t="shared" si="28"/>
        <v>6kiw</v>
      </c>
      <c r="O632" s="2" t="s">
        <v>38</v>
      </c>
      <c r="P632" s="2" t="str">
        <f t="shared" si="29"/>
        <v>A-P121T</v>
      </c>
    </row>
    <row r="633" spans="1:16">
      <c r="A633" s="1" t="s">
        <v>26</v>
      </c>
      <c r="B633" s="1" t="s">
        <v>27</v>
      </c>
      <c r="C633" s="1" t="s">
        <v>32</v>
      </c>
      <c r="D633" s="1">
        <v>66</v>
      </c>
      <c r="E633" s="1" t="s">
        <v>58</v>
      </c>
      <c r="F633" s="1" t="s">
        <v>46</v>
      </c>
      <c r="G633" s="1">
        <v>0.62</v>
      </c>
      <c r="H633" s="1" t="s">
        <v>20</v>
      </c>
      <c r="I633" t="s">
        <v>34</v>
      </c>
      <c r="J633" t="s">
        <v>35</v>
      </c>
      <c r="K633" t="s">
        <v>36</v>
      </c>
      <c r="L633" t="s">
        <v>37</v>
      </c>
      <c r="M633" t="str">
        <f t="shared" si="27"/>
        <v>non-charge-altering-6kiw</v>
      </c>
      <c r="N633" t="str">
        <f t="shared" si="28"/>
        <v>6kiw</v>
      </c>
      <c r="O633" s="2" t="s">
        <v>38</v>
      </c>
      <c r="P633" s="2" t="str">
        <f t="shared" si="29"/>
        <v>A-P66S</v>
      </c>
    </row>
    <row r="634" spans="1:16">
      <c r="A634" s="1" t="s">
        <v>26</v>
      </c>
      <c r="B634" s="1" t="s">
        <v>27</v>
      </c>
      <c r="C634" s="1" t="s">
        <v>32</v>
      </c>
      <c r="D634" s="1">
        <v>128</v>
      </c>
      <c r="E634" s="1" t="s">
        <v>43</v>
      </c>
      <c r="F634" s="1" t="s">
        <v>56</v>
      </c>
      <c r="G634" s="1">
        <v>1.25</v>
      </c>
      <c r="H634" s="1" t="s">
        <v>20</v>
      </c>
      <c r="I634" t="s">
        <v>44</v>
      </c>
      <c r="J634" t="s">
        <v>35</v>
      </c>
      <c r="K634" t="s">
        <v>36</v>
      </c>
      <c r="L634" t="s">
        <v>37</v>
      </c>
      <c r="M634" t="str">
        <f t="shared" si="27"/>
        <v>non-charge-altering-6kiw</v>
      </c>
      <c r="N634" t="str">
        <f t="shared" si="28"/>
        <v>6kiw</v>
      </c>
      <c r="O634" s="2" t="s">
        <v>38</v>
      </c>
      <c r="P634" s="2" t="str">
        <f t="shared" si="29"/>
        <v>A-R128H</v>
      </c>
    </row>
    <row r="635" spans="1:16">
      <c r="A635" s="1" t="s">
        <v>26</v>
      </c>
      <c r="B635" s="1" t="s">
        <v>27</v>
      </c>
      <c r="C635" s="1" t="s">
        <v>32</v>
      </c>
      <c r="D635" s="1">
        <v>52</v>
      </c>
      <c r="E635" s="1" t="s">
        <v>43</v>
      </c>
      <c r="F635" s="1" t="s">
        <v>56</v>
      </c>
      <c r="G635" s="1">
        <v>1.47</v>
      </c>
      <c r="H635" s="1" t="s">
        <v>20</v>
      </c>
      <c r="I635" t="s">
        <v>44</v>
      </c>
      <c r="J635" t="s">
        <v>35</v>
      </c>
      <c r="K635" t="s">
        <v>36</v>
      </c>
      <c r="L635" t="s">
        <v>37</v>
      </c>
      <c r="M635" t="str">
        <f t="shared" si="27"/>
        <v>non-charge-altering-6kiw</v>
      </c>
      <c r="N635" t="str">
        <f t="shared" si="28"/>
        <v>6kiw</v>
      </c>
      <c r="O635" s="2" t="s">
        <v>38</v>
      </c>
      <c r="P635" s="2" t="str">
        <f t="shared" si="29"/>
        <v>A-R52H</v>
      </c>
    </row>
    <row r="636" spans="1:16">
      <c r="A636" s="1" t="s">
        <v>26</v>
      </c>
      <c r="B636" s="1" t="s">
        <v>27</v>
      </c>
      <c r="C636" s="1" t="s">
        <v>32</v>
      </c>
      <c r="D636" s="1">
        <v>63</v>
      </c>
      <c r="E636" s="1" t="s">
        <v>43</v>
      </c>
      <c r="F636" s="1" t="s">
        <v>56</v>
      </c>
      <c r="G636" s="1">
        <v>1.71</v>
      </c>
      <c r="H636" s="1" t="s">
        <v>20</v>
      </c>
      <c r="I636" t="s">
        <v>44</v>
      </c>
      <c r="J636" t="s">
        <v>35</v>
      </c>
      <c r="K636" t="s">
        <v>36</v>
      </c>
      <c r="L636" t="s">
        <v>37</v>
      </c>
      <c r="M636" t="str">
        <f t="shared" si="27"/>
        <v>non-charge-altering-6kiw</v>
      </c>
      <c r="N636" t="str">
        <f t="shared" si="28"/>
        <v>6kiw</v>
      </c>
      <c r="O636" s="2" t="s">
        <v>38</v>
      </c>
      <c r="P636" s="2" t="str">
        <f t="shared" si="29"/>
        <v>A-R63H</v>
      </c>
    </row>
    <row r="637" spans="1:16">
      <c r="A637" s="1" t="s">
        <v>26</v>
      </c>
      <c r="B637" s="1" t="s">
        <v>27</v>
      </c>
      <c r="C637" s="1" t="s">
        <v>32</v>
      </c>
      <c r="D637" s="1">
        <v>57</v>
      </c>
      <c r="E637" s="1" t="s">
        <v>46</v>
      </c>
      <c r="F637" s="1" t="s">
        <v>39</v>
      </c>
      <c r="G637" s="1">
        <v>0.91</v>
      </c>
      <c r="H637" s="1" t="s">
        <v>20</v>
      </c>
      <c r="I637" t="s">
        <v>34</v>
      </c>
      <c r="J637" t="s">
        <v>35</v>
      </c>
      <c r="K637" t="s">
        <v>36</v>
      </c>
      <c r="L637" t="s">
        <v>37</v>
      </c>
      <c r="M637" t="str">
        <f t="shared" si="27"/>
        <v>non-charge-altering-6kiw</v>
      </c>
      <c r="N637" t="str">
        <f t="shared" si="28"/>
        <v>6kiw</v>
      </c>
      <c r="O637" s="2" t="s">
        <v>38</v>
      </c>
      <c r="P637" s="2" t="str">
        <f t="shared" si="29"/>
        <v>A-S57L</v>
      </c>
    </row>
    <row r="638" spans="1:16">
      <c r="A638" s="1" t="s">
        <v>26</v>
      </c>
      <c r="B638" s="1" t="s">
        <v>27</v>
      </c>
      <c r="C638" s="1" t="s">
        <v>32</v>
      </c>
      <c r="D638" s="1">
        <v>58</v>
      </c>
      <c r="E638" s="1" t="s">
        <v>47</v>
      </c>
      <c r="F638" s="1" t="s">
        <v>46</v>
      </c>
      <c r="G638" s="1">
        <v>0.65</v>
      </c>
      <c r="H638" s="1" t="s">
        <v>20</v>
      </c>
      <c r="I638" t="s">
        <v>34</v>
      </c>
      <c r="J638" t="s">
        <v>35</v>
      </c>
      <c r="K638" t="s">
        <v>36</v>
      </c>
      <c r="L638" t="s">
        <v>37</v>
      </c>
      <c r="M638" t="str">
        <f t="shared" si="27"/>
        <v>non-charge-altering-6kiw</v>
      </c>
      <c r="N638" t="str">
        <f t="shared" si="28"/>
        <v>6kiw</v>
      </c>
      <c r="O638" s="2" t="s">
        <v>38</v>
      </c>
      <c r="P638" s="2" t="str">
        <f t="shared" si="29"/>
        <v>A-T58S</v>
      </c>
    </row>
    <row r="639" spans="1:16">
      <c r="A639" s="1" t="s">
        <v>26</v>
      </c>
      <c r="B639" s="1" t="s">
        <v>27</v>
      </c>
      <c r="C639" s="1" t="s">
        <v>32</v>
      </c>
      <c r="D639" s="1">
        <v>117</v>
      </c>
      <c r="E639" s="1" t="s">
        <v>61</v>
      </c>
      <c r="F639" s="1" t="s">
        <v>19</v>
      </c>
      <c r="G639" s="1">
        <v>1.24</v>
      </c>
      <c r="H639" s="1" t="s">
        <v>20</v>
      </c>
      <c r="I639" t="s">
        <v>34</v>
      </c>
      <c r="J639" t="s">
        <v>35</v>
      </c>
      <c r="K639" t="s">
        <v>36</v>
      </c>
      <c r="L639" t="s">
        <v>37</v>
      </c>
      <c r="M639" t="str">
        <f t="shared" si="27"/>
        <v>non-charge-altering-6kiw</v>
      </c>
      <c r="N639" t="str">
        <f t="shared" si="28"/>
        <v>6kiw</v>
      </c>
      <c r="O639" s="2" t="s">
        <v>38</v>
      </c>
      <c r="P639" s="2" t="str">
        <f t="shared" si="29"/>
        <v>A-V117G</v>
      </c>
    </row>
    <row r="640" spans="1:16">
      <c r="A640" s="1" t="s">
        <v>26</v>
      </c>
      <c r="B640" s="1" t="s">
        <v>27</v>
      </c>
      <c r="C640" s="1" t="s">
        <v>32</v>
      </c>
      <c r="D640" s="1">
        <v>117</v>
      </c>
      <c r="E640" s="1" t="s">
        <v>61</v>
      </c>
      <c r="F640" s="1" t="s">
        <v>63</v>
      </c>
      <c r="G640" s="1">
        <v>0.48</v>
      </c>
      <c r="H640" s="1" t="s">
        <v>20</v>
      </c>
      <c r="I640" t="s">
        <v>34</v>
      </c>
      <c r="J640" t="s">
        <v>35</v>
      </c>
      <c r="K640" t="s">
        <v>36</v>
      </c>
      <c r="L640" t="s">
        <v>37</v>
      </c>
      <c r="M640" t="str">
        <f t="shared" si="27"/>
        <v>non-charge-altering-6kiw</v>
      </c>
      <c r="N640" t="str">
        <f t="shared" si="28"/>
        <v>6kiw</v>
      </c>
      <c r="O640" s="2" t="s">
        <v>38</v>
      </c>
      <c r="P640" s="2" t="str">
        <f t="shared" si="29"/>
        <v>A-V117M</v>
      </c>
    </row>
    <row r="641" spans="1:16">
      <c r="A641" s="1" t="s">
        <v>26</v>
      </c>
      <c r="B641" s="1" t="s">
        <v>27</v>
      </c>
      <c r="C641" s="1" t="s">
        <v>32</v>
      </c>
      <c r="D641" s="1">
        <v>71</v>
      </c>
      <c r="E641" s="1" t="s">
        <v>61</v>
      </c>
      <c r="F641" s="1" t="s">
        <v>39</v>
      </c>
      <c r="G641" s="1">
        <v>0.47</v>
      </c>
      <c r="H641" s="1" t="s">
        <v>20</v>
      </c>
      <c r="I641" t="s">
        <v>34</v>
      </c>
      <c r="J641" t="s">
        <v>35</v>
      </c>
      <c r="K641" t="s">
        <v>36</v>
      </c>
      <c r="L641" t="s">
        <v>37</v>
      </c>
      <c r="M641" t="str">
        <f t="shared" si="27"/>
        <v>non-charge-altering-6kiw</v>
      </c>
      <c r="N641" t="str">
        <f t="shared" si="28"/>
        <v>6kiw</v>
      </c>
      <c r="O641" s="2" t="s">
        <v>38</v>
      </c>
      <c r="P641" s="2" t="str">
        <f t="shared" si="29"/>
        <v>A-V71L</v>
      </c>
    </row>
    <row r="642" spans="1:16">
      <c r="A642" s="1" t="s">
        <v>26</v>
      </c>
      <c r="B642" s="1" t="s">
        <v>27</v>
      </c>
      <c r="C642" s="1" t="s">
        <v>32</v>
      </c>
      <c r="D642" s="1">
        <v>54</v>
      </c>
      <c r="E642" s="1" t="s">
        <v>49</v>
      </c>
      <c r="F642" s="1" t="s">
        <v>41</v>
      </c>
      <c r="G642" s="1">
        <v>2.11</v>
      </c>
      <c r="H642" s="1" t="s">
        <v>20</v>
      </c>
      <c r="I642" t="s">
        <v>34</v>
      </c>
      <c r="J642" t="s">
        <v>35</v>
      </c>
      <c r="K642" t="s">
        <v>36</v>
      </c>
      <c r="L642" t="s">
        <v>37</v>
      </c>
      <c r="M642" t="str">
        <f t="shared" ref="M642:M705" si="30">L642&amp;"-"&amp;LEFT(A642,4)</f>
        <v>non-charge-altering-6kiw</v>
      </c>
      <c r="N642" t="str">
        <f t="shared" ref="N642:N705" si="31">LEFT(A642,4)</f>
        <v>6kiw</v>
      </c>
      <c r="O642" s="2" t="s">
        <v>38</v>
      </c>
      <c r="P642" s="2" t="str">
        <f t="shared" ref="P642:P705" si="32">C642&amp;"-"&amp;E642&amp;D642&amp;F642</f>
        <v>A-Y54N</v>
      </c>
    </row>
    <row r="643" spans="1:16">
      <c r="A643" s="1" t="s">
        <v>26</v>
      </c>
      <c r="B643" s="1" t="s">
        <v>27</v>
      </c>
      <c r="C643" s="1" t="s">
        <v>29</v>
      </c>
      <c r="D643" s="1">
        <v>114</v>
      </c>
      <c r="E643" s="1" t="s">
        <v>32</v>
      </c>
      <c r="F643" s="1" t="s">
        <v>46</v>
      </c>
      <c r="G643" s="1">
        <v>-0.14</v>
      </c>
      <c r="H643" s="1" t="s">
        <v>59</v>
      </c>
      <c r="I643" t="s">
        <v>34</v>
      </c>
      <c r="J643" t="s">
        <v>35</v>
      </c>
      <c r="K643" t="s">
        <v>36</v>
      </c>
      <c r="L643" t="s">
        <v>37</v>
      </c>
      <c r="M643" t="str">
        <f t="shared" si="30"/>
        <v>non-charge-altering-6kiw</v>
      </c>
      <c r="N643" t="str">
        <f t="shared" si="31"/>
        <v>6kiw</v>
      </c>
      <c r="O643" s="2" t="s">
        <v>38</v>
      </c>
      <c r="P643" s="2" t="str">
        <f t="shared" si="32"/>
        <v>E-A114S</v>
      </c>
    </row>
    <row r="644" spans="1:16">
      <c r="A644" s="1" t="s">
        <v>26</v>
      </c>
      <c r="B644" s="1" t="s">
        <v>27</v>
      </c>
      <c r="C644" s="1" t="s">
        <v>29</v>
      </c>
      <c r="D644" s="1">
        <v>127</v>
      </c>
      <c r="E644" s="1" t="s">
        <v>32</v>
      </c>
      <c r="F644" s="1" t="s">
        <v>58</v>
      </c>
      <c r="G644" s="1">
        <v>0.53</v>
      </c>
      <c r="H644" s="1" t="s">
        <v>20</v>
      </c>
      <c r="I644" t="s">
        <v>34</v>
      </c>
      <c r="J644" t="s">
        <v>35</v>
      </c>
      <c r="K644" t="s">
        <v>36</v>
      </c>
      <c r="L644" t="s">
        <v>37</v>
      </c>
      <c r="M644" t="str">
        <f t="shared" si="30"/>
        <v>non-charge-altering-6kiw</v>
      </c>
      <c r="N644" t="str">
        <f t="shared" si="31"/>
        <v>6kiw</v>
      </c>
      <c r="O644" s="2" t="s">
        <v>38</v>
      </c>
      <c r="P644" s="2" t="str">
        <f t="shared" si="32"/>
        <v>E-A127P</v>
      </c>
    </row>
    <row r="645" spans="1:16">
      <c r="A645" s="1" t="s">
        <v>26</v>
      </c>
      <c r="B645" s="1" t="s">
        <v>27</v>
      </c>
      <c r="C645" s="1" t="s">
        <v>29</v>
      </c>
      <c r="D645" s="1">
        <v>47</v>
      </c>
      <c r="E645" s="1" t="s">
        <v>32</v>
      </c>
      <c r="F645" s="1" t="s">
        <v>46</v>
      </c>
      <c r="G645" s="1">
        <v>0.18</v>
      </c>
      <c r="H645" s="1" t="s">
        <v>20</v>
      </c>
      <c r="I645" t="s">
        <v>34</v>
      </c>
      <c r="J645" t="s">
        <v>35</v>
      </c>
      <c r="K645" t="s">
        <v>36</v>
      </c>
      <c r="L645" t="s">
        <v>37</v>
      </c>
      <c r="M645" t="str">
        <f t="shared" si="30"/>
        <v>non-charge-altering-6kiw</v>
      </c>
      <c r="N645" t="str">
        <f t="shared" si="31"/>
        <v>6kiw</v>
      </c>
      <c r="O645" s="2" t="s">
        <v>38</v>
      </c>
      <c r="P645" s="2" t="str">
        <f t="shared" si="32"/>
        <v>E-A47S</v>
      </c>
    </row>
    <row r="646" spans="1:16">
      <c r="A646" s="1" t="s">
        <v>26</v>
      </c>
      <c r="B646" s="1" t="s">
        <v>27</v>
      </c>
      <c r="C646" s="1" t="s">
        <v>29</v>
      </c>
      <c r="D646" s="1">
        <v>47</v>
      </c>
      <c r="E646" s="1" t="s">
        <v>32</v>
      </c>
      <c r="F646" s="1" t="s">
        <v>47</v>
      </c>
      <c r="G646" s="1">
        <v>0.14</v>
      </c>
      <c r="H646" s="1" t="s">
        <v>20</v>
      </c>
      <c r="I646" t="s">
        <v>34</v>
      </c>
      <c r="J646" t="s">
        <v>35</v>
      </c>
      <c r="K646" t="s">
        <v>36</v>
      </c>
      <c r="L646" t="s">
        <v>37</v>
      </c>
      <c r="M646" t="str">
        <f t="shared" si="30"/>
        <v>non-charge-altering-6kiw</v>
      </c>
      <c r="N646" t="str">
        <f t="shared" si="31"/>
        <v>6kiw</v>
      </c>
      <c r="O646" s="2" t="s">
        <v>38</v>
      </c>
      <c r="P646" s="2" t="str">
        <f t="shared" si="32"/>
        <v>E-A47T</v>
      </c>
    </row>
    <row r="647" spans="1:16">
      <c r="A647" s="1" t="s">
        <v>26</v>
      </c>
      <c r="B647" s="1" t="s">
        <v>27</v>
      </c>
      <c r="C647" s="1" t="s">
        <v>29</v>
      </c>
      <c r="D647" s="1">
        <v>75</v>
      </c>
      <c r="E647" s="1" t="s">
        <v>32</v>
      </c>
      <c r="F647" s="1" t="s">
        <v>19</v>
      </c>
      <c r="G647" s="1">
        <v>0.84</v>
      </c>
      <c r="H647" s="1" t="s">
        <v>20</v>
      </c>
      <c r="I647" t="s">
        <v>34</v>
      </c>
      <c r="J647" t="s">
        <v>35</v>
      </c>
      <c r="K647" t="s">
        <v>36</v>
      </c>
      <c r="L647" t="s">
        <v>37</v>
      </c>
      <c r="M647" t="str">
        <f t="shared" si="30"/>
        <v>non-charge-altering-6kiw</v>
      </c>
      <c r="N647" t="str">
        <f t="shared" si="31"/>
        <v>6kiw</v>
      </c>
      <c r="O647" s="2" t="s">
        <v>38</v>
      </c>
      <c r="P647" s="2" t="str">
        <f t="shared" si="32"/>
        <v>E-A75G</v>
      </c>
    </row>
    <row r="648" spans="1:16">
      <c r="A648" s="1" t="s">
        <v>26</v>
      </c>
      <c r="B648" s="1" t="s">
        <v>27</v>
      </c>
      <c r="C648" s="1" t="s">
        <v>29</v>
      </c>
      <c r="D648" s="1">
        <v>88</v>
      </c>
      <c r="E648" s="1" t="s">
        <v>32</v>
      </c>
      <c r="F648" s="1" t="s">
        <v>58</v>
      </c>
      <c r="G648" s="1">
        <v>1.11</v>
      </c>
      <c r="H648" s="1" t="s">
        <v>20</v>
      </c>
      <c r="I648" t="s">
        <v>34</v>
      </c>
      <c r="J648" t="s">
        <v>35</v>
      </c>
      <c r="K648" t="s">
        <v>36</v>
      </c>
      <c r="L648" t="s">
        <v>37</v>
      </c>
      <c r="M648" t="str">
        <f t="shared" si="30"/>
        <v>non-charge-altering-6kiw</v>
      </c>
      <c r="N648" t="str">
        <f t="shared" si="31"/>
        <v>6kiw</v>
      </c>
      <c r="O648" s="2" t="s">
        <v>38</v>
      </c>
      <c r="P648" s="2" t="str">
        <f t="shared" si="32"/>
        <v>E-A88P</v>
      </c>
    </row>
    <row r="649" spans="1:16">
      <c r="A649" s="1" t="s">
        <v>26</v>
      </c>
      <c r="B649" s="1" t="s">
        <v>27</v>
      </c>
      <c r="C649" s="1" t="s">
        <v>29</v>
      </c>
      <c r="D649" s="1">
        <v>95</v>
      </c>
      <c r="E649" s="1" t="s">
        <v>32</v>
      </c>
      <c r="F649" s="1" t="s">
        <v>61</v>
      </c>
      <c r="G649" s="1">
        <v>0.84</v>
      </c>
      <c r="H649" s="1" t="s">
        <v>20</v>
      </c>
      <c r="I649" t="s">
        <v>34</v>
      </c>
      <c r="J649" t="s">
        <v>35</v>
      </c>
      <c r="K649" t="s">
        <v>36</v>
      </c>
      <c r="L649" t="s">
        <v>37</v>
      </c>
      <c r="M649" t="str">
        <f t="shared" si="30"/>
        <v>non-charge-altering-6kiw</v>
      </c>
      <c r="N649" t="str">
        <f t="shared" si="31"/>
        <v>6kiw</v>
      </c>
      <c r="O649" s="2" t="s">
        <v>38</v>
      </c>
      <c r="P649" s="2" t="str">
        <f t="shared" si="32"/>
        <v>E-A95V</v>
      </c>
    </row>
    <row r="650" spans="1:16">
      <c r="A650" s="1" t="s">
        <v>26</v>
      </c>
      <c r="B650" s="1" t="s">
        <v>27</v>
      </c>
      <c r="C650" s="1" t="s">
        <v>29</v>
      </c>
      <c r="D650" s="1">
        <v>105</v>
      </c>
      <c r="E650" s="1" t="s">
        <v>29</v>
      </c>
      <c r="F650" s="1" t="s">
        <v>18</v>
      </c>
      <c r="G650" s="1">
        <v>1.05</v>
      </c>
      <c r="H650" s="1" t="s">
        <v>20</v>
      </c>
      <c r="I650" t="s">
        <v>62</v>
      </c>
      <c r="J650" t="s">
        <v>35</v>
      </c>
      <c r="K650" t="s">
        <v>36</v>
      </c>
      <c r="L650" t="s">
        <v>37</v>
      </c>
      <c r="M650" t="str">
        <f t="shared" si="30"/>
        <v>non-charge-altering-6kiw</v>
      </c>
      <c r="N650" t="str">
        <f t="shared" si="31"/>
        <v>6kiw</v>
      </c>
      <c r="O650" s="2" t="s">
        <v>38</v>
      </c>
      <c r="P650" s="2" t="str">
        <f t="shared" si="32"/>
        <v>E-E105D</v>
      </c>
    </row>
    <row r="651" spans="1:16">
      <c r="A651" s="1" t="s">
        <v>26</v>
      </c>
      <c r="B651" s="1" t="s">
        <v>27</v>
      </c>
      <c r="C651" s="1" t="s">
        <v>29</v>
      </c>
      <c r="D651" s="1">
        <v>133</v>
      </c>
      <c r="E651" s="1" t="s">
        <v>29</v>
      </c>
      <c r="F651" s="1" t="s">
        <v>18</v>
      </c>
      <c r="G651" s="1">
        <v>0.8</v>
      </c>
      <c r="H651" s="1" t="s">
        <v>20</v>
      </c>
      <c r="I651" t="s">
        <v>62</v>
      </c>
      <c r="J651" t="s">
        <v>35</v>
      </c>
      <c r="K651" t="s">
        <v>36</v>
      </c>
      <c r="L651" t="s">
        <v>37</v>
      </c>
      <c r="M651" t="str">
        <f t="shared" si="30"/>
        <v>non-charge-altering-6kiw</v>
      </c>
      <c r="N651" t="str">
        <f t="shared" si="31"/>
        <v>6kiw</v>
      </c>
      <c r="O651" s="2" t="s">
        <v>38</v>
      </c>
      <c r="P651" s="2" t="str">
        <f t="shared" si="32"/>
        <v>E-E133D</v>
      </c>
    </row>
    <row r="652" spans="1:16">
      <c r="A652" s="1" t="s">
        <v>26</v>
      </c>
      <c r="B652" s="1" t="s">
        <v>27</v>
      </c>
      <c r="C652" s="1" t="s">
        <v>29</v>
      </c>
      <c r="D652" s="1">
        <v>50</v>
      </c>
      <c r="E652" s="1" t="s">
        <v>29</v>
      </c>
      <c r="F652" s="1" t="s">
        <v>18</v>
      </c>
      <c r="G652" s="1">
        <v>0.87</v>
      </c>
      <c r="H652" s="1" t="s">
        <v>20</v>
      </c>
      <c r="I652" t="s">
        <v>62</v>
      </c>
      <c r="J652" t="s">
        <v>35</v>
      </c>
      <c r="K652" t="s">
        <v>36</v>
      </c>
      <c r="L652" t="s">
        <v>37</v>
      </c>
      <c r="M652" t="str">
        <f t="shared" si="30"/>
        <v>non-charge-altering-6kiw</v>
      </c>
      <c r="N652" t="str">
        <f t="shared" si="31"/>
        <v>6kiw</v>
      </c>
      <c r="O652" s="2" t="s">
        <v>38</v>
      </c>
      <c r="P652" s="2" t="str">
        <f t="shared" si="32"/>
        <v>E-E50D</v>
      </c>
    </row>
    <row r="653" spans="1:16">
      <c r="A653" s="1" t="s">
        <v>26</v>
      </c>
      <c r="B653" s="1" t="s">
        <v>27</v>
      </c>
      <c r="C653" s="1" t="s">
        <v>29</v>
      </c>
      <c r="D653" s="1">
        <v>67</v>
      </c>
      <c r="E653" s="1" t="s">
        <v>33</v>
      </c>
      <c r="F653" s="1" t="s">
        <v>39</v>
      </c>
      <c r="G653" s="1">
        <v>1.47</v>
      </c>
      <c r="H653" s="1" t="s">
        <v>20</v>
      </c>
      <c r="I653" t="s">
        <v>34</v>
      </c>
      <c r="J653" t="s">
        <v>35</v>
      </c>
      <c r="K653" t="s">
        <v>36</v>
      </c>
      <c r="L653" t="s">
        <v>37</v>
      </c>
      <c r="M653" t="str">
        <f t="shared" si="30"/>
        <v>non-charge-altering-6kiw</v>
      </c>
      <c r="N653" t="str">
        <f t="shared" si="31"/>
        <v>6kiw</v>
      </c>
      <c r="O653" s="2" t="s">
        <v>38</v>
      </c>
      <c r="P653" s="2" t="str">
        <f t="shared" si="32"/>
        <v>E-F67L</v>
      </c>
    </row>
    <row r="654" spans="1:16">
      <c r="A654" s="1" t="s">
        <v>26</v>
      </c>
      <c r="B654" s="1" t="s">
        <v>27</v>
      </c>
      <c r="C654" s="1" t="s">
        <v>29</v>
      </c>
      <c r="D654" s="1">
        <v>78</v>
      </c>
      <c r="E654" s="1" t="s">
        <v>33</v>
      </c>
      <c r="F654" s="1" t="s">
        <v>17</v>
      </c>
      <c r="G654" s="1">
        <v>1.42</v>
      </c>
      <c r="H654" s="1" t="s">
        <v>20</v>
      </c>
      <c r="I654" t="s">
        <v>34</v>
      </c>
      <c r="J654" t="s">
        <v>35</v>
      </c>
      <c r="K654" t="s">
        <v>36</v>
      </c>
      <c r="L654" t="s">
        <v>37</v>
      </c>
      <c r="M654" t="str">
        <f t="shared" si="30"/>
        <v>non-charge-altering-6kiw</v>
      </c>
      <c r="N654" t="str">
        <f t="shared" si="31"/>
        <v>6kiw</v>
      </c>
      <c r="O654" s="2" t="s">
        <v>38</v>
      </c>
      <c r="P654" s="2" t="str">
        <f t="shared" si="32"/>
        <v>E-F78C</v>
      </c>
    </row>
    <row r="655" spans="1:16">
      <c r="A655" s="1" t="s">
        <v>26</v>
      </c>
      <c r="B655" s="1" t="s">
        <v>27</v>
      </c>
      <c r="C655" s="1" t="s">
        <v>29</v>
      </c>
      <c r="D655" s="1">
        <v>78</v>
      </c>
      <c r="E655" s="1" t="s">
        <v>33</v>
      </c>
      <c r="F655" s="1" t="s">
        <v>39</v>
      </c>
      <c r="G655" s="1">
        <v>1.53</v>
      </c>
      <c r="H655" s="1" t="s">
        <v>20</v>
      </c>
      <c r="I655" t="s">
        <v>34</v>
      </c>
      <c r="J655" t="s">
        <v>35</v>
      </c>
      <c r="K655" t="s">
        <v>36</v>
      </c>
      <c r="L655" t="s">
        <v>37</v>
      </c>
      <c r="M655" t="str">
        <f t="shared" si="30"/>
        <v>non-charge-altering-6kiw</v>
      </c>
      <c r="N655" t="str">
        <f t="shared" si="31"/>
        <v>6kiw</v>
      </c>
      <c r="O655" s="2" t="s">
        <v>38</v>
      </c>
      <c r="P655" s="2" t="str">
        <f t="shared" si="32"/>
        <v>E-F78L</v>
      </c>
    </row>
    <row r="656" spans="1:16">
      <c r="A656" s="1" t="s">
        <v>26</v>
      </c>
      <c r="B656" s="1" t="s">
        <v>27</v>
      </c>
      <c r="C656" s="1" t="s">
        <v>29</v>
      </c>
      <c r="D656" s="1">
        <v>84</v>
      </c>
      <c r="E656" s="1" t="s">
        <v>33</v>
      </c>
      <c r="F656" s="1" t="s">
        <v>39</v>
      </c>
      <c r="G656" s="1">
        <v>1.45</v>
      </c>
      <c r="H656" s="1" t="s">
        <v>20</v>
      </c>
      <c r="I656" t="s">
        <v>34</v>
      </c>
      <c r="J656" t="s">
        <v>35</v>
      </c>
      <c r="K656" t="s">
        <v>36</v>
      </c>
      <c r="L656" t="s">
        <v>37</v>
      </c>
      <c r="M656" t="str">
        <f t="shared" si="30"/>
        <v>non-charge-altering-6kiw</v>
      </c>
      <c r="N656" t="str">
        <f t="shared" si="31"/>
        <v>6kiw</v>
      </c>
      <c r="O656" s="2" t="s">
        <v>38</v>
      </c>
      <c r="P656" s="2" t="str">
        <f t="shared" si="32"/>
        <v>E-F84L</v>
      </c>
    </row>
    <row r="657" spans="1:16">
      <c r="A657" s="1" t="s">
        <v>26</v>
      </c>
      <c r="B657" s="1" t="s">
        <v>27</v>
      </c>
      <c r="C657" s="1" t="s">
        <v>29</v>
      </c>
      <c r="D657" s="1">
        <v>44</v>
      </c>
      <c r="E657" s="1" t="s">
        <v>19</v>
      </c>
      <c r="F657" s="1" t="s">
        <v>61</v>
      </c>
      <c r="G657" s="1">
        <v>0.6</v>
      </c>
      <c r="H657" s="1" t="s">
        <v>20</v>
      </c>
      <c r="I657" t="s">
        <v>34</v>
      </c>
      <c r="J657" t="s">
        <v>35</v>
      </c>
      <c r="K657" t="s">
        <v>36</v>
      </c>
      <c r="L657" t="s">
        <v>37</v>
      </c>
      <c r="M657" t="str">
        <f t="shared" si="30"/>
        <v>non-charge-altering-6kiw</v>
      </c>
      <c r="N657" t="str">
        <f t="shared" si="31"/>
        <v>6kiw</v>
      </c>
      <c r="O657" s="2" t="s">
        <v>38</v>
      </c>
      <c r="P657" s="2" t="str">
        <f t="shared" si="32"/>
        <v>E-G44V</v>
      </c>
    </row>
    <row r="658" spans="1:16">
      <c r="A658" s="1" t="s">
        <v>26</v>
      </c>
      <c r="B658" s="1" t="s">
        <v>27</v>
      </c>
      <c r="C658" s="1" t="s">
        <v>29</v>
      </c>
      <c r="D658" s="1">
        <v>112</v>
      </c>
      <c r="E658" s="1" t="s">
        <v>48</v>
      </c>
      <c r="F658" s="1" t="s">
        <v>61</v>
      </c>
      <c r="G658" s="1">
        <v>0.91</v>
      </c>
      <c r="H658" s="1" t="s">
        <v>20</v>
      </c>
      <c r="I658" t="s">
        <v>34</v>
      </c>
      <c r="J658" t="s">
        <v>35</v>
      </c>
      <c r="K658" t="s">
        <v>36</v>
      </c>
      <c r="L658" t="s">
        <v>37</v>
      </c>
      <c r="M658" t="str">
        <f t="shared" si="30"/>
        <v>non-charge-altering-6kiw</v>
      </c>
      <c r="N658" t="str">
        <f t="shared" si="31"/>
        <v>6kiw</v>
      </c>
      <c r="O658" s="2" t="s">
        <v>38</v>
      </c>
      <c r="P658" s="2" t="str">
        <f t="shared" si="32"/>
        <v>E-I112V</v>
      </c>
    </row>
    <row r="659" spans="1:16">
      <c r="A659" s="1" t="s">
        <v>26</v>
      </c>
      <c r="B659" s="1" t="s">
        <v>27</v>
      </c>
      <c r="C659" s="1" t="s">
        <v>29</v>
      </c>
      <c r="D659" s="1">
        <v>119</v>
      </c>
      <c r="E659" s="1" t="s">
        <v>48</v>
      </c>
      <c r="F659" s="1" t="s">
        <v>39</v>
      </c>
      <c r="G659" s="1">
        <v>0.69</v>
      </c>
      <c r="H659" s="1" t="s">
        <v>20</v>
      </c>
      <c r="I659" t="s">
        <v>34</v>
      </c>
      <c r="J659" t="s">
        <v>35</v>
      </c>
      <c r="K659" t="s">
        <v>36</v>
      </c>
      <c r="L659" t="s">
        <v>37</v>
      </c>
      <c r="M659" t="str">
        <f t="shared" si="30"/>
        <v>non-charge-altering-6kiw</v>
      </c>
      <c r="N659" t="str">
        <f t="shared" si="31"/>
        <v>6kiw</v>
      </c>
      <c r="O659" s="2" t="s">
        <v>38</v>
      </c>
      <c r="P659" s="2" t="str">
        <f t="shared" si="32"/>
        <v>E-I119L</v>
      </c>
    </row>
    <row r="660" spans="1:16">
      <c r="A660" s="1" t="s">
        <v>26</v>
      </c>
      <c r="B660" s="1" t="s">
        <v>27</v>
      </c>
      <c r="C660" s="1" t="s">
        <v>29</v>
      </c>
      <c r="D660" s="1">
        <v>74</v>
      </c>
      <c r="E660" s="1" t="s">
        <v>48</v>
      </c>
      <c r="F660" s="1" t="s">
        <v>61</v>
      </c>
      <c r="G660" s="1">
        <v>0.89</v>
      </c>
      <c r="H660" s="1" t="s">
        <v>20</v>
      </c>
      <c r="I660" t="s">
        <v>34</v>
      </c>
      <c r="J660" t="s">
        <v>35</v>
      </c>
      <c r="K660" t="s">
        <v>36</v>
      </c>
      <c r="L660" t="s">
        <v>37</v>
      </c>
      <c r="M660" t="str">
        <f t="shared" si="30"/>
        <v>non-charge-altering-6kiw</v>
      </c>
      <c r="N660" t="str">
        <f t="shared" si="31"/>
        <v>6kiw</v>
      </c>
      <c r="O660" s="2" t="s">
        <v>38</v>
      </c>
      <c r="P660" s="2" t="str">
        <f t="shared" si="32"/>
        <v>E-I74V</v>
      </c>
    </row>
    <row r="661" spans="1:16">
      <c r="A661" s="1" t="s">
        <v>26</v>
      </c>
      <c r="B661" s="1" t="s">
        <v>27</v>
      </c>
      <c r="C661" s="1" t="s">
        <v>29</v>
      </c>
      <c r="D661" s="1">
        <v>126</v>
      </c>
      <c r="E661" s="1" t="s">
        <v>39</v>
      </c>
      <c r="F661" s="1" t="s">
        <v>63</v>
      </c>
      <c r="G661" s="1">
        <v>0.27</v>
      </c>
      <c r="H661" s="1" t="s">
        <v>20</v>
      </c>
      <c r="I661" t="s">
        <v>34</v>
      </c>
      <c r="J661" t="s">
        <v>35</v>
      </c>
      <c r="K661" t="s">
        <v>36</v>
      </c>
      <c r="L661" t="s">
        <v>37</v>
      </c>
      <c r="M661" t="str">
        <f t="shared" si="30"/>
        <v>non-charge-altering-6kiw</v>
      </c>
      <c r="N661" t="str">
        <f t="shared" si="31"/>
        <v>6kiw</v>
      </c>
      <c r="O661" s="2" t="s">
        <v>38</v>
      </c>
      <c r="P661" s="2" t="str">
        <f t="shared" si="32"/>
        <v>E-L126M</v>
      </c>
    </row>
    <row r="662" spans="1:16">
      <c r="A662" s="1" t="s">
        <v>26</v>
      </c>
      <c r="B662" s="1" t="s">
        <v>27</v>
      </c>
      <c r="C662" s="1" t="s">
        <v>29</v>
      </c>
      <c r="D662" s="1">
        <v>126</v>
      </c>
      <c r="E662" s="1" t="s">
        <v>39</v>
      </c>
      <c r="F662" s="1" t="s">
        <v>61</v>
      </c>
      <c r="G662" s="1">
        <v>0.86</v>
      </c>
      <c r="H662" s="1" t="s">
        <v>20</v>
      </c>
      <c r="I662" t="s">
        <v>34</v>
      </c>
      <c r="J662" t="s">
        <v>35</v>
      </c>
      <c r="K662" t="s">
        <v>36</v>
      </c>
      <c r="L662" t="s">
        <v>37</v>
      </c>
      <c r="M662" t="str">
        <f t="shared" si="30"/>
        <v>non-charge-altering-6kiw</v>
      </c>
      <c r="N662" t="str">
        <f t="shared" si="31"/>
        <v>6kiw</v>
      </c>
      <c r="O662" s="2" t="s">
        <v>38</v>
      </c>
      <c r="P662" s="2" t="str">
        <f t="shared" si="32"/>
        <v>E-L126V</v>
      </c>
    </row>
    <row r="663" spans="1:16">
      <c r="A663" s="1" t="s">
        <v>26</v>
      </c>
      <c r="B663" s="1" t="s">
        <v>27</v>
      </c>
      <c r="C663" s="1" t="s">
        <v>29</v>
      </c>
      <c r="D663" s="1">
        <v>61</v>
      </c>
      <c r="E663" s="1" t="s">
        <v>39</v>
      </c>
      <c r="F663" s="1" t="s">
        <v>61</v>
      </c>
      <c r="G663" s="1">
        <v>0.92</v>
      </c>
      <c r="H663" s="1" t="s">
        <v>20</v>
      </c>
      <c r="I663" t="s">
        <v>34</v>
      </c>
      <c r="J663" t="s">
        <v>35</v>
      </c>
      <c r="K663" t="s">
        <v>36</v>
      </c>
      <c r="L663" t="s">
        <v>37</v>
      </c>
      <c r="M663" t="str">
        <f t="shared" si="30"/>
        <v>non-charge-altering-6kiw</v>
      </c>
      <c r="N663" t="str">
        <f t="shared" si="31"/>
        <v>6kiw</v>
      </c>
      <c r="O663" s="2" t="s">
        <v>38</v>
      </c>
      <c r="P663" s="2" t="str">
        <f t="shared" si="32"/>
        <v>E-L61V</v>
      </c>
    </row>
    <row r="664" spans="1:16">
      <c r="A664" s="1" t="s">
        <v>26</v>
      </c>
      <c r="B664" s="1" t="s">
        <v>27</v>
      </c>
      <c r="C664" s="1" t="s">
        <v>29</v>
      </c>
      <c r="D664" s="1">
        <v>82</v>
      </c>
      <c r="E664" s="1" t="s">
        <v>39</v>
      </c>
      <c r="F664" s="1" t="s">
        <v>33</v>
      </c>
      <c r="G664" s="1">
        <v>0.24</v>
      </c>
      <c r="H664" s="1" t="s">
        <v>20</v>
      </c>
      <c r="I664" t="s">
        <v>34</v>
      </c>
      <c r="J664" t="s">
        <v>35</v>
      </c>
      <c r="K664" t="s">
        <v>36</v>
      </c>
      <c r="L664" t="s">
        <v>37</v>
      </c>
      <c r="M664" t="str">
        <f t="shared" si="30"/>
        <v>non-charge-altering-6kiw</v>
      </c>
      <c r="N664" t="str">
        <f t="shared" si="31"/>
        <v>6kiw</v>
      </c>
      <c r="O664" s="2" t="s">
        <v>38</v>
      </c>
      <c r="P664" s="2" t="str">
        <f t="shared" si="32"/>
        <v>E-L82F</v>
      </c>
    </row>
    <row r="665" spans="1:16">
      <c r="A665" s="1" t="s">
        <v>26</v>
      </c>
      <c r="B665" s="1" t="s">
        <v>27</v>
      </c>
      <c r="C665" s="1" t="s">
        <v>29</v>
      </c>
      <c r="D665" s="1">
        <v>92</v>
      </c>
      <c r="E665" s="1" t="s">
        <v>39</v>
      </c>
      <c r="F665" s="1" t="s">
        <v>61</v>
      </c>
      <c r="G665" s="1">
        <v>2.01</v>
      </c>
      <c r="H665" s="1" t="s">
        <v>20</v>
      </c>
      <c r="I665" t="s">
        <v>34</v>
      </c>
      <c r="J665" t="s">
        <v>35</v>
      </c>
      <c r="K665" t="s">
        <v>36</v>
      </c>
      <c r="L665" t="s">
        <v>37</v>
      </c>
      <c r="M665" t="str">
        <f t="shared" si="30"/>
        <v>non-charge-altering-6kiw</v>
      </c>
      <c r="N665" t="str">
        <f t="shared" si="31"/>
        <v>6kiw</v>
      </c>
      <c r="O665" s="2" t="s">
        <v>38</v>
      </c>
      <c r="P665" s="2" t="str">
        <f t="shared" si="32"/>
        <v>E-L92V</v>
      </c>
    </row>
    <row r="666" spans="1:16">
      <c r="A666" s="1" t="s">
        <v>26</v>
      </c>
      <c r="B666" s="1" t="s">
        <v>27</v>
      </c>
      <c r="C666" s="1" t="s">
        <v>29</v>
      </c>
      <c r="D666" s="1">
        <v>120</v>
      </c>
      <c r="E666" s="1" t="s">
        <v>63</v>
      </c>
      <c r="F666" s="1" t="s">
        <v>48</v>
      </c>
      <c r="G666" s="1">
        <v>0.88</v>
      </c>
      <c r="H666" s="1" t="s">
        <v>20</v>
      </c>
      <c r="I666" t="s">
        <v>34</v>
      </c>
      <c r="J666" t="s">
        <v>35</v>
      </c>
      <c r="K666" t="s">
        <v>36</v>
      </c>
      <c r="L666" t="s">
        <v>37</v>
      </c>
      <c r="M666" t="str">
        <f t="shared" si="30"/>
        <v>non-charge-altering-6kiw</v>
      </c>
      <c r="N666" t="str">
        <f t="shared" si="31"/>
        <v>6kiw</v>
      </c>
      <c r="O666" s="2" t="s">
        <v>38</v>
      </c>
      <c r="P666" s="2" t="str">
        <f t="shared" si="32"/>
        <v>E-M120I</v>
      </c>
    </row>
    <row r="667" spans="1:16">
      <c r="A667" s="1" t="s">
        <v>26</v>
      </c>
      <c r="B667" s="1" t="s">
        <v>27</v>
      </c>
      <c r="C667" s="1" t="s">
        <v>29</v>
      </c>
      <c r="D667" s="1">
        <v>121</v>
      </c>
      <c r="E667" s="1" t="s">
        <v>58</v>
      </c>
      <c r="F667" s="1" t="s">
        <v>47</v>
      </c>
      <c r="G667" s="1">
        <v>-0.27</v>
      </c>
      <c r="H667" s="1" t="s">
        <v>59</v>
      </c>
      <c r="I667" t="s">
        <v>34</v>
      </c>
      <c r="J667" t="s">
        <v>35</v>
      </c>
      <c r="K667" t="s">
        <v>36</v>
      </c>
      <c r="L667" t="s">
        <v>37</v>
      </c>
      <c r="M667" t="str">
        <f t="shared" si="30"/>
        <v>non-charge-altering-6kiw</v>
      </c>
      <c r="N667" t="str">
        <f t="shared" si="31"/>
        <v>6kiw</v>
      </c>
      <c r="O667" s="2" t="s">
        <v>38</v>
      </c>
      <c r="P667" s="2" t="str">
        <f t="shared" si="32"/>
        <v>E-P121T</v>
      </c>
    </row>
    <row r="668" spans="1:16">
      <c r="A668" s="1" t="s">
        <v>26</v>
      </c>
      <c r="B668" s="1" t="s">
        <v>27</v>
      </c>
      <c r="C668" s="1" t="s">
        <v>29</v>
      </c>
      <c r="D668" s="1">
        <v>66</v>
      </c>
      <c r="E668" s="1" t="s">
        <v>58</v>
      </c>
      <c r="F668" s="1" t="s">
        <v>46</v>
      </c>
      <c r="G668" s="1">
        <v>0.46</v>
      </c>
      <c r="H668" s="1" t="s">
        <v>20</v>
      </c>
      <c r="I668" t="s">
        <v>34</v>
      </c>
      <c r="J668" t="s">
        <v>35</v>
      </c>
      <c r="K668" t="s">
        <v>36</v>
      </c>
      <c r="L668" t="s">
        <v>37</v>
      </c>
      <c r="M668" t="str">
        <f t="shared" si="30"/>
        <v>non-charge-altering-6kiw</v>
      </c>
      <c r="N668" t="str">
        <f t="shared" si="31"/>
        <v>6kiw</v>
      </c>
      <c r="O668" s="2" t="s">
        <v>38</v>
      </c>
      <c r="P668" s="2" t="str">
        <f t="shared" si="32"/>
        <v>E-P66S</v>
      </c>
    </row>
    <row r="669" spans="1:16">
      <c r="A669" s="1" t="s">
        <v>26</v>
      </c>
      <c r="B669" s="1" t="s">
        <v>27</v>
      </c>
      <c r="C669" s="1" t="s">
        <v>29</v>
      </c>
      <c r="D669" s="1">
        <v>128</v>
      </c>
      <c r="E669" s="1" t="s">
        <v>43</v>
      </c>
      <c r="F669" s="1" t="s">
        <v>56</v>
      </c>
      <c r="G669" s="1">
        <v>1.07</v>
      </c>
      <c r="H669" s="1" t="s">
        <v>20</v>
      </c>
      <c r="I669" t="s">
        <v>44</v>
      </c>
      <c r="J669" t="s">
        <v>35</v>
      </c>
      <c r="K669" t="s">
        <v>36</v>
      </c>
      <c r="L669" t="s">
        <v>37</v>
      </c>
      <c r="M669" t="str">
        <f t="shared" si="30"/>
        <v>non-charge-altering-6kiw</v>
      </c>
      <c r="N669" t="str">
        <f t="shared" si="31"/>
        <v>6kiw</v>
      </c>
      <c r="O669" s="2" t="s">
        <v>38</v>
      </c>
      <c r="P669" s="2" t="str">
        <f t="shared" si="32"/>
        <v>E-R128H</v>
      </c>
    </row>
    <row r="670" spans="1:16">
      <c r="A670" s="1" t="s">
        <v>26</v>
      </c>
      <c r="B670" s="1" t="s">
        <v>27</v>
      </c>
      <c r="C670" s="1" t="s">
        <v>29</v>
      </c>
      <c r="D670" s="1">
        <v>52</v>
      </c>
      <c r="E670" s="1" t="s">
        <v>43</v>
      </c>
      <c r="F670" s="1" t="s">
        <v>56</v>
      </c>
      <c r="G670" s="1">
        <v>1.61</v>
      </c>
      <c r="H670" s="1" t="s">
        <v>20</v>
      </c>
      <c r="I670" t="s">
        <v>44</v>
      </c>
      <c r="J670" t="s">
        <v>35</v>
      </c>
      <c r="K670" t="s">
        <v>36</v>
      </c>
      <c r="L670" t="s">
        <v>37</v>
      </c>
      <c r="M670" t="str">
        <f t="shared" si="30"/>
        <v>non-charge-altering-6kiw</v>
      </c>
      <c r="N670" t="str">
        <f t="shared" si="31"/>
        <v>6kiw</v>
      </c>
      <c r="O670" s="2" t="s">
        <v>38</v>
      </c>
      <c r="P670" s="2" t="str">
        <f t="shared" si="32"/>
        <v>E-R52H</v>
      </c>
    </row>
    <row r="671" spans="1:16">
      <c r="A671" s="1" t="s">
        <v>26</v>
      </c>
      <c r="B671" s="1" t="s">
        <v>27</v>
      </c>
      <c r="C671" s="1" t="s">
        <v>29</v>
      </c>
      <c r="D671" s="1">
        <v>63</v>
      </c>
      <c r="E671" s="1" t="s">
        <v>43</v>
      </c>
      <c r="F671" s="1" t="s">
        <v>56</v>
      </c>
      <c r="G671" s="1">
        <v>1.84</v>
      </c>
      <c r="H671" s="1" t="s">
        <v>20</v>
      </c>
      <c r="I671" t="s">
        <v>44</v>
      </c>
      <c r="J671" t="s">
        <v>35</v>
      </c>
      <c r="K671" t="s">
        <v>36</v>
      </c>
      <c r="L671" t="s">
        <v>37</v>
      </c>
      <c r="M671" t="str">
        <f t="shared" si="30"/>
        <v>non-charge-altering-6kiw</v>
      </c>
      <c r="N671" t="str">
        <f t="shared" si="31"/>
        <v>6kiw</v>
      </c>
      <c r="O671" s="2" t="s">
        <v>38</v>
      </c>
      <c r="P671" s="2" t="str">
        <f t="shared" si="32"/>
        <v>E-R63H</v>
      </c>
    </row>
    <row r="672" spans="1:16">
      <c r="A672" s="1" t="s">
        <v>26</v>
      </c>
      <c r="B672" s="1" t="s">
        <v>27</v>
      </c>
      <c r="C672" s="1" t="s">
        <v>29</v>
      </c>
      <c r="D672" s="1">
        <v>57</v>
      </c>
      <c r="E672" s="1" t="s">
        <v>46</v>
      </c>
      <c r="F672" s="1" t="s">
        <v>39</v>
      </c>
      <c r="G672" s="1">
        <v>0.97</v>
      </c>
      <c r="H672" s="1" t="s">
        <v>20</v>
      </c>
      <c r="I672" t="s">
        <v>34</v>
      </c>
      <c r="J672" t="s">
        <v>35</v>
      </c>
      <c r="K672" t="s">
        <v>36</v>
      </c>
      <c r="L672" t="s">
        <v>37</v>
      </c>
      <c r="M672" t="str">
        <f t="shared" si="30"/>
        <v>non-charge-altering-6kiw</v>
      </c>
      <c r="N672" t="str">
        <f t="shared" si="31"/>
        <v>6kiw</v>
      </c>
      <c r="O672" s="2" t="s">
        <v>38</v>
      </c>
      <c r="P672" s="2" t="str">
        <f t="shared" si="32"/>
        <v>E-S57L</v>
      </c>
    </row>
    <row r="673" spans="1:16">
      <c r="A673" s="1" t="s">
        <v>26</v>
      </c>
      <c r="B673" s="1" t="s">
        <v>27</v>
      </c>
      <c r="C673" s="1" t="s">
        <v>29</v>
      </c>
      <c r="D673" s="1">
        <v>58</v>
      </c>
      <c r="E673" s="1" t="s">
        <v>47</v>
      </c>
      <c r="F673" s="1" t="s">
        <v>46</v>
      </c>
      <c r="G673" s="1">
        <v>0.63</v>
      </c>
      <c r="H673" s="1" t="s">
        <v>20</v>
      </c>
      <c r="I673" t="s">
        <v>34</v>
      </c>
      <c r="J673" t="s">
        <v>35</v>
      </c>
      <c r="K673" t="s">
        <v>36</v>
      </c>
      <c r="L673" t="s">
        <v>37</v>
      </c>
      <c r="M673" t="str">
        <f t="shared" si="30"/>
        <v>non-charge-altering-6kiw</v>
      </c>
      <c r="N673" t="str">
        <f t="shared" si="31"/>
        <v>6kiw</v>
      </c>
      <c r="O673" s="2" t="s">
        <v>38</v>
      </c>
      <c r="P673" s="2" t="str">
        <f t="shared" si="32"/>
        <v>E-T58S</v>
      </c>
    </row>
    <row r="674" spans="1:16">
      <c r="A674" s="1" t="s">
        <v>26</v>
      </c>
      <c r="B674" s="1" t="s">
        <v>27</v>
      </c>
      <c r="C674" s="1" t="s">
        <v>29</v>
      </c>
      <c r="D674" s="1">
        <v>117</v>
      </c>
      <c r="E674" s="1" t="s">
        <v>61</v>
      </c>
      <c r="F674" s="1" t="s">
        <v>19</v>
      </c>
      <c r="G674" s="1">
        <v>1.03</v>
      </c>
      <c r="H674" s="1" t="s">
        <v>20</v>
      </c>
      <c r="I674" t="s">
        <v>34</v>
      </c>
      <c r="J674" t="s">
        <v>35</v>
      </c>
      <c r="K674" t="s">
        <v>36</v>
      </c>
      <c r="L674" t="s">
        <v>37</v>
      </c>
      <c r="M674" t="str">
        <f t="shared" si="30"/>
        <v>non-charge-altering-6kiw</v>
      </c>
      <c r="N674" t="str">
        <f t="shared" si="31"/>
        <v>6kiw</v>
      </c>
      <c r="O674" s="2" t="s">
        <v>38</v>
      </c>
      <c r="P674" s="2" t="str">
        <f t="shared" si="32"/>
        <v>E-V117G</v>
      </c>
    </row>
    <row r="675" spans="1:16">
      <c r="A675" s="1" t="s">
        <v>26</v>
      </c>
      <c r="B675" s="1" t="s">
        <v>27</v>
      </c>
      <c r="C675" s="1" t="s">
        <v>29</v>
      </c>
      <c r="D675" s="1">
        <v>117</v>
      </c>
      <c r="E675" s="1" t="s">
        <v>61</v>
      </c>
      <c r="F675" s="1" t="s">
        <v>63</v>
      </c>
      <c r="G675" s="1">
        <v>0.2</v>
      </c>
      <c r="H675" s="1" t="s">
        <v>20</v>
      </c>
      <c r="I675" t="s">
        <v>34</v>
      </c>
      <c r="J675" t="s">
        <v>35</v>
      </c>
      <c r="K675" t="s">
        <v>36</v>
      </c>
      <c r="L675" t="s">
        <v>37</v>
      </c>
      <c r="M675" t="str">
        <f t="shared" si="30"/>
        <v>non-charge-altering-6kiw</v>
      </c>
      <c r="N675" t="str">
        <f t="shared" si="31"/>
        <v>6kiw</v>
      </c>
      <c r="O675" s="2" t="s">
        <v>38</v>
      </c>
      <c r="P675" s="2" t="str">
        <f t="shared" si="32"/>
        <v>E-V117M</v>
      </c>
    </row>
    <row r="676" spans="1:16">
      <c r="A676" s="1" t="s">
        <v>26</v>
      </c>
      <c r="B676" s="1" t="s">
        <v>27</v>
      </c>
      <c r="C676" s="1" t="s">
        <v>29</v>
      </c>
      <c r="D676" s="1">
        <v>71</v>
      </c>
      <c r="E676" s="1" t="s">
        <v>61</v>
      </c>
      <c r="F676" s="1" t="s">
        <v>39</v>
      </c>
      <c r="G676" s="1">
        <v>0.48</v>
      </c>
      <c r="H676" s="1" t="s">
        <v>20</v>
      </c>
      <c r="I676" t="s">
        <v>34</v>
      </c>
      <c r="J676" t="s">
        <v>35</v>
      </c>
      <c r="K676" t="s">
        <v>36</v>
      </c>
      <c r="L676" t="s">
        <v>37</v>
      </c>
      <c r="M676" t="str">
        <f t="shared" si="30"/>
        <v>non-charge-altering-6kiw</v>
      </c>
      <c r="N676" t="str">
        <f t="shared" si="31"/>
        <v>6kiw</v>
      </c>
      <c r="O676" s="2" t="s">
        <v>38</v>
      </c>
      <c r="P676" s="2" t="str">
        <f t="shared" si="32"/>
        <v>E-V71L</v>
      </c>
    </row>
    <row r="677" spans="1:16">
      <c r="A677" s="1" t="s">
        <v>26</v>
      </c>
      <c r="B677" s="1" t="s">
        <v>27</v>
      </c>
      <c r="C677" s="1" t="s">
        <v>29</v>
      </c>
      <c r="D677" s="1">
        <v>54</v>
      </c>
      <c r="E677" s="1" t="s">
        <v>49</v>
      </c>
      <c r="F677" s="1" t="s">
        <v>41</v>
      </c>
      <c r="G677" s="1">
        <v>2.21</v>
      </c>
      <c r="H677" s="1" t="s">
        <v>20</v>
      </c>
      <c r="I677" t="s">
        <v>34</v>
      </c>
      <c r="J677" t="s">
        <v>35</v>
      </c>
      <c r="K677" t="s">
        <v>36</v>
      </c>
      <c r="L677" t="s">
        <v>37</v>
      </c>
      <c r="M677" t="str">
        <f t="shared" si="30"/>
        <v>non-charge-altering-6kiw</v>
      </c>
      <c r="N677" t="str">
        <f t="shared" si="31"/>
        <v>6kiw</v>
      </c>
      <c r="O677" s="2" t="s">
        <v>38</v>
      </c>
      <c r="P677" s="2" t="str">
        <f t="shared" si="32"/>
        <v>E-Y54N</v>
      </c>
    </row>
    <row r="678" spans="1:16">
      <c r="A678" s="1" t="s">
        <v>26</v>
      </c>
      <c r="B678" s="1" t="s">
        <v>27</v>
      </c>
      <c r="C678" s="1" t="s">
        <v>28</v>
      </c>
      <c r="D678" s="1">
        <v>53</v>
      </c>
      <c r="E678" s="1" t="s">
        <v>29</v>
      </c>
      <c r="F678" s="1" t="s">
        <v>18</v>
      </c>
      <c r="G678" s="1">
        <v>1.01</v>
      </c>
      <c r="H678" s="1" t="s">
        <v>20</v>
      </c>
      <c r="I678" t="s">
        <v>62</v>
      </c>
      <c r="J678" t="s">
        <v>35</v>
      </c>
      <c r="K678" t="s">
        <v>36</v>
      </c>
      <c r="L678" t="s">
        <v>37</v>
      </c>
      <c r="M678" t="str">
        <f t="shared" si="30"/>
        <v>non-charge-altering-6kiw</v>
      </c>
      <c r="N678" t="str">
        <f t="shared" si="31"/>
        <v>6kiw</v>
      </c>
      <c r="O678" s="2" t="s">
        <v>31</v>
      </c>
      <c r="P678" s="2" t="str">
        <f t="shared" si="32"/>
        <v>B-E53D</v>
      </c>
    </row>
    <row r="679" spans="1:16">
      <c r="A679" s="1" t="s">
        <v>26</v>
      </c>
      <c r="B679" s="1" t="s">
        <v>27</v>
      </c>
      <c r="C679" s="1" t="s">
        <v>28</v>
      </c>
      <c r="D679" s="1">
        <v>63</v>
      </c>
      <c r="E679" s="1" t="s">
        <v>29</v>
      </c>
      <c r="F679" s="1" t="s">
        <v>18</v>
      </c>
      <c r="G679" s="1">
        <v>1.15</v>
      </c>
      <c r="H679" s="1" t="s">
        <v>20</v>
      </c>
      <c r="I679" t="s">
        <v>62</v>
      </c>
      <c r="J679" t="s">
        <v>35</v>
      </c>
      <c r="K679" t="s">
        <v>36</v>
      </c>
      <c r="L679" t="s">
        <v>37</v>
      </c>
      <c r="M679" t="str">
        <f t="shared" si="30"/>
        <v>non-charge-altering-6kiw</v>
      </c>
      <c r="N679" t="str">
        <f t="shared" si="31"/>
        <v>6kiw</v>
      </c>
      <c r="O679" s="2" t="s">
        <v>31</v>
      </c>
      <c r="P679" s="2" t="str">
        <f t="shared" si="32"/>
        <v>B-E63D</v>
      </c>
    </row>
    <row r="680" spans="1:16">
      <c r="A680" s="1" t="s">
        <v>26</v>
      </c>
      <c r="B680" s="1" t="s">
        <v>27</v>
      </c>
      <c r="C680" s="1" t="s">
        <v>28</v>
      </c>
      <c r="D680" s="1">
        <v>61</v>
      </c>
      <c r="E680" s="1" t="s">
        <v>33</v>
      </c>
      <c r="F680" s="1" t="s">
        <v>17</v>
      </c>
      <c r="G680" s="1">
        <v>1.58</v>
      </c>
      <c r="H680" s="1" t="s">
        <v>20</v>
      </c>
      <c r="I680" t="s">
        <v>34</v>
      </c>
      <c r="J680" t="s">
        <v>35</v>
      </c>
      <c r="K680" t="s">
        <v>36</v>
      </c>
      <c r="L680" t="s">
        <v>37</v>
      </c>
      <c r="M680" t="str">
        <f t="shared" si="30"/>
        <v>non-charge-altering-6kiw</v>
      </c>
      <c r="N680" t="str">
        <f t="shared" si="31"/>
        <v>6kiw</v>
      </c>
      <c r="O680" s="2" t="s">
        <v>31</v>
      </c>
      <c r="P680" s="2" t="str">
        <f t="shared" si="32"/>
        <v>B-F61C</v>
      </c>
    </row>
    <row r="681" spans="1:16">
      <c r="A681" s="1" t="s">
        <v>26</v>
      </c>
      <c r="B681" s="1" t="s">
        <v>27</v>
      </c>
      <c r="C681" s="1" t="s">
        <v>28</v>
      </c>
      <c r="D681" s="1">
        <v>61</v>
      </c>
      <c r="E681" s="1" t="s">
        <v>33</v>
      </c>
      <c r="F681" s="1" t="s">
        <v>39</v>
      </c>
      <c r="G681" s="1">
        <v>1.69</v>
      </c>
      <c r="H681" s="1" t="s">
        <v>20</v>
      </c>
      <c r="I681" t="s">
        <v>34</v>
      </c>
      <c r="J681" t="s">
        <v>35</v>
      </c>
      <c r="K681" t="s">
        <v>36</v>
      </c>
      <c r="L681" t="s">
        <v>37</v>
      </c>
      <c r="M681" t="str">
        <f t="shared" si="30"/>
        <v>non-charge-altering-6kiw</v>
      </c>
      <c r="N681" t="str">
        <f t="shared" si="31"/>
        <v>6kiw</v>
      </c>
      <c r="O681" s="2" t="s">
        <v>31</v>
      </c>
      <c r="P681" s="2" t="str">
        <f t="shared" si="32"/>
        <v>B-F61L</v>
      </c>
    </row>
    <row r="682" spans="1:16">
      <c r="A682" s="1" t="s">
        <v>26</v>
      </c>
      <c r="B682" s="1" t="s">
        <v>27</v>
      </c>
      <c r="C682" s="1" t="s">
        <v>28</v>
      </c>
      <c r="D682" s="1">
        <v>28</v>
      </c>
      <c r="E682" s="1" t="s">
        <v>19</v>
      </c>
      <c r="F682" s="1" t="s">
        <v>61</v>
      </c>
      <c r="G682" s="1">
        <v>1.22</v>
      </c>
      <c r="H682" s="1" t="s">
        <v>20</v>
      </c>
      <c r="I682" t="s">
        <v>34</v>
      </c>
      <c r="J682" t="s">
        <v>35</v>
      </c>
      <c r="K682" t="s">
        <v>36</v>
      </c>
      <c r="L682" t="s">
        <v>37</v>
      </c>
      <c r="M682" t="str">
        <f t="shared" si="30"/>
        <v>non-charge-altering-6kiw</v>
      </c>
      <c r="N682" t="str">
        <f t="shared" si="31"/>
        <v>6kiw</v>
      </c>
      <c r="O682" s="2" t="s">
        <v>31</v>
      </c>
      <c r="P682" s="2" t="str">
        <f t="shared" si="32"/>
        <v>B-G28V</v>
      </c>
    </row>
    <row r="683" spans="1:16">
      <c r="A683" s="1" t="s">
        <v>26</v>
      </c>
      <c r="B683" s="1" t="s">
        <v>27</v>
      </c>
      <c r="C683" s="1" t="s">
        <v>28</v>
      </c>
      <c r="D683" s="1">
        <v>42</v>
      </c>
      <c r="E683" s="1" t="s">
        <v>19</v>
      </c>
      <c r="F683" s="1" t="s">
        <v>61</v>
      </c>
      <c r="G683" s="1">
        <v>0.79</v>
      </c>
      <c r="H683" s="1" t="s">
        <v>20</v>
      </c>
      <c r="I683" t="s">
        <v>34</v>
      </c>
      <c r="J683" t="s">
        <v>35</v>
      </c>
      <c r="K683" t="s">
        <v>36</v>
      </c>
      <c r="L683" t="s">
        <v>37</v>
      </c>
      <c r="M683" t="str">
        <f t="shared" si="30"/>
        <v>non-charge-altering-6kiw</v>
      </c>
      <c r="N683" t="str">
        <f t="shared" si="31"/>
        <v>6kiw</v>
      </c>
      <c r="O683" s="2" t="s">
        <v>31</v>
      </c>
      <c r="P683" s="2" t="str">
        <f t="shared" si="32"/>
        <v>B-G42V</v>
      </c>
    </row>
    <row r="684" spans="1:16">
      <c r="A684" s="1" t="s">
        <v>26</v>
      </c>
      <c r="B684" s="1" t="s">
        <v>27</v>
      </c>
      <c r="C684" s="1" t="s">
        <v>28</v>
      </c>
      <c r="D684" s="1">
        <v>94</v>
      </c>
      <c r="E684" s="1" t="s">
        <v>19</v>
      </c>
      <c r="F684" s="1" t="s">
        <v>17</v>
      </c>
      <c r="G684" s="1">
        <v>0.57</v>
      </c>
      <c r="H684" s="1" t="s">
        <v>20</v>
      </c>
      <c r="I684" t="s">
        <v>34</v>
      </c>
      <c r="J684" t="s">
        <v>35</v>
      </c>
      <c r="K684" t="s">
        <v>36</v>
      </c>
      <c r="L684" t="s">
        <v>37</v>
      </c>
      <c r="M684" t="str">
        <f t="shared" si="30"/>
        <v>non-charge-altering-6kiw</v>
      </c>
      <c r="N684" t="str">
        <f t="shared" si="31"/>
        <v>6kiw</v>
      </c>
      <c r="O684" s="2" t="s">
        <v>31</v>
      </c>
      <c r="P684" s="2" t="str">
        <f t="shared" si="32"/>
        <v>B-G94C</v>
      </c>
    </row>
    <row r="685" spans="1:16">
      <c r="A685" s="1" t="s">
        <v>26</v>
      </c>
      <c r="B685" s="1" t="s">
        <v>27</v>
      </c>
      <c r="C685" s="1" t="s">
        <v>28</v>
      </c>
      <c r="D685" s="1">
        <v>50</v>
      </c>
      <c r="E685" s="1" t="s">
        <v>48</v>
      </c>
      <c r="F685" s="1" t="s">
        <v>63</v>
      </c>
      <c r="G685" s="1">
        <v>0.68</v>
      </c>
      <c r="H685" s="1" t="s">
        <v>20</v>
      </c>
      <c r="I685" t="s">
        <v>34</v>
      </c>
      <c r="J685" t="s">
        <v>35</v>
      </c>
      <c r="K685" t="s">
        <v>36</v>
      </c>
      <c r="L685" t="s">
        <v>37</v>
      </c>
      <c r="M685" t="str">
        <f t="shared" si="30"/>
        <v>non-charge-altering-6kiw</v>
      </c>
      <c r="N685" t="str">
        <f t="shared" si="31"/>
        <v>6kiw</v>
      </c>
      <c r="O685" s="2" t="s">
        <v>31</v>
      </c>
      <c r="P685" s="2" t="str">
        <f t="shared" si="32"/>
        <v>B-I50M</v>
      </c>
    </row>
    <row r="686" spans="1:16">
      <c r="A686" s="1" t="s">
        <v>26</v>
      </c>
      <c r="B686" s="1" t="s">
        <v>27</v>
      </c>
      <c r="C686" s="1" t="s">
        <v>28</v>
      </c>
      <c r="D686" s="1">
        <v>50</v>
      </c>
      <c r="E686" s="1" t="s">
        <v>48</v>
      </c>
      <c r="F686" s="1" t="s">
        <v>47</v>
      </c>
      <c r="G686" s="1">
        <v>0.59</v>
      </c>
      <c r="H686" s="1" t="s">
        <v>20</v>
      </c>
      <c r="I686" t="s">
        <v>34</v>
      </c>
      <c r="J686" t="s">
        <v>35</v>
      </c>
      <c r="K686" t="s">
        <v>36</v>
      </c>
      <c r="L686" t="s">
        <v>37</v>
      </c>
      <c r="M686" t="str">
        <f t="shared" si="30"/>
        <v>non-charge-altering-6kiw</v>
      </c>
      <c r="N686" t="str">
        <f t="shared" si="31"/>
        <v>6kiw</v>
      </c>
      <c r="O686" s="2" t="s">
        <v>31</v>
      </c>
      <c r="P686" s="2" t="str">
        <f t="shared" si="32"/>
        <v>B-I50T</v>
      </c>
    </row>
    <row r="687" spans="1:16">
      <c r="A687" s="1" t="s">
        <v>26</v>
      </c>
      <c r="B687" s="1" t="s">
        <v>27</v>
      </c>
      <c r="C687" s="1" t="s">
        <v>28</v>
      </c>
      <c r="D687" s="1">
        <v>22</v>
      </c>
      <c r="E687" s="1" t="s">
        <v>39</v>
      </c>
      <c r="F687" s="1" t="s">
        <v>63</v>
      </c>
      <c r="G687" s="1">
        <v>0.55</v>
      </c>
      <c r="H687" s="1" t="s">
        <v>20</v>
      </c>
      <c r="I687" t="s">
        <v>34</v>
      </c>
      <c r="J687" t="s">
        <v>35</v>
      </c>
      <c r="K687" t="s">
        <v>36</v>
      </c>
      <c r="L687" t="s">
        <v>37</v>
      </c>
      <c r="M687" t="str">
        <f t="shared" si="30"/>
        <v>non-charge-altering-6kiw</v>
      </c>
      <c r="N687" t="str">
        <f t="shared" si="31"/>
        <v>6kiw</v>
      </c>
      <c r="O687" s="2" t="s">
        <v>31</v>
      </c>
      <c r="P687" s="2" t="str">
        <f t="shared" si="32"/>
        <v>B-L22M</v>
      </c>
    </row>
    <row r="688" spans="1:16">
      <c r="A688" s="1" t="s">
        <v>26</v>
      </c>
      <c r="B688" s="1" t="s">
        <v>27</v>
      </c>
      <c r="C688" s="1" t="s">
        <v>28</v>
      </c>
      <c r="D688" s="1">
        <v>49</v>
      </c>
      <c r="E688" s="1" t="s">
        <v>39</v>
      </c>
      <c r="F688" s="1" t="s">
        <v>33</v>
      </c>
      <c r="G688" s="1">
        <v>0.53</v>
      </c>
      <c r="H688" s="1" t="s">
        <v>20</v>
      </c>
      <c r="I688" t="s">
        <v>34</v>
      </c>
      <c r="J688" t="s">
        <v>35</v>
      </c>
      <c r="K688" t="s">
        <v>36</v>
      </c>
      <c r="L688" t="s">
        <v>37</v>
      </c>
      <c r="M688" t="str">
        <f t="shared" si="30"/>
        <v>non-charge-altering-6kiw</v>
      </c>
      <c r="N688" t="str">
        <f t="shared" si="31"/>
        <v>6kiw</v>
      </c>
      <c r="O688" s="2" t="s">
        <v>31</v>
      </c>
      <c r="P688" s="2" t="str">
        <f t="shared" si="32"/>
        <v>B-L49F</v>
      </c>
    </row>
    <row r="689" spans="1:16">
      <c r="A689" s="1" t="s">
        <v>26</v>
      </c>
      <c r="B689" s="1" t="s">
        <v>27</v>
      </c>
      <c r="C689" s="1" t="s">
        <v>28</v>
      </c>
      <c r="D689" s="1">
        <v>97</v>
      </c>
      <c r="E689" s="1" t="s">
        <v>39</v>
      </c>
      <c r="F689" s="1" t="s">
        <v>33</v>
      </c>
      <c r="G689" s="1">
        <v>0.43</v>
      </c>
      <c r="H689" s="1" t="s">
        <v>20</v>
      </c>
      <c r="I689" t="s">
        <v>34</v>
      </c>
      <c r="J689" t="s">
        <v>35</v>
      </c>
      <c r="K689" t="s">
        <v>36</v>
      </c>
      <c r="L689" t="s">
        <v>37</v>
      </c>
      <c r="M689" t="str">
        <f t="shared" si="30"/>
        <v>non-charge-altering-6kiw</v>
      </c>
      <c r="N689" t="str">
        <f t="shared" si="31"/>
        <v>6kiw</v>
      </c>
      <c r="O689" s="2" t="s">
        <v>31</v>
      </c>
      <c r="P689" s="2" t="str">
        <f t="shared" si="32"/>
        <v>B-L97F</v>
      </c>
    </row>
    <row r="690" spans="1:16">
      <c r="A690" s="1" t="s">
        <v>26</v>
      </c>
      <c r="B690" s="1" t="s">
        <v>27</v>
      </c>
      <c r="C690" s="1" t="s">
        <v>28</v>
      </c>
      <c r="D690" s="1">
        <v>71</v>
      </c>
      <c r="E690" s="1" t="s">
        <v>47</v>
      </c>
      <c r="F690" s="1" t="s">
        <v>46</v>
      </c>
      <c r="G690" s="1">
        <v>0.86</v>
      </c>
      <c r="H690" s="1" t="s">
        <v>20</v>
      </c>
      <c r="I690" t="s">
        <v>34</v>
      </c>
      <c r="J690" t="s">
        <v>35</v>
      </c>
      <c r="K690" t="s">
        <v>36</v>
      </c>
      <c r="L690" t="s">
        <v>37</v>
      </c>
      <c r="M690" t="str">
        <f t="shared" si="30"/>
        <v>non-charge-altering-6kiw</v>
      </c>
      <c r="N690" t="str">
        <f t="shared" si="31"/>
        <v>6kiw</v>
      </c>
      <c r="O690" s="2" t="s">
        <v>31</v>
      </c>
      <c r="P690" s="2" t="str">
        <f t="shared" si="32"/>
        <v>B-T71S</v>
      </c>
    </row>
    <row r="691" spans="1:16">
      <c r="A691" s="1" t="s">
        <v>26</v>
      </c>
      <c r="B691" s="1" t="s">
        <v>27</v>
      </c>
      <c r="C691" s="1" t="s">
        <v>28</v>
      </c>
      <c r="D691" s="1">
        <v>80</v>
      </c>
      <c r="E691" s="1" t="s">
        <v>47</v>
      </c>
      <c r="F691" s="1" t="s">
        <v>32</v>
      </c>
      <c r="G691" s="1">
        <v>0.55</v>
      </c>
      <c r="H691" s="1" t="s">
        <v>20</v>
      </c>
      <c r="I691" t="s">
        <v>34</v>
      </c>
      <c r="J691" t="s">
        <v>35</v>
      </c>
      <c r="K691" t="s">
        <v>36</v>
      </c>
      <c r="L691" t="s">
        <v>37</v>
      </c>
      <c r="M691" t="str">
        <f t="shared" si="30"/>
        <v>non-charge-altering-6kiw</v>
      </c>
      <c r="N691" t="str">
        <f t="shared" si="31"/>
        <v>6kiw</v>
      </c>
      <c r="O691" s="2" t="s">
        <v>31</v>
      </c>
      <c r="P691" s="2" t="str">
        <f t="shared" si="32"/>
        <v>B-T80A</v>
      </c>
    </row>
    <row r="692" spans="1:16">
      <c r="A692" s="1" t="s">
        <v>26</v>
      </c>
      <c r="B692" s="1" t="s">
        <v>27</v>
      </c>
      <c r="C692" s="1" t="s">
        <v>28</v>
      </c>
      <c r="D692" s="1">
        <v>57</v>
      </c>
      <c r="E692" s="1" t="s">
        <v>61</v>
      </c>
      <c r="F692" s="1" t="s">
        <v>39</v>
      </c>
      <c r="G692" s="1">
        <v>0.25</v>
      </c>
      <c r="H692" s="1" t="s">
        <v>20</v>
      </c>
      <c r="I692" t="s">
        <v>34</v>
      </c>
      <c r="J692" t="s">
        <v>35</v>
      </c>
      <c r="K692" t="s">
        <v>36</v>
      </c>
      <c r="L692" t="s">
        <v>37</v>
      </c>
      <c r="M692" t="str">
        <f t="shared" si="30"/>
        <v>non-charge-altering-6kiw</v>
      </c>
      <c r="N692" t="str">
        <f t="shared" si="31"/>
        <v>6kiw</v>
      </c>
      <c r="O692" s="2" t="s">
        <v>31</v>
      </c>
      <c r="P692" s="2" t="str">
        <f t="shared" si="32"/>
        <v>B-V57L</v>
      </c>
    </row>
    <row r="693" spans="1:16">
      <c r="A693" s="1" t="s">
        <v>26</v>
      </c>
      <c r="B693" s="1" t="s">
        <v>27</v>
      </c>
      <c r="C693" s="1" t="s">
        <v>33</v>
      </c>
      <c r="D693" s="1">
        <v>53</v>
      </c>
      <c r="E693" s="1" t="s">
        <v>29</v>
      </c>
      <c r="F693" s="1" t="s">
        <v>18</v>
      </c>
      <c r="G693" s="1">
        <v>1.01</v>
      </c>
      <c r="H693" s="1" t="s">
        <v>20</v>
      </c>
      <c r="I693" t="s">
        <v>62</v>
      </c>
      <c r="J693" t="s">
        <v>35</v>
      </c>
      <c r="K693" t="s">
        <v>36</v>
      </c>
      <c r="L693" t="s">
        <v>37</v>
      </c>
      <c r="M693" t="str">
        <f t="shared" si="30"/>
        <v>non-charge-altering-6kiw</v>
      </c>
      <c r="N693" t="str">
        <f t="shared" si="31"/>
        <v>6kiw</v>
      </c>
      <c r="O693" s="2" t="s">
        <v>31</v>
      </c>
      <c r="P693" s="2" t="str">
        <f t="shared" si="32"/>
        <v>F-E53D</v>
      </c>
    </row>
    <row r="694" spans="1:16">
      <c r="A694" s="1" t="s">
        <v>26</v>
      </c>
      <c r="B694" s="1" t="s">
        <v>27</v>
      </c>
      <c r="C694" s="1" t="s">
        <v>33</v>
      </c>
      <c r="D694" s="1">
        <v>63</v>
      </c>
      <c r="E694" s="1" t="s">
        <v>29</v>
      </c>
      <c r="F694" s="1" t="s">
        <v>18</v>
      </c>
      <c r="G694" s="1">
        <v>1.15</v>
      </c>
      <c r="H694" s="1" t="s">
        <v>20</v>
      </c>
      <c r="I694" t="s">
        <v>62</v>
      </c>
      <c r="J694" t="s">
        <v>35</v>
      </c>
      <c r="K694" t="s">
        <v>36</v>
      </c>
      <c r="L694" t="s">
        <v>37</v>
      </c>
      <c r="M694" t="str">
        <f t="shared" si="30"/>
        <v>non-charge-altering-6kiw</v>
      </c>
      <c r="N694" t="str">
        <f t="shared" si="31"/>
        <v>6kiw</v>
      </c>
      <c r="O694" s="2" t="s">
        <v>31</v>
      </c>
      <c r="P694" s="2" t="str">
        <f t="shared" si="32"/>
        <v>F-E63D</v>
      </c>
    </row>
    <row r="695" spans="1:16">
      <c r="A695" s="1" t="s">
        <v>26</v>
      </c>
      <c r="B695" s="1" t="s">
        <v>27</v>
      </c>
      <c r="C695" s="1" t="s">
        <v>33</v>
      </c>
      <c r="D695" s="1">
        <v>61</v>
      </c>
      <c r="E695" s="1" t="s">
        <v>33</v>
      </c>
      <c r="F695" s="1" t="s">
        <v>17</v>
      </c>
      <c r="G695" s="1">
        <v>1.58</v>
      </c>
      <c r="H695" s="1" t="s">
        <v>20</v>
      </c>
      <c r="I695" t="s">
        <v>34</v>
      </c>
      <c r="J695" t="s">
        <v>35</v>
      </c>
      <c r="K695" t="s">
        <v>36</v>
      </c>
      <c r="L695" t="s">
        <v>37</v>
      </c>
      <c r="M695" t="str">
        <f t="shared" si="30"/>
        <v>non-charge-altering-6kiw</v>
      </c>
      <c r="N695" t="str">
        <f t="shared" si="31"/>
        <v>6kiw</v>
      </c>
      <c r="O695" s="2" t="s">
        <v>31</v>
      </c>
      <c r="P695" s="2" t="str">
        <f t="shared" si="32"/>
        <v>F-F61C</v>
      </c>
    </row>
    <row r="696" spans="1:16">
      <c r="A696" s="1" t="s">
        <v>26</v>
      </c>
      <c r="B696" s="1" t="s">
        <v>27</v>
      </c>
      <c r="C696" s="1" t="s">
        <v>33</v>
      </c>
      <c r="D696" s="1">
        <v>61</v>
      </c>
      <c r="E696" s="1" t="s">
        <v>33</v>
      </c>
      <c r="F696" s="1" t="s">
        <v>39</v>
      </c>
      <c r="G696" s="1">
        <v>1.69</v>
      </c>
      <c r="H696" s="1" t="s">
        <v>20</v>
      </c>
      <c r="I696" t="s">
        <v>34</v>
      </c>
      <c r="J696" t="s">
        <v>35</v>
      </c>
      <c r="K696" t="s">
        <v>36</v>
      </c>
      <c r="L696" t="s">
        <v>37</v>
      </c>
      <c r="M696" t="str">
        <f t="shared" si="30"/>
        <v>non-charge-altering-6kiw</v>
      </c>
      <c r="N696" t="str">
        <f t="shared" si="31"/>
        <v>6kiw</v>
      </c>
      <c r="O696" s="2" t="s">
        <v>31</v>
      </c>
      <c r="P696" s="2" t="str">
        <f t="shared" si="32"/>
        <v>F-F61L</v>
      </c>
    </row>
    <row r="697" spans="1:16">
      <c r="A697" s="1" t="s">
        <v>26</v>
      </c>
      <c r="B697" s="1" t="s">
        <v>27</v>
      </c>
      <c r="C697" s="1" t="s">
        <v>33</v>
      </c>
      <c r="D697" s="1">
        <v>28</v>
      </c>
      <c r="E697" s="1" t="s">
        <v>19</v>
      </c>
      <c r="F697" s="1" t="s">
        <v>61</v>
      </c>
      <c r="G697" s="1">
        <v>1.35</v>
      </c>
      <c r="H697" s="1" t="s">
        <v>20</v>
      </c>
      <c r="I697" t="s">
        <v>34</v>
      </c>
      <c r="J697" t="s">
        <v>35</v>
      </c>
      <c r="K697" t="s">
        <v>36</v>
      </c>
      <c r="L697" t="s">
        <v>37</v>
      </c>
      <c r="M697" t="str">
        <f t="shared" si="30"/>
        <v>non-charge-altering-6kiw</v>
      </c>
      <c r="N697" t="str">
        <f t="shared" si="31"/>
        <v>6kiw</v>
      </c>
      <c r="O697" s="2" t="s">
        <v>31</v>
      </c>
      <c r="P697" s="2" t="str">
        <f t="shared" si="32"/>
        <v>F-G28V</v>
      </c>
    </row>
    <row r="698" spans="1:16">
      <c r="A698" s="1" t="s">
        <v>26</v>
      </c>
      <c r="B698" s="1" t="s">
        <v>27</v>
      </c>
      <c r="C698" s="1" t="s">
        <v>33</v>
      </c>
      <c r="D698" s="1">
        <v>42</v>
      </c>
      <c r="E698" s="1" t="s">
        <v>19</v>
      </c>
      <c r="F698" s="1" t="s">
        <v>61</v>
      </c>
      <c r="G698" s="1">
        <v>0.67</v>
      </c>
      <c r="H698" s="1" t="s">
        <v>20</v>
      </c>
      <c r="I698" t="s">
        <v>34</v>
      </c>
      <c r="J698" t="s">
        <v>35</v>
      </c>
      <c r="K698" t="s">
        <v>36</v>
      </c>
      <c r="L698" t="s">
        <v>37</v>
      </c>
      <c r="M698" t="str">
        <f t="shared" si="30"/>
        <v>non-charge-altering-6kiw</v>
      </c>
      <c r="N698" t="str">
        <f t="shared" si="31"/>
        <v>6kiw</v>
      </c>
      <c r="O698" s="2" t="s">
        <v>31</v>
      </c>
      <c r="P698" s="2" t="str">
        <f t="shared" si="32"/>
        <v>F-G42V</v>
      </c>
    </row>
    <row r="699" spans="1:16">
      <c r="A699" s="1" t="s">
        <v>26</v>
      </c>
      <c r="B699" s="1" t="s">
        <v>27</v>
      </c>
      <c r="C699" s="1" t="s">
        <v>33</v>
      </c>
      <c r="D699" s="1">
        <v>94</v>
      </c>
      <c r="E699" s="1" t="s">
        <v>19</v>
      </c>
      <c r="F699" s="1" t="s">
        <v>17</v>
      </c>
      <c r="G699" s="1">
        <v>0.57</v>
      </c>
      <c r="H699" s="1" t="s">
        <v>20</v>
      </c>
      <c r="I699" t="s">
        <v>34</v>
      </c>
      <c r="J699" t="s">
        <v>35</v>
      </c>
      <c r="K699" t="s">
        <v>36</v>
      </c>
      <c r="L699" t="s">
        <v>37</v>
      </c>
      <c r="M699" t="str">
        <f t="shared" si="30"/>
        <v>non-charge-altering-6kiw</v>
      </c>
      <c r="N699" t="str">
        <f t="shared" si="31"/>
        <v>6kiw</v>
      </c>
      <c r="O699" s="2" t="s">
        <v>31</v>
      </c>
      <c r="P699" s="2" t="str">
        <f t="shared" si="32"/>
        <v>F-G94C</v>
      </c>
    </row>
    <row r="700" spans="1:16">
      <c r="A700" s="1" t="s">
        <v>26</v>
      </c>
      <c r="B700" s="1" t="s">
        <v>27</v>
      </c>
      <c r="C700" s="1" t="s">
        <v>33</v>
      </c>
      <c r="D700" s="1">
        <v>50</v>
      </c>
      <c r="E700" s="1" t="s">
        <v>48</v>
      </c>
      <c r="F700" s="1" t="s">
        <v>63</v>
      </c>
      <c r="G700" s="1">
        <v>0.68</v>
      </c>
      <c r="H700" s="1" t="s">
        <v>20</v>
      </c>
      <c r="I700" t="s">
        <v>34</v>
      </c>
      <c r="J700" t="s">
        <v>35</v>
      </c>
      <c r="K700" t="s">
        <v>36</v>
      </c>
      <c r="L700" t="s">
        <v>37</v>
      </c>
      <c r="M700" t="str">
        <f t="shared" si="30"/>
        <v>non-charge-altering-6kiw</v>
      </c>
      <c r="N700" t="str">
        <f t="shared" si="31"/>
        <v>6kiw</v>
      </c>
      <c r="O700" s="2" t="s">
        <v>31</v>
      </c>
      <c r="P700" s="2" t="str">
        <f t="shared" si="32"/>
        <v>F-I50M</v>
      </c>
    </row>
    <row r="701" spans="1:16">
      <c r="A701" s="1" t="s">
        <v>26</v>
      </c>
      <c r="B701" s="1" t="s">
        <v>27</v>
      </c>
      <c r="C701" s="1" t="s">
        <v>33</v>
      </c>
      <c r="D701" s="1">
        <v>50</v>
      </c>
      <c r="E701" s="1" t="s">
        <v>48</v>
      </c>
      <c r="F701" s="1" t="s">
        <v>47</v>
      </c>
      <c r="G701" s="1">
        <v>0.59</v>
      </c>
      <c r="H701" s="1" t="s">
        <v>20</v>
      </c>
      <c r="I701" t="s">
        <v>34</v>
      </c>
      <c r="J701" t="s">
        <v>35</v>
      </c>
      <c r="K701" t="s">
        <v>36</v>
      </c>
      <c r="L701" t="s">
        <v>37</v>
      </c>
      <c r="M701" t="str">
        <f t="shared" si="30"/>
        <v>non-charge-altering-6kiw</v>
      </c>
      <c r="N701" t="str">
        <f t="shared" si="31"/>
        <v>6kiw</v>
      </c>
      <c r="O701" s="2" t="s">
        <v>31</v>
      </c>
      <c r="P701" s="2" t="str">
        <f t="shared" si="32"/>
        <v>F-I50T</v>
      </c>
    </row>
    <row r="702" spans="1:16">
      <c r="A702" s="1" t="s">
        <v>26</v>
      </c>
      <c r="B702" s="1" t="s">
        <v>27</v>
      </c>
      <c r="C702" s="1" t="s">
        <v>33</v>
      </c>
      <c r="D702" s="1">
        <v>49</v>
      </c>
      <c r="E702" s="1" t="s">
        <v>39</v>
      </c>
      <c r="F702" s="1" t="s">
        <v>33</v>
      </c>
      <c r="G702" s="1">
        <v>0.55</v>
      </c>
      <c r="H702" s="1" t="s">
        <v>20</v>
      </c>
      <c r="I702" t="s">
        <v>34</v>
      </c>
      <c r="J702" t="s">
        <v>35</v>
      </c>
      <c r="K702" t="s">
        <v>36</v>
      </c>
      <c r="L702" t="s">
        <v>37</v>
      </c>
      <c r="M702" t="str">
        <f t="shared" si="30"/>
        <v>non-charge-altering-6kiw</v>
      </c>
      <c r="N702" t="str">
        <f t="shared" si="31"/>
        <v>6kiw</v>
      </c>
      <c r="O702" s="2" t="s">
        <v>31</v>
      </c>
      <c r="P702" s="2" t="str">
        <f t="shared" si="32"/>
        <v>F-L49F</v>
      </c>
    </row>
    <row r="703" spans="1:16">
      <c r="A703" s="1" t="s">
        <v>26</v>
      </c>
      <c r="B703" s="1" t="s">
        <v>27</v>
      </c>
      <c r="C703" s="1" t="s">
        <v>33</v>
      </c>
      <c r="D703" s="1">
        <v>97</v>
      </c>
      <c r="E703" s="1" t="s">
        <v>39</v>
      </c>
      <c r="F703" s="1" t="s">
        <v>33</v>
      </c>
      <c r="G703" s="1">
        <v>0.22</v>
      </c>
      <c r="H703" s="1" t="s">
        <v>20</v>
      </c>
      <c r="I703" t="s">
        <v>34</v>
      </c>
      <c r="J703" t="s">
        <v>35</v>
      </c>
      <c r="K703" t="s">
        <v>36</v>
      </c>
      <c r="L703" t="s">
        <v>37</v>
      </c>
      <c r="M703" t="str">
        <f t="shared" si="30"/>
        <v>non-charge-altering-6kiw</v>
      </c>
      <c r="N703" t="str">
        <f t="shared" si="31"/>
        <v>6kiw</v>
      </c>
      <c r="O703" s="2" t="s">
        <v>31</v>
      </c>
      <c r="P703" s="2" t="str">
        <f t="shared" si="32"/>
        <v>F-L97F</v>
      </c>
    </row>
    <row r="704" spans="1:16">
      <c r="A704" s="1" t="s">
        <v>26</v>
      </c>
      <c r="B704" s="1" t="s">
        <v>27</v>
      </c>
      <c r="C704" s="1" t="s">
        <v>33</v>
      </c>
      <c r="D704" s="1">
        <v>71</v>
      </c>
      <c r="E704" s="1" t="s">
        <v>47</v>
      </c>
      <c r="F704" s="1" t="s">
        <v>46</v>
      </c>
      <c r="G704" s="1">
        <v>0.86</v>
      </c>
      <c r="H704" s="1" t="s">
        <v>20</v>
      </c>
      <c r="I704" t="s">
        <v>34</v>
      </c>
      <c r="J704" t="s">
        <v>35</v>
      </c>
      <c r="K704" t="s">
        <v>36</v>
      </c>
      <c r="L704" t="s">
        <v>37</v>
      </c>
      <c r="M704" t="str">
        <f t="shared" si="30"/>
        <v>non-charge-altering-6kiw</v>
      </c>
      <c r="N704" t="str">
        <f t="shared" si="31"/>
        <v>6kiw</v>
      </c>
      <c r="O704" s="2" t="s">
        <v>31</v>
      </c>
      <c r="P704" s="2" t="str">
        <f t="shared" si="32"/>
        <v>F-T71S</v>
      </c>
    </row>
    <row r="705" spans="1:16">
      <c r="A705" s="1" t="s">
        <v>26</v>
      </c>
      <c r="B705" s="1" t="s">
        <v>27</v>
      </c>
      <c r="C705" s="1" t="s">
        <v>33</v>
      </c>
      <c r="D705" s="1">
        <v>80</v>
      </c>
      <c r="E705" s="1" t="s">
        <v>47</v>
      </c>
      <c r="F705" s="1" t="s">
        <v>32</v>
      </c>
      <c r="G705" s="1">
        <v>0.55</v>
      </c>
      <c r="H705" s="1" t="s">
        <v>20</v>
      </c>
      <c r="I705" t="s">
        <v>34</v>
      </c>
      <c r="J705" t="s">
        <v>35</v>
      </c>
      <c r="K705" t="s">
        <v>36</v>
      </c>
      <c r="L705" t="s">
        <v>37</v>
      </c>
      <c r="M705" t="str">
        <f t="shared" si="30"/>
        <v>non-charge-altering-6kiw</v>
      </c>
      <c r="N705" t="str">
        <f t="shared" si="31"/>
        <v>6kiw</v>
      </c>
      <c r="O705" s="2" t="s">
        <v>31</v>
      </c>
      <c r="P705" s="2" t="str">
        <f t="shared" si="32"/>
        <v>F-T80A</v>
      </c>
    </row>
    <row r="706" spans="1:16">
      <c r="A706" s="1" t="s">
        <v>26</v>
      </c>
      <c r="B706" s="1" t="s">
        <v>27</v>
      </c>
      <c r="C706" s="1" t="s">
        <v>33</v>
      </c>
      <c r="D706" s="1">
        <v>57</v>
      </c>
      <c r="E706" s="1" t="s">
        <v>61</v>
      </c>
      <c r="F706" s="1" t="s">
        <v>39</v>
      </c>
      <c r="G706" s="1">
        <v>0.52</v>
      </c>
      <c r="H706" s="1" t="s">
        <v>20</v>
      </c>
      <c r="I706" t="s">
        <v>34</v>
      </c>
      <c r="J706" t="s">
        <v>35</v>
      </c>
      <c r="K706" t="s">
        <v>36</v>
      </c>
      <c r="L706" t="s">
        <v>37</v>
      </c>
      <c r="M706" t="str">
        <f>L706&amp;"-"&amp;LEFT(A706,4)</f>
        <v>non-charge-altering-6kiw</v>
      </c>
      <c r="N706" t="str">
        <f>LEFT(A706,4)</f>
        <v>6kiw</v>
      </c>
      <c r="O706" s="2" t="s">
        <v>31</v>
      </c>
      <c r="P706" s="2" t="str">
        <f>C706&amp;"-"&amp;E706&amp;D706&amp;F706</f>
        <v>F-V57L</v>
      </c>
    </row>
    <row r="707" spans="1:16">
      <c r="A707" s="1" t="s">
        <v>26</v>
      </c>
      <c r="B707" s="1" t="s">
        <v>27</v>
      </c>
      <c r="C707" s="1" t="s">
        <v>33</v>
      </c>
      <c r="D707" s="1">
        <v>60</v>
      </c>
      <c r="E707" s="1" t="s">
        <v>61</v>
      </c>
      <c r="F707" s="1" t="s">
        <v>39</v>
      </c>
      <c r="G707" s="1">
        <v>0.14</v>
      </c>
      <c r="H707" s="1" t="s">
        <v>20</v>
      </c>
      <c r="I707" t="s">
        <v>34</v>
      </c>
      <c r="J707" t="s">
        <v>35</v>
      </c>
      <c r="K707" t="s">
        <v>36</v>
      </c>
      <c r="L707" t="s">
        <v>37</v>
      </c>
      <c r="M707" t="str">
        <f>L707&amp;"-"&amp;LEFT(A707,4)</f>
        <v>non-charge-altering-6kiw</v>
      </c>
      <c r="N707" t="str">
        <f>LEFT(A707,4)</f>
        <v>6kiw</v>
      </c>
      <c r="O707" s="2" t="s">
        <v>31</v>
      </c>
      <c r="P707" s="2" t="str">
        <f>C707&amp;"-"&amp;E707&amp;D707&amp;F707</f>
        <v>F-V60L</v>
      </c>
    </row>
  </sheetData>
  <autoFilter xmlns:etc="http://www.wps.cn/officeDocument/2017/etCustomData" ref="A1:P707" etc:filterBottomFollowUsedRange="0">
    <sortState ref="A1:P707">
      <sortCondition ref="M1"/>
    </sortState>
    <extLst/>
  </autoFilter>
  <conditionalFormatting sqref="P1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7"/>
  <sheetViews>
    <sheetView zoomScale="70" zoomScaleNormal="70" topLeftCell="M1" workbookViewId="0">
      <selection activeCell="Q7" sqref="Q7"/>
    </sheetView>
  </sheetViews>
  <sheetFormatPr defaultColWidth="8.8" defaultRowHeight="13.5"/>
  <cols>
    <col min="1" max="1" width="22.1" customWidth="1"/>
    <col min="2" max="2" width="16.6" customWidth="1"/>
    <col min="26" max="26" width="12.8"/>
    <col min="31" max="31" width="11.425" customWidth="1"/>
    <col min="32" max="32" width="21.1416666666667" customWidth="1"/>
    <col min="33" max="33" width="11.85" customWidth="1"/>
  </cols>
  <sheetData>
    <row r="1" spans="1:3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69</v>
      </c>
      <c r="G1" t="s">
        <v>13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66</v>
      </c>
      <c r="N1" t="s">
        <v>0</v>
      </c>
      <c r="O1" t="s">
        <v>75</v>
      </c>
      <c r="P1" t="s">
        <v>76</v>
      </c>
      <c r="Q1" t="s">
        <v>77</v>
      </c>
      <c r="R1" t="s">
        <v>78</v>
      </c>
      <c r="S1" t="s">
        <v>72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</v>
      </c>
      <c r="AC1" t="s">
        <v>9</v>
      </c>
      <c r="AD1" t="s">
        <v>10</v>
      </c>
      <c r="AE1" t="s">
        <v>11</v>
      </c>
      <c r="AF1" s="1" t="s">
        <v>12</v>
      </c>
      <c r="AG1" t="s">
        <v>0</v>
      </c>
      <c r="AH1" t="s">
        <v>13</v>
      </c>
      <c r="AI1" s="2" t="s">
        <v>14</v>
      </c>
    </row>
    <row r="2" spans="1:35">
      <c r="A2" t="s">
        <v>87</v>
      </c>
      <c r="B2" t="s">
        <v>88</v>
      </c>
      <c r="C2" t="s">
        <v>89</v>
      </c>
      <c r="D2" t="s">
        <v>18</v>
      </c>
      <c r="E2" t="s">
        <v>90</v>
      </c>
      <c r="F2" t="s">
        <v>91</v>
      </c>
      <c r="G2" t="s">
        <v>45</v>
      </c>
      <c r="H2">
        <v>36</v>
      </c>
      <c r="I2">
        <v>41</v>
      </c>
      <c r="J2">
        <v>36</v>
      </c>
      <c r="K2">
        <v>32</v>
      </c>
      <c r="L2" t="s">
        <v>29</v>
      </c>
      <c r="M2" t="s">
        <v>88</v>
      </c>
      <c r="N2" t="s">
        <v>92</v>
      </c>
      <c r="O2" t="s">
        <v>93</v>
      </c>
      <c r="P2" t="s">
        <v>94</v>
      </c>
      <c r="Q2" t="s">
        <v>29</v>
      </c>
      <c r="R2" t="s">
        <v>95</v>
      </c>
      <c r="S2">
        <v>36</v>
      </c>
      <c r="T2" t="s">
        <v>29</v>
      </c>
      <c r="U2" t="s">
        <v>32</v>
      </c>
      <c r="V2" t="s">
        <v>96</v>
      </c>
      <c r="W2" t="s">
        <v>97</v>
      </c>
      <c r="X2" t="s">
        <v>98</v>
      </c>
      <c r="Y2">
        <v>-0.131</v>
      </c>
      <c r="Z2">
        <v>0.221013308</v>
      </c>
      <c r="AA2" t="s">
        <v>95</v>
      </c>
      <c r="AB2" t="s">
        <v>21</v>
      </c>
      <c r="AC2" t="s">
        <v>22</v>
      </c>
      <c r="AD2" t="s">
        <v>23</v>
      </c>
      <c r="AE2" t="s">
        <v>24</v>
      </c>
      <c r="AF2" t="str">
        <f t="shared" ref="AF2:AF65" si="0">AE2&amp;"-"&amp;N2</f>
        <v>charge-altering-6kiu</v>
      </c>
      <c r="AG2" t="s">
        <v>92</v>
      </c>
      <c r="AH2" t="s">
        <v>45</v>
      </c>
      <c r="AI2" t="str">
        <f t="shared" ref="AI2:AI17" si="1">D2&amp;"-"&amp;X2</f>
        <v>D-E32A</v>
      </c>
    </row>
    <row r="3" spans="1:35">
      <c r="A3" t="s">
        <v>99</v>
      </c>
      <c r="B3" t="s">
        <v>100</v>
      </c>
      <c r="C3" t="s">
        <v>89</v>
      </c>
      <c r="D3" t="s">
        <v>18</v>
      </c>
      <c r="E3" t="s">
        <v>90</v>
      </c>
      <c r="F3" t="s">
        <v>91</v>
      </c>
      <c r="G3" t="s">
        <v>45</v>
      </c>
      <c r="H3">
        <v>36</v>
      </c>
      <c r="I3">
        <v>41</v>
      </c>
      <c r="J3">
        <v>36</v>
      </c>
      <c r="K3">
        <v>32</v>
      </c>
      <c r="L3" t="s">
        <v>29</v>
      </c>
      <c r="M3" t="s">
        <v>100</v>
      </c>
      <c r="N3" t="s">
        <v>101</v>
      </c>
      <c r="O3" t="s">
        <v>93</v>
      </c>
      <c r="P3" t="s">
        <v>94</v>
      </c>
      <c r="Q3" t="s">
        <v>29</v>
      </c>
      <c r="R3" t="s">
        <v>95</v>
      </c>
      <c r="S3">
        <v>36</v>
      </c>
      <c r="T3" t="s">
        <v>29</v>
      </c>
      <c r="U3" t="s">
        <v>32</v>
      </c>
      <c r="V3" t="s">
        <v>96</v>
      </c>
      <c r="W3" t="s">
        <v>97</v>
      </c>
      <c r="X3" t="s">
        <v>98</v>
      </c>
      <c r="Y3">
        <v>-0.074</v>
      </c>
      <c r="Z3">
        <v>0.221013308</v>
      </c>
      <c r="AA3" t="s">
        <v>95</v>
      </c>
      <c r="AB3" t="s">
        <v>21</v>
      </c>
      <c r="AC3" t="s">
        <v>22</v>
      </c>
      <c r="AD3" t="s">
        <v>23</v>
      </c>
      <c r="AE3" t="s">
        <v>24</v>
      </c>
      <c r="AF3" t="str">
        <f t="shared" si="0"/>
        <v>charge-altering-6kiw</v>
      </c>
      <c r="AG3" t="s">
        <v>101</v>
      </c>
      <c r="AH3" t="s">
        <v>45</v>
      </c>
      <c r="AI3" t="str">
        <f t="shared" si="1"/>
        <v>D-E32A</v>
      </c>
    </row>
    <row r="4" spans="1:35">
      <c r="A4" t="s">
        <v>102</v>
      </c>
      <c r="B4" t="s">
        <v>103</v>
      </c>
      <c r="C4" t="s">
        <v>89</v>
      </c>
      <c r="D4" t="s">
        <v>18</v>
      </c>
      <c r="E4" t="s">
        <v>90</v>
      </c>
      <c r="F4" t="s">
        <v>91</v>
      </c>
      <c r="G4" t="s">
        <v>45</v>
      </c>
      <c r="H4">
        <v>87</v>
      </c>
      <c r="I4">
        <v>92</v>
      </c>
      <c r="J4">
        <v>87</v>
      </c>
      <c r="K4">
        <v>83</v>
      </c>
      <c r="L4" t="s">
        <v>43</v>
      </c>
      <c r="M4" t="s">
        <v>103</v>
      </c>
      <c r="N4" t="s">
        <v>101</v>
      </c>
      <c r="O4" t="s">
        <v>93</v>
      </c>
      <c r="P4" t="s">
        <v>94</v>
      </c>
      <c r="Q4" t="s">
        <v>43</v>
      </c>
      <c r="R4" t="s">
        <v>95</v>
      </c>
      <c r="S4">
        <v>87</v>
      </c>
      <c r="T4" t="s">
        <v>43</v>
      </c>
      <c r="U4" t="s">
        <v>58</v>
      </c>
      <c r="V4" t="s">
        <v>104</v>
      </c>
      <c r="W4" t="s">
        <v>105</v>
      </c>
      <c r="X4" t="s">
        <v>106</v>
      </c>
      <c r="Y4">
        <v>0.571</v>
      </c>
      <c r="Z4">
        <v>0.132249175</v>
      </c>
      <c r="AA4" t="s">
        <v>107</v>
      </c>
      <c r="AB4" t="s">
        <v>42</v>
      </c>
      <c r="AC4" t="s">
        <v>22</v>
      </c>
      <c r="AD4" t="s">
        <v>23</v>
      </c>
      <c r="AE4" t="s">
        <v>24</v>
      </c>
      <c r="AF4" t="str">
        <f t="shared" si="0"/>
        <v>charge-altering-6kiw</v>
      </c>
      <c r="AG4" t="s">
        <v>101</v>
      </c>
      <c r="AH4" t="s">
        <v>45</v>
      </c>
      <c r="AI4" t="str">
        <f t="shared" si="1"/>
        <v>D-R83P</v>
      </c>
    </row>
    <row r="5" spans="1:35">
      <c r="A5" t="s">
        <v>108</v>
      </c>
      <c r="B5" t="s">
        <v>109</v>
      </c>
      <c r="C5" t="s">
        <v>89</v>
      </c>
      <c r="D5" t="s">
        <v>18</v>
      </c>
      <c r="E5" t="s">
        <v>90</v>
      </c>
      <c r="F5" t="s">
        <v>91</v>
      </c>
      <c r="G5" t="s">
        <v>45</v>
      </c>
      <c r="H5">
        <v>87</v>
      </c>
      <c r="I5">
        <v>92</v>
      </c>
      <c r="J5">
        <v>87</v>
      </c>
      <c r="K5">
        <v>83</v>
      </c>
      <c r="L5" t="s">
        <v>43</v>
      </c>
      <c r="M5" t="s">
        <v>109</v>
      </c>
      <c r="N5" t="s">
        <v>92</v>
      </c>
      <c r="O5" t="s">
        <v>93</v>
      </c>
      <c r="P5" t="s">
        <v>94</v>
      </c>
      <c r="Q5" t="s">
        <v>43</v>
      </c>
      <c r="R5" t="s">
        <v>95</v>
      </c>
      <c r="S5">
        <v>87</v>
      </c>
      <c r="T5" t="s">
        <v>43</v>
      </c>
      <c r="U5" t="s">
        <v>58</v>
      </c>
      <c r="V5" t="s">
        <v>104</v>
      </c>
      <c r="W5" t="s">
        <v>105</v>
      </c>
      <c r="X5" t="s">
        <v>106</v>
      </c>
      <c r="Y5">
        <v>0.995</v>
      </c>
      <c r="Z5">
        <v>0.132249175</v>
      </c>
      <c r="AA5" t="s">
        <v>107</v>
      </c>
      <c r="AB5" t="s">
        <v>42</v>
      </c>
      <c r="AC5" t="s">
        <v>22</v>
      </c>
      <c r="AD5" t="s">
        <v>23</v>
      </c>
      <c r="AE5" t="s">
        <v>24</v>
      </c>
      <c r="AF5" t="str">
        <f t="shared" si="0"/>
        <v>charge-altering-6kiu</v>
      </c>
      <c r="AG5" t="s">
        <v>92</v>
      </c>
      <c r="AH5" t="s">
        <v>45</v>
      </c>
      <c r="AI5" t="str">
        <f t="shared" si="1"/>
        <v>D-R83P</v>
      </c>
    </row>
    <row r="6" spans="1:35">
      <c r="A6" t="s">
        <v>110</v>
      </c>
      <c r="B6" t="s">
        <v>111</v>
      </c>
      <c r="C6" t="s">
        <v>89</v>
      </c>
      <c r="D6" t="s">
        <v>56</v>
      </c>
      <c r="E6" t="s">
        <v>90</v>
      </c>
      <c r="F6" t="s">
        <v>91</v>
      </c>
      <c r="G6" t="s">
        <v>45</v>
      </c>
      <c r="H6">
        <v>87</v>
      </c>
      <c r="I6">
        <v>92</v>
      </c>
      <c r="J6">
        <v>87</v>
      </c>
      <c r="K6">
        <v>83</v>
      </c>
      <c r="L6" t="s">
        <v>43</v>
      </c>
      <c r="M6" t="s">
        <v>111</v>
      </c>
      <c r="N6" t="s">
        <v>92</v>
      </c>
      <c r="O6" t="s">
        <v>93</v>
      </c>
      <c r="P6" t="s">
        <v>94</v>
      </c>
      <c r="Q6" t="s">
        <v>43</v>
      </c>
      <c r="R6" t="s">
        <v>95</v>
      </c>
      <c r="S6">
        <v>87</v>
      </c>
      <c r="T6" t="s">
        <v>43</v>
      </c>
      <c r="U6" t="s">
        <v>58</v>
      </c>
      <c r="V6" t="s">
        <v>104</v>
      </c>
      <c r="W6" t="s">
        <v>105</v>
      </c>
      <c r="X6" t="s">
        <v>106</v>
      </c>
      <c r="Y6">
        <v>0.701</v>
      </c>
      <c r="Z6">
        <v>0.132249175</v>
      </c>
      <c r="AA6" t="s">
        <v>107</v>
      </c>
      <c r="AB6" t="s">
        <v>42</v>
      </c>
      <c r="AC6" t="s">
        <v>22</v>
      </c>
      <c r="AD6" t="s">
        <v>23</v>
      </c>
      <c r="AE6" t="s">
        <v>24</v>
      </c>
      <c r="AF6" t="str">
        <f t="shared" si="0"/>
        <v>charge-altering-6kiu</v>
      </c>
      <c r="AG6" t="s">
        <v>92</v>
      </c>
      <c r="AH6" t="s">
        <v>45</v>
      </c>
      <c r="AI6" t="str">
        <f t="shared" si="1"/>
        <v>H-R83P</v>
      </c>
    </row>
    <row r="7" spans="1:35">
      <c r="A7" t="s">
        <v>112</v>
      </c>
      <c r="B7" t="s">
        <v>113</v>
      </c>
      <c r="C7" t="s">
        <v>89</v>
      </c>
      <c r="D7" t="s">
        <v>56</v>
      </c>
      <c r="E7" t="s">
        <v>90</v>
      </c>
      <c r="F7" t="s">
        <v>91</v>
      </c>
      <c r="G7" t="s">
        <v>45</v>
      </c>
      <c r="H7">
        <v>87</v>
      </c>
      <c r="I7">
        <v>92</v>
      </c>
      <c r="J7">
        <v>87</v>
      </c>
      <c r="K7">
        <v>83</v>
      </c>
      <c r="L7" t="s">
        <v>43</v>
      </c>
      <c r="M7" t="s">
        <v>113</v>
      </c>
      <c r="N7" t="s">
        <v>101</v>
      </c>
      <c r="O7" t="s">
        <v>93</v>
      </c>
      <c r="P7" t="s">
        <v>94</v>
      </c>
      <c r="Q7" t="s">
        <v>43</v>
      </c>
      <c r="R7" t="s">
        <v>95</v>
      </c>
      <c r="S7">
        <v>87</v>
      </c>
      <c r="T7" t="s">
        <v>43</v>
      </c>
      <c r="U7" t="s">
        <v>58</v>
      </c>
      <c r="V7" t="s">
        <v>104</v>
      </c>
      <c r="W7" t="s">
        <v>105</v>
      </c>
      <c r="X7" t="s">
        <v>106</v>
      </c>
      <c r="Y7">
        <v>0.549</v>
      </c>
      <c r="Z7">
        <v>0.132249175</v>
      </c>
      <c r="AA7" t="s">
        <v>107</v>
      </c>
      <c r="AB7" t="s">
        <v>42</v>
      </c>
      <c r="AC7" t="s">
        <v>22</v>
      </c>
      <c r="AD7" t="s">
        <v>23</v>
      </c>
      <c r="AE7" t="s">
        <v>24</v>
      </c>
      <c r="AF7" t="str">
        <f t="shared" si="0"/>
        <v>charge-altering-6kiw</v>
      </c>
      <c r="AG7" t="s">
        <v>101</v>
      </c>
      <c r="AH7" t="s">
        <v>45</v>
      </c>
      <c r="AI7" t="str">
        <f t="shared" si="1"/>
        <v>H-R83P</v>
      </c>
    </row>
    <row r="8" spans="1:35">
      <c r="A8" t="s">
        <v>114</v>
      </c>
      <c r="B8" t="s">
        <v>115</v>
      </c>
      <c r="C8" t="s">
        <v>116</v>
      </c>
      <c r="D8" t="s">
        <v>17</v>
      </c>
      <c r="E8" t="s">
        <v>117</v>
      </c>
      <c r="F8" t="s">
        <v>91</v>
      </c>
      <c r="G8" t="s">
        <v>25</v>
      </c>
      <c r="H8">
        <v>18</v>
      </c>
      <c r="I8">
        <v>19</v>
      </c>
      <c r="J8">
        <v>18</v>
      </c>
      <c r="K8">
        <v>17</v>
      </c>
      <c r="L8" t="s">
        <v>43</v>
      </c>
      <c r="M8" t="s">
        <v>115</v>
      </c>
      <c r="N8" t="s">
        <v>101</v>
      </c>
      <c r="O8" t="s">
        <v>93</v>
      </c>
      <c r="P8" t="s">
        <v>94</v>
      </c>
      <c r="Q8" t="s">
        <v>43</v>
      </c>
      <c r="R8" t="s">
        <v>95</v>
      </c>
      <c r="S8">
        <v>18</v>
      </c>
      <c r="T8" t="s">
        <v>43</v>
      </c>
      <c r="U8" t="s">
        <v>58</v>
      </c>
      <c r="V8" t="s">
        <v>118</v>
      </c>
      <c r="W8" t="s">
        <v>119</v>
      </c>
      <c r="X8" t="s">
        <v>119</v>
      </c>
      <c r="Y8">
        <v>0.27</v>
      </c>
      <c r="Z8">
        <v>0.09230766</v>
      </c>
      <c r="AA8" t="s">
        <v>107</v>
      </c>
      <c r="AB8" t="s">
        <v>42</v>
      </c>
      <c r="AC8" t="s">
        <v>22</v>
      </c>
      <c r="AD8" t="s">
        <v>23</v>
      </c>
      <c r="AE8" t="s">
        <v>24</v>
      </c>
      <c r="AF8" t="str">
        <f t="shared" si="0"/>
        <v>charge-altering-6kiw</v>
      </c>
      <c r="AG8" t="s">
        <v>101</v>
      </c>
      <c r="AH8" t="s">
        <v>25</v>
      </c>
      <c r="AI8" t="str">
        <f t="shared" si="1"/>
        <v>C-R17P</v>
      </c>
    </row>
    <row r="9" spans="1:35">
      <c r="A9" t="s">
        <v>120</v>
      </c>
      <c r="B9" t="s">
        <v>121</v>
      </c>
      <c r="C9" t="s">
        <v>116</v>
      </c>
      <c r="D9" t="s">
        <v>17</v>
      </c>
      <c r="E9" t="s">
        <v>117</v>
      </c>
      <c r="F9" t="s">
        <v>91</v>
      </c>
      <c r="G9" t="s">
        <v>25</v>
      </c>
      <c r="H9">
        <v>18</v>
      </c>
      <c r="I9">
        <v>19</v>
      </c>
      <c r="J9">
        <v>18</v>
      </c>
      <c r="K9">
        <v>17</v>
      </c>
      <c r="L9" t="s">
        <v>43</v>
      </c>
      <c r="M9" t="s">
        <v>121</v>
      </c>
      <c r="N9" t="s">
        <v>92</v>
      </c>
      <c r="O9" t="s">
        <v>93</v>
      </c>
      <c r="P9" t="s">
        <v>94</v>
      </c>
      <c r="Q9" t="s">
        <v>43</v>
      </c>
      <c r="R9" t="s">
        <v>95</v>
      </c>
      <c r="S9">
        <v>18</v>
      </c>
      <c r="T9" t="s">
        <v>43</v>
      </c>
      <c r="U9" t="s">
        <v>58</v>
      </c>
      <c r="V9" t="s">
        <v>118</v>
      </c>
      <c r="W9" t="s">
        <v>119</v>
      </c>
      <c r="X9" t="s">
        <v>119</v>
      </c>
      <c r="Y9">
        <v>0.23</v>
      </c>
      <c r="Z9">
        <v>0.09230766</v>
      </c>
      <c r="AA9" t="s">
        <v>107</v>
      </c>
      <c r="AB9" t="s">
        <v>42</v>
      </c>
      <c r="AC9" t="s">
        <v>22</v>
      </c>
      <c r="AD9" t="s">
        <v>23</v>
      </c>
      <c r="AE9" t="s">
        <v>24</v>
      </c>
      <c r="AF9" t="str">
        <f t="shared" si="0"/>
        <v>charge-altering-6kiu</v>
      </c>
      <c r="AG9" t="s">
        <v>92</v>
      </c>
      <c r="AH9" t="s">
        <v>25</v>
      </c>
      <c r="AI9" t="str">
        <f t="shared" si="1"/>
        <v>C-R17P</v>
      </c>
    </row>
    <row r="10" spans="1:35">
      <c r="A10" t="s">
        <v>122</v>
      </c>
      <c r="B10" t="s">
        <v>123</v>
      </c>
      <c r="C10" t="s">
        <v>116</v>
      </c>
      <c r="D10" t="s">
        <v>17</v>
      </c>
      <c r="E10" t="s">
        <v>117</v>
      </c>
      <c r="F10" t="s">
        <v>91</v>
      </c>
      <c r="G10" t="s">
        <v>25</v>
      </c>
      <c r="H10">
        <v>30</v>
      </c>
      <c r="I10">
        <v>31</v>
      </c>
      <c r="J10">
        <v>30</v>
      </c>
      <c r="K10">
        <v>29</v>
      </c>
      <c r="L10" t="s">
        <v>43</v>
      </c>
      <c r="M10" t="s">
        <v>123</v>
      </c>
      <c r="N10" t="s">
        <v>101</v>
      </c>
      <c r="O10" t="s">
        <v>93</v>
      </c>
      <c r="P10" t="s">
        <v>94</v>
      </c>
      <c r="Q10" t="s">
        <v>43</v>
      </c>
      <c r="R10" t="s">
        <v>95</v>
      </c>
      <c r="S10">
        <v>30</v>
      </c>
      <c r="T10" t="s">
        <v>43</v>
      </c>
      <c r="U10" t="s">
        <v>58</v>
      </c>
      <c r="V10" t="s">
        <v>124</v>
      </c>
      <c r="W10" t="s">
        <v>125</v>
      </c>
      <c r="X10" t="s">
        <v>125</v>
      </c>
      <c r="Y10">
        <v>1.472</v>
      </c>
      <c r="Z10">
        <v>0.045659862</v>
      </c>
      <c r="AA10" t="s">
        <v>107</v>
      </c>
      <c r="AB10" t="s">
        <v>42</v>
      </c>
      <c r="AC10" t="s">
        <v>22</v>
      </c>
      <c r="AD10" t="s">
        <v>23</v>
      </c>
      <c r="AE10" t="s">
        <v>24</v>
      </c>
      <c r="AF10" t="str">
        <f t="shared" si="0"/>
        <v>charge-altering-6kiw</v>
      </c>
      <c r="AG10" t="s">
        <v>101</v>
      </c>
      <c r="AH10" t="s">
        <v>25</v>
      </c>
      <c r="AI10" t="str">
        <f t="shared" si="1"/>
        <v>C-R29P</v>
      </c>
    </row>
    <row r="11" spans="1:35">
      <c r="A11" t="s">
        <v>126</v>
      </c>
      <c r="B11" t="s">
        <v>123</v>
      </c>
      <c r="C11" t="s">
        <v>116</v>
      </c>
      <c r="D11" t="s">
        <v>17</v>
      </c>
      <c r="E11" t="s">
        <v>117</v>
      </c>
      <c r="F11" t="s">
        <v>91</v>
      </c>
      <c r="G11" t="s">
        <v>25</v>
      </c>
      <c r="H11">
        <v>30</v>
      </c>
      <c r="I11">
        <v>31</v>
      </c>
      <c r="J11">
        <v>30</v>
      </c>
      <c r="K11">
        <v>29</v>
      </c>
      <c r="L11" t="s">
        <v>43</v>
      </c>
      <c r="M11" t="s">
        <v>123</v>
      </c>
      <c r="N11" t="s">
        <v>101</v>
      </c>
      <c r="O11" t="s">
        <v>93</v>
      </c>
      <c r="P11" t="s">
        <v>94</v>
      </c>
      <c r="Q11" t="s">
        <v>43</v>
      </c>
      <c r="R11" t="s">
        <v>95</v>
      </c>
      <c r="S11">
        <v>30</v>
      </c>
      <c r="T11" t="s">
        <v>43</v>
      </c>
      <c r="U11" t="s">
        <v>30</v>
      </c>
      <c r="V11" t="s">
        <v>127</v>
      </c>
      <c r="W11" t="s">
        <v>128</v>
      </c>
      <c r="X11" t="s">
        <v>128</v>
      </c>
      <c r="Y11">
        <v>1.472</v>
      </c>
      <c r="Z11">
        <v>0.045659862</v>
      </c>
      <c r="AA11" t="s">
        <v>107</v>
      </c>
      <c r="AB11" t="s">
        <v>42</v>
      </c>
      <c r="AC11" t="s">
        <v>22</v>
      </c>
      <c r="AD11" t="s">
        <v>23</v>
      </c>
      <c r="AE11" t="s">
        <v>24</v>
      </c>
      <c r="AF11" t="str">
        <f t="shared" si="0"/>
        <v>charge-altering-6kiw</v>
      </c>
      <c r="AG11" t="s">
        <v>101</v>
      </c>
      <c r="AH11" t="s">
        <v>25</v>
      </c>
      <c r="AI11" t="str">
        <f t="shared" si="1"/>
        <v>C-R29Q</v>
      </c>
    </row>
    <row r="12" spans="1:35">
      <c r="A12" t="s">
        <v>129</v>
      </c>
      <c r="B12" t="s">
        <v>130</v>
      </c>
      <c r="C12" t="s">
        <v>116</v>
      </c>
      <c r="D12" t="s">
        <v>17</v>
      </c>
      <c r="E12" t="s">
        <v>117</v>
      </c>
      <c r="F12" t="s">
        <v>91</v>
      </c>
      <c r="G12" t="s">
        <v>25</v>
      </c>
      <c r="H12">
        <v>30</v>
      </c>
      <c r="I12">
        <v>31</v>
      </c>
      <c r="J12">
        <v>30</v>
      </c>
      <c r="K12">
        <v>29</v>
      </c>
      <c r="L12" t="s">
        <v>43</v>
      </c>
      <c r="M12" t="s">
        <v>130</v>
      </c>
      <c r="N12" t="s">
        <v>92</v>
      </c>
      <c r="O12" t="s">
        <v>93</v>
      </c>
      <c r="P12" t="s">
        <v>94</v>
      </c>
      <c r="Q12" t="s">
        <v>43</v>
      </c>
      <c r="R12" t="s">
        <v>95</v>
      </c>
      <c r="S12">
        <v>30</v>
      </c>
      <c r="T12" t="s">
        <v>43</v>
      </c>
      <c r="U12" t="s">
        <v>58</v>
      </c>
      <c r="V12" t="s">
        <v>124</v>
      </c>
      <c r="W12" t="s">
        <v>125</v>
      </c>
      <c r="X12" t="s">
        <v>125</v>
      </c>
      <c r="Y12">
        <v>1.357</v>
      </c>
      <c r="Z12">
        <v>0.045659862</v>
      </c>
      <c r="AA12" t="s">
        <v>107</v>
      </c>
      <c r="AB12" t="s">
        <v>42</v>
      </c>
      <c r="AC12" t="s">
        <v>22</v>
      </c>
      <c r="AD12" t="s">
        <v>23</v>
      </c>
      <c r="AE12" t="s">
        <v>24</v>
      </c>
      <c r="AF12" t="str">
        <f t="shared" si="0"/>
        <v>charge-altering-6kiu</v>
      </c>
      <c r="AG12" t="s">
        <v>92</v>
      </c>
      <c r="AH12" t="s">
        <v>25</v>
      </c>
      <c r="AI12" t="str">
        <f t="shared" si="1"/>
        <v>C-R29P</v>
      </c>
    </row>
    <row r="13" spans="1:35">
      <c r="A13" t="s">
        <v>131</v>
      </c>
      <c r="B13" t="s">
        <v>130</v>
      </c>
      <c r="C13" t="s">
        <v>116</v>
      </c>
      <c r="D13" t="s">
        <v>17</v>
      </c>
      <c r="E13" t="s">
        <v>117</v>
      </c>
      <c r="F13" t="s">
        <v>91</v>
      </c>
      <c r="G13" t="s">
        <v>25</v>
      </c>
      <c r="H13">
        <v>30</v>
      </c>
      <c r="I13">
        <v>31</v>
      </c>
      <c r="J13">
        <v>30</v>
      </c>
      <c r="K13">
        <v>29</v>
      </c>
      <c r="L13" t="s">
        <v>43</v>
      </c>
      <c r="M13" t="s">
        <v>130</v>
      </c>
      <c r="N13" t="s">
        <v>92</v>
      </c>
      <c r="O13" t="s">
        <v>93</v>
      </c>
      <c r="P13" t="s">
        <v>94</v>
      </c>
      <c r="Q13" t="s">
        <v>43</v>
      </c>
      <c r="R13" t="s">
        <v>95</v>
      </c>
      <c r="S13">
        <v>30</v>
      </c>
      <c r="T13" t="s">
        <v>43</v>
      </c>
      <c r="U13" t="s">
        <v>30</v>
      </c>
      <c r="V13" t="s">
        <v>127</v>
      </c>
      <c r="W13" t="s">
        <v>128</v>
      </c>
      <c r="X13" t="s">
        <v>128</v>
      </c>
      <c r="Y13">
        <v>1.357</v>
      </c>
      <c r="Z13">
        <v>0.045659862</v>
      </c>
      <c r="AA13" t="s">
        <v>107</v>
      </c>
      <c r="AB13" t="s">
        <v>42</v>
      </c>
      <c r="AC13" t="s">
        <v>22</v>
      </c>
      <c r="AD13" t="s">
        <v>23</v>
      </c>
      <c r="AE13" t="s">
        <v>24</v>
      </c>
      <c r="AF13" t="str">
        <f t="shared" si="0"/>
        <v>charge-altering-6kiu</v>
      </c>
      <c r="AG13" t="s">
        <v>92</v>
      </c>
      <c r="AH13" t="s">
        <v>25</v>
      </c>
      <c r="AI13" t="str">
        <f t="shared" si="1"/>
        <v>C-R29Q</v>
      </c>
    </row>
    <row r="14" spans="1:35">
      <c r="A14" t="s">
        <v>132</v>
      </c>
      <c r="B14" t="s">
        <v>133</v>
      </c>
      <c r="C14" t="s">
        <v>116</v>
      </c>
      <c r="D14" t="s">
        <v>17</v>
      </c>
      <c r="E14" t="s">
        <v>117</v>
      </c>
      <c r="F14" t="s">
        <v>91</v>
      </c>
      <c r="G14" t="s">
        <v>25</v>
      </c>
      <c r="H14">
        <v>32</v>
      </c>
      <c r="I14">
        <v>33</v>
      </c>
      <c r="J14">
        <v>32</v>
      </c>
      <c r="K14">
        <v>31</v>
      </c>
      <c r="L14" t="s">
        <v>56</v>
      </c>
      <c r="M14" t="s">
        <v>133</v>
      </c>
      <c r="N14" t="s">
        <v>92</v>
      </c>
      <c r="O14" t="s">
        <v>93</v>
      </c>
      <c r="P14" t="s">
        <v>94</v>
      </c>
      <c r="Q14" t="s">
        <v>56</v>
      </c>
      <c r="R14" t="s">
        <v>95</v>
      </c>
      <c r="S14">
        <v>32</v>
      </c>
      <c r="T14" t="s">
        <v>56</v>
      </c>
      <c r="U14" t="s">
        <v>49</v>
      </c>
      <c r="V14" t="s">
        <v>134</v>
      </c>
      <c r="W14" t="s">
        <v>135</v>
      </c>
      <c r="X14" t="s">
        <v>135</v>
      </c>
      <c r="Y14">
        <v>0.4</v>
      </c>
      <c r="Z14">
        <v>0.070683077</v>
      </c>
      <c r="AA14" t="s">
        <v>107</v>
      </c>
      <c r="AB14" t="s">
        <v>42</v>
      </c>
      <c r="AC14" t="s">
        <v>22</v>
      </c>
      <c r="AD14" t="s">
        <v>23</v>
      </c>
      <c r="AE14" t="s">
        <v>24</v>
      </c>
      <c r="AF14" t="str">
        <f t="shared" si="0"/>
        <v>charge-altering-6kiu</v>
      </c>
      <c r="AG14" t="s">
        <v>92</v>
      </c>
      <c r="AH14" t="s">
        <v>25</v>
      </c>
      <c r="AI14" t="str">
        <f t="shared" si="1"/>
        <v>C-H31Y</v>
      </c>
    </row>
    <row r="15" spans="1:35">
      <c r="A15" t="s">
        <v>136</v>
      </c>
      <c r="B15" t="s">
        <v>137</v>
      </c>
      <c r="C15" t="s">
        <v>116</v>
      </c>
      <c r="D15" t="s">
        <v>17</v>
      </c>
      <c r="E15" t="s">
        <v>117</v>
      </c>
      <c r="F15" t="s">
        <v>91</v>
      </c>
      <c r="G15" t="s">
        <v>25</v>
      </c>
      <c r="H15">
        <v>32</v>
      </c>
      <c r="I15">
        <v>33</v>
      </c>
      <c r="J15">
        <v>32</v>
      </c>
      <c r="K15">
        <v>31</v>
      </c>
      <c r="L15" t="s">
        <v>56</v>
      </c>
      <c r="M15" t="s">
        <v>137</v>
      </c>
      <c r="N15" t="s">
        <v>101</v>
      </c>
      <c r="O15" t="s">
        <v>93</v>
      </c>
      <c r="P15" t="s">
        <v>94</v>
      </c>
      <c r="Q15" t="s">
        <v>56</v>
      </c>
      <c r="R15" t="s">
        <v>95</v>
      </c>
      <c r="S15">
        <v>32</v>
      </c>
      <c r="T15" t="s">
        <v>56</v>
      </c>
      <c r="U15" t="s">
        <v>49</v>
      </c>
      <c r="V15" t="s">
        <v>134</v>
      </c>
      <c r="W15" t="s">
        <v>135</v>
      </c>
      <c r="X15" t="s">
        <v>135</v>
      </c>
      <c r="Y15">
        <v>0.424</v>
      </c>
      <c r="Z15">
        <v>0.070683077</v>
      </c>
      <c r="AA15" t="s">
        <v>107</v>
      </c>
      <c r="AB15" t="s">
        <v>42</v>
      </c>
      <c r="AC15" t="s">
        <v>22</v>
      </c>
      <c r="AD15" t="s">
        <v>23</v>
      </c>
      <c r="AE15" t="s">
        <v>24</v>
      </c>
      <c r="AF15" t="str">
        <f t="shared" si="0"/>
        <v>charge-altering-6kiw</v>
      </c>
      <c r="AG15" t="s">
        <v>101</v>
      </c>
      <c r="AH15" t="s">
        <v>25</v>
      </c>
      <c r="AI15" t="str">
        <f t="shared" si="1"/>
        <v>C-H31Y</v>
      </c>
    </row>
    <row r="16" spans="1:35">
      <c r="A16" t="s">
        <v>138</v>
      </c>
      <c r="B16" t="s">
        <v>139</v>
      </c>
      <c r="C16" t="s">
        <v>116</v>
      </c>
      <c r="D16" t="s">
        <v>17</v>
      </c>
      <c r="E16" t="s">
        <v>117</v>
      </c>
      <c r="F16" t="s">
        <v>91</v>
      </c>
      <c r="G16" t="s">
        <v>25</v>
      </c>
      <c r="H16">
        <v>36</v>
      </c>
      <c r="I16">
        <v>37</v>
      </c>
      <c r="J16">
        <v>36</v>
      </c>
      <c r="K16">
        <v>35</v>
      </c>
      <c r="L16" t="s">
        <v>43</v>
      </c>
      <c r="M16" t="s">
        <v>139</v>
      </c>
      <c r="N16" t="s">
        <v>92</v>
      </c>
      <c r="O16" t="s">
        <v>93</v>
      </c>
      <c r="P16" t="s">
        <v>94</v>
      </c>
      <c r="Q16" t="s">
        <v>43</v>
      </c>
      <c r="R16" t="s">
        <v>95</v>
      </c>
      <c r="S16">
        <v>36</v>
      </c>
      <c r="T16" t="s">
        <v>43</v>
      </c>
      <c r="U16" t="s">
        <v>39</v>
      </c>
      <c r="V16" t="s">
        <v>140</v>
      </c>
      <c r="W16" t="s">
        <v>141</v>
      </c>
      <c r="X16" t="s">
        <v>141</v>
      </c>
      <c r="Y16">
        <v>0.095</v>
      </c>
      <c r="Z16">
        <v>0.367188583</v>
      </c>
      <c r="AA16" t="s">
        <v>95</v>
      </c>
      <c r="AB16" t="s">
        <v>42</v>
      </c>
      <c r="AC16" t="s">
        <v>22</v>
      </c>
      <c r="AD16" t="s">
        <v>23</v>
      </c>
      <c r="AE16" t="s">
        <v>24</v>
      </c>
      <c r="AF16" t="str">
        <f t="shared" si="0"/>
        <v>charge-altering-6kiu</v>
      </c>
      <c r="AG16" t="s">
        <v>92</v>
      </c>
      <c r="AH16" t="s">
        <v>25</v>
      </c>
      <c r="AI16" t="str">
        <f t="shared" si="1"/>
        <v>C-R35L</v>
      </c>
    </row>
    <row r="17" spans="1:35">
      <c r="A17" t="s">
        <v>142</v>
      </c>
      <c r="B17" t="s">
        <v>143</v>
      </c>
      <c r="C17" t="s">
        <v>116</v>
      </c>
      <c r="D17" t="s">
        <v>17</v>
      </c>
      <c r="E17" t="s">
        <v>117</v>
      </c>
      <c r="F17" t="s">
        <v>91</v>
      </c>
      <c r="G17" t="s">
        <v>25</v>
      </c>
      <c r="H17">
        <v>36</v>
      </c>
      <c r="I17">
        <v>37</v>
      </c>
      <c r="J17">
        <v>36</v>
      </c>
      <c r="K17">
        <v>35</v>
      </c>
      <c r="L17" t="s">
        <v>43</v>
      </c>
      <c r="M17" t="s">
        <v>143</v>
      </c>
      <c r="N17" t="s">
        <v>101</v>
      </c>
      <c r="O17" t="s">
        <v>93</v>
      </c>
      <c r="P17" t="s">
        <v>94</v>
      </c>
      <c r="Q17" t="s">
        <v>43</v>
      </c>
      <c r="R17" t="s">
        <v>95</v>
      </c>
      <c r="S17">
        <v>36</v>
      </c>
      <c r="T17" t="s">
        <v>43</v>
      </c>
      <c r="U17" t="s">
        <v>39</v>
      </c>
      <c r="V17" t="s">
        <v>140</v>
      </c>
      <c r="W17" t="s">
        <v>141</v>
      </c>
      <c r="X17" t="s">
        <v>141</v>
      </c>
      <c r="Y17">
        <v>0.067</v>
      </c>
      <c r="Z17">
        <v>0.367188583</v>
      </c>
      <c r="AA17" t="s">
        <v>95</v>
      </c>
      <c r="AB17" t="s">
        <v>42</v>
      </c>
      <c r="AC17" t="s">
        <v>22</v>
      </c>
      <c r="AD17" t="s">
        <v>23</v>
      </c>
      <c r="AE17" t="s">
        <v>24</v>
      </c>
      <c r="AF17" t="str">
        <f t="shared" si="0"/>
        <v>charge-altering-6kiw</v>
      </c>
      <c r="AG17" t="s">
        <v>101</v>
      </c>
      <c r="AH17" t="s">
        <v>25</v>
      </c>
      <c r="AI17" t="str">
        <f t="shared" si="1"/>
        <v>C-R35L</v>
      </c>
    </row>
    <row r="18" spans="1:35">
      <c r="A18" t="s">
        <v>144</v>
      </c>
      <c r="B18" t="s">
        <v>145</v>
      </c>
      <c r="C18" t="s">
        <v>116</v>
      </c>
      <c r="D18" t="s">
        <v>17</v>
      </c>
      <c r="E18" t="s">
        <v>117</v>
      </c>
      <c r="F18" t="s">
        <v>91</v>
      </c>
      <c r="G18" t="s">
        <v>25</v>
      </c>
      <c r="H18">
        <v>76</v>
      </c>
      <c r="I18">
        <v>77</v>
      </c>
      <c r="J18">
        <v>76</v>
      </c>
      <c r="K18">
        <v>75</v>
      </c>
      <c r="L18" t="s">
        <v>40</v>
      </c>
      <c r="M18" t="s">
        <v>145</v>
      </c>
      <c r="N18" t="s">
        <v>92</v>
      </c>
      <c r="O18" t="s">
        <v>93</v>
      </c>
      <c r="P18" t="s">
        <v>94</v>
      </c>
      <c r="Q18" t="s">
        <v>40</v>
      </c>
      <c r="R18" t="s">
        <v>95</v>
      </c>
      <c r="S18">
        <v>76</v>
      </c>
      <c r="T18" t="s">
        <v>40</v>
      </c>
      <c r="U18" t="s">
        <v>41</v>
      </c>
      <c r="V18" t="s">
        <v>146</v>
      </c>
      <c r="W18" t="s">
        <v>147</v>
      </c>
      <c r="X18" t="s">
        <v>147</v>
      </c>
      <c r="Y18">
        <v>0.41</v>
      </c>
      <c r="Z18">
        <v>0.151490121</v>
      </c>
      <c r="AA18" t="s">
        <v>107</v>
      </c>
      <c r="AB18" t="s">
        <v>42</v>
      </c>
      <c r="AC18" t="s">
        <v>22</v>
      </c>
      <c r="AD18" t="s">
        <v>23</v>
      </c>
      <c r="AE18" t="s">
        <v>24</v>
      </c>
      <c r="AF18" t="str">
        <f t="shared" si="0"/>
        <v>charge-altering-6kiu</v>
      </c>
      <c r="AG18" t="s">
        <v>92</v>
      </c>
      <c r="AH18" t="s">
        <v>25</v>
      </c>
      <c r="AI18" t="str">
        <f t="shared" ref="AI18:AI62" si="2">D18&amp;"-"&amp;X18</f>
        <v>C-K75N</v>
      </c>
    </row>
    <row r="19" spans="1:35">
      <c r="A19" t="s">
        <v>148</v>
      </c>
      <c r="B19" t="s">
        <v>149</v>
      </c>
      <c r="C19" t="s">
        <v>116</v>
      </c>
      <c r="D19" t="s">
        <v>17</v>
      </c>
      <c r="E19" t="s">
        <v>117</v>
      </c>
      <c r="F19" t="s">
        <v>91</v>
      </c>
      <c r="G19" t="s">
        <v>25</v>
      </c>
      <c r="H19">
        <v>76</v>
      </c>
      <c r="I19">
        <v>77</v>
      </c>
      <c r="J19">
        <v>76</v>
      </c>
      <c r="K19">
        <v>75</v>
      </c>
      <c r="L19" t="s">
        <v>40</v>
      </c>
      <c r="M19" t="s">
        <v>149</v>
      </c>
      <c r="N19" t="s">
        <v>101</v>
      </c>
      <c r="O19" t="s">
        <v>93</v>
      </c>
      <c r="P19" t="s">
        <v>94</v>
      </c>
      <c r="Q19" t="s">
        <v>40</v>
      </c>
      <c r="R19" t="s">
        <v>95</v>
      </c>
      <c r="S19">
        <v>76</v>
      </c>
      <c r="T19" t="s">
        <v>40</v>
      </c>
      <c r="U19" t="s">
        <v>41</v>
      </c>
      <c r="V19" t="s">
        <v>146</v>
      </c>
      <c r="W19" t="s">
        <v>147</v>
      </c>
      <c r="X19" t="s">
        <v>147</v>
      </c>
      <c r="Y19">
        <v>0.374</v>
      </c>
      <c r="Z19">
        <v>0.151490121</v>
      </c>
      <c r="AA19" t="s">
        <v>107</v>
      </c>
      <c r="AB19" t="s">
        <v>42</v>
      </c>
      <c r="AC19" t="s">
        <v>22</v>
      </c>
      <c r="AD19" t="s">
        <v>23</v>
      </c>
      <c r="AE19" t="s">
        <v>24</v>
      </c>
      <c r="AF19" t="str">
        <f t="shared" si="0"/>
        <v>charge-altering-6kiw</v>
      </c>
      <c r="AG19" t="s">
        <v>101</v>
      </c>
      <c r="AH19" t="s">
        <v>25</v>
      </c>
      <c r="AI19" t="str">
        <f t="shared" si="2"/>
        <v>C-K75N</v>
      </c>
    </row>
    <row r="20" spans="1:35">
      <c r="A20" t="s">
        <v>150</v>
      </c>
      <c r="B20" t="s">
        <v>151</v>
      </c>
      <c r="C20" t="s">
        <v>116</v>
      </c>
      <c r="D20" t="s">
        <v>17</v>
      </c>
      <c r="E20" t="s">
        <v>117</v>
      </c>
      <c r="F20" t="s">
        <v>91</v>
      </c>
      <c r="G20" t="s">
        <v>25</v>
      </c>
      <c r="H20">
        <v>78</v>
      </c>
      <c r="I20">
        <v>79</v>
      </c>
      <c r="J20">
        <v>78</v>
      </c>
      <c r="K20">
        <v>77</v>
      </c>
      <c r="L20" t="s">
        <v>43</v>
      </c>
      <c r="M20" t="s">
        <v>151</v>
      </c>
      <c r="N20" t="s">
        <v>101</v>
      </c>
      <c r="O20" t="s">
        <v>93</v>
      </c>
      <c r="P20" t="s">
        <v>94</v>
      </c>
      <c r="Q20" t="s">
        <v>43</v>
      </c>
      <c r="R20" t="s">
        <v>95</v>
      </c>
      <c r="S20">
        <v>78</v>
      </c>
      <c r="T20" t="s">
        <v>43</v>
      </c>
      <c r="U20" t="s">
        <v>17</v>
      </c>
      <c r="V20" t="s">
        <v>152</v>
      </c>
      <c r="W20" t="s">
        <v>153</v>
      </c>
      <c r="X20" t="s">
        <v>153</v>
      </c>
      <c r="Y20">
        <v>1.553</v>
      </c>
      <c r="Z20">
        <v>0.118824895</v>
      </c>
      <c r="AA20" t="s">
        <v>107</v>
      </c>
      <c r="AB20" t="s">
        <v>42</v>
      </c>
      <c r="AC20" t="s">
        <v>22</v>
      </c>
      <c r="AD20" t="s">
        <v>23</v>
      </c>
      <c r="AE20" t="s">
        <v>24</v>
      </c>
      <c r="AF20" t="str">
        <f t="shared" si="0"/>
        <v>charge-altering-6kiw</v>
      </c>
      <c r="AG20" t="s">
        <v>101</v>
      </c>
      <c r="AH20" t="s">
        <v>25</v>
      </c>
      <c r="AI20" t="str">
        <f t="shared" si="2"/>
        <v>C-R77C</v>
      </c>
    </row>
    <row r="21" spans="1:35">
      <c r="A21" t="s">
        <v>154</v>
      </c>
      <c r="B21" t="s">
        <v>155</v>
      </c>
      <c r="C21" t="s">
        <v>116</v>
      </c>
      <c r="D21" t="s">
        <v>17</v>
      </c>
      <c r="E21" t="s">
        <v>117</v>
      </c>
      <c r="F21" t="s">
        <v>91</v>
      </c>
      <c r="G21" t="s">
        <v>25</v>
      </c>
      <c r="H21">
        <v>78</v>
      </c>
      <c r="I21">
        <v>79</v>
      </c>
      <c r="J21">
        <v>78</v>
      </c>
      <c r="K21">
        <v>77</v>
      </c>
      <c r="L21" t="s">
        <v>43</v>
      </c>
      <c r="M21" t="s">
        <v>155</v>
      </c>
      <c r="N21" t="s">
        <v>92</v>
      </c>
      <c r="O21" t="s">
        <v>93</v>
      </c>
      <c r="P21" t="s">
        <v>94</v>
      </c>
      <c r="Q21" t="s">
        <v>43</v>
      </c>
      <c r="R21" t="s">
        <v>95</v>
      </c>
      <c r="S21">
        <v>78</v>
      </c>
      <c r="T21" t="s">
        <v>43</v>
      </c>
      <c r="U21" t="s">
        <v>17</v>
      </c>
      <c r="V21" t="s">
        <v>152</v>
      </c>
      <c r="W21" t="s">
        <v>153</v>
      </c>
      <c r="X21" t="s">
        <v>153</v>
      </c>
      <c r="Y21">
        <v>1.472</v>
      </c>
      <c r="Z21">
        <v>0.118824895</v>
      </c>
      <c r="AA21" t="s">
        <v>107</v>
      </c>
      <c r="AB21" t="s">
        <v>42</v>
      </c>
      <c r="AC21" t="s">
        <v>22</v>
      </c>
      <c r="AD21" t="s">
        <v>23</v>
      </c>
      <c r="AE21" t="s">
        <v>24</v>
      </c>
      <c r="AF21" t="str">
        <f t="shared" si="0"/>
        <v>charge-altering-6kiu</v>
      </c>
      <c r="AG21" t="s">
        <v>92</v>
      </c>
      <c r="AH21" t="s">
        <v>25</v>
      </c>
      <c r="AI21" t="str">
        <f t="shared" si="2"/>
        <v>C-R77C</v>
      </c>
    </row>
    <row r="22" spans="1:35">
      <c r="A22" t="s">
        <v>156</v>
      </c>
      <c r="B22" t="s">
        <v>157</v>
      </c>
      <c r="C22" t="s">
        <v>116</v>
      </c>
      <c r="D22" t="s">
        <v>19</v>
      </c>
      <c r="E22" t="s">
        <v>117</v>
      </c>
      <c r="F22" t="s">
        <v>91</v>
      </c>
      <c r="G22" t="s">
        <v>25</v>
      </c>
      <c r="H22">
        <v>18</v>
      </c>
      <c r="I22">
        <v>19</v>
      </c>
      <c r="J22">
        <v>18</v>
      </c>
      <c r="K22">
        <v>17</v>
      </c>
      <c r="L22" t="s">
        <v>43</v>
      </c>
      <c r="M22" t="s">
        <v>157</v>
      </c>
      <c r="N22" t="s">
        <v>92</v>
      </c>
      <c r="O22" t="s">
        <v>93</v>
      </c>
      <c r="P22" t="s">
        <v>94</v>
      </c>
      <c r="Q22" t="s">
        <v>43</v>
      </c>
      <c r="R22" t="s">
        <v>95</v>
      </c>
      <c r="S22">
        <v>18</v>
      </c>
      <c r="T22" t="s">
        <v>43</v>
      </c>
      <c r="U22" t="s">
        <v>58</v>
      </c>
      <c r="V22" t="s">
        <v>118</v>
      </c>
      <c r="W22" t="s">
        <v>119</v>
      </c>
      <c r="X22" t="s">
        <v>119</v>
      </c>
      <c r="Y22">
        <v>0.325</v>
      </c>
      <c r="Z22">
        <v>0.09230766</v>
      </c>
      <c r="AA22" t="s">
        <v>107</v>
      </c>
      <c r="AB22" t="s">
        <v>42</v>
      </c>
      <c r="AC22" t="s">
        <v>22</v>
      </c>
      <c r="AD22" t="s">
        <v>23</v>
      </c>
      <c r="AE22" t="s">
        <v>24</v>
      </c>
      <c r="AF22" t="str">
        <f t="shared" si="0"/>
        <v>charge-altering-6kiu</v>
      </c>
      <c r="AG22" t="s">
        <v>92</v>
      </c>
      <c r="AH22" t="s">
        <v>25</v>
      </c>
      <c r="AI22" t="str">
        <f t="shared" si="2"/>
        <v>G-R17P</v>
      </c>
    </row>
    <row r="23" spans="1:35">
      <c r="A23" t="s">
        <v>158</v>
      </c>
      <c r="B23" t="s">
        <v>159</v>
      </c>
      <c r="C23" t="s">
        <v>116</v>
      </c>
      <c r="D23" t="s">
        <v>19</v>
      </c>
      <c r="E23" t="s">
        <v>117</v>
      </c>
      <c r="F23" t="s">
        <v>91</v>
      </c>
      <c r="G23" t="s">
        <v>25</v>
      </c>
      <c r="H23">
        <v>18</v>
      </c>
      <c r="I23">
        <v>19</v>
      </c>
      <c r="J23">
        <v>18</v>
      </c>
      <c r="K23">
        <v>17</v>
      </c>
      <c r="L23" t="s">
        <v>43</v>
      </c>
      <c r="M23" t="s">
        <v>159</v>
      </c>
      <c r="N23" t="s">
        <v>101</v>
      </c>
      <c r="O23" t="s">
        <v>93</v>
      </c>
      <c r="P23" t="s">
        <v>94</v>
      </c>
      <c r="Q23" t="s">
        <v>43</v>
      </c>
      <c r="R23" t="s">
        <v>95</v>
      </c>
      <c r="S23">
        <v>18</v>
      </c>
      <c r="T23" t="s">
        <v>43</v>
      </c>
      <c r="U23" t="s">
        <v>58</v>
      </c>
      <c r="V23" t="s">
        <v>118</v>
      </c>
      <c r="W23" t="s">
        <v>119</v>
      </c>
      <c r="X23" t="s">
        <v>119</v>
      </c>
      <c r="Y23">
        <v>0.394</v>
      </c>
      <c r="Z23">
        <v>0.09230766</v>
      </c>
      <c r="AA23" t="s">
        <v>107</v>
      </c>
      <c r="AB23" t="s">
        <v>42</v>
      </c>
      <c r="AC23" t="s">
        <v>22</v>
      </c>
      <c r="AD23" t="s">
        <v>23</v>
      </c>
      <c r="AE23" t="s">
        <v>24</v>
      </c>
      <c r="AF23" t="str">
        <f t="shared" si="0"/>
        <v>charge-altering-6kiw</v>
      </c>
      <c r="AG23" t="s">
        <v>101</v>
      </c>
      <c r="AH23" t="s">
        <v>25</v>
      </c>
      <c r="AI23" t="str">
        <f t="shared" si="2"/>
        <v>G-R17P</v>
      </c>
    </row>
    <row r="24" spans="1:35">
      <c r="A24" t="s">
        <v>160</v>
      </c>
      <c r="B24" t="s">
        <v>161</v>
      </c>
      <c r="C24" t="s">
        <v>116</v>
      </c>
      <c r="D24" t="s">
        <v>19</v>
      </c>
      <c r="E24" t="s">
        <v>117</v>
      </c>
      <c r="F24" t="s">
        <v>91</v>
      </c>
      <c r="G24" t="s">
        <v>25</v>
      </c>
      <c r="H24">
        <v>30</v>
      </c>
      <c r="I24">
        <v>31</v>
      </c>
      <c r="J24">
        <v>30</v>
      </c>
      <c r="K24">
        <v>29</v>
      </c>
      <c r="L24" t="s">
        <v>43</v>
      </c>
      <c r="M24" t="s">
        <v>161</v>
      </c>
      <c r="N24" t="s">
        <v>101</v>
      </c>
      <c r="O24" t="s">
        <v>93</v>
      </c>
      <c r="P24" t="s">
        <v>94</v>
      </c>
      <c r="Q24" t="s">
        <v>43</v>
      </c>
      <c r="R24" t="s">
        <v>95</v>
      </c>
      <c r="S24">
        <v>30</v>
      </c>
      <c r="T24" t="s">
        <v>43</v>
      </c>
      <c r="U24" t="s">
        <v>58</v>
      </c>
      <c r="V24" t="s">
        <v>124</v>
      </c>
      <c r="W24" t="s">
        <v>125</v>
      </c>
      <c r="X24" t="s">
        <v>125</v>
      </c>
      <c r="Y24">
        <v>1.298</v>
      </c>
      <c r="Z24">
        <v>0.045659862</v>
      </c>
      <c r="AA24" t="s">
        <v>107</v>
      </c>
      <c r="AB24" t="s">
        <v>42</v>
      </c>
      <c r="AC24" t="s">
        <v>22</v>
      </c>
      <c r="AD24" t="s">
        <v>23</v>
      </c>
      <c r="AE24" t="s">
        <v>24</v>
      </c>
      <c r="AF24" t="str">
        <f t="shared" si="0"/>
        <v>charge-altering-6kiw</v>
      </c>
      <c r="AG24" t="s">
        <v>101</v>
      </c>
      <c r="AH24" t="s">
        <v>25</v>
      </c>
      <c r="AI24" t="str">
        <f t="shared" si="2"/>
        <v>G-R29P</v>
      </c>
    </row>
    <row r="25" spans="1:35">
      <c r="A25" t="s">
        <v>162</v>
      </c>
      <c r="B25" t="s">
        <v>161</v>
      </c>
      <c r="C25" t="s">
        <v>116</v>
      </c>
      <c r="D25" t="s">
        <v>19</v>
      </c>
      <c r="E25" t="s">
        <v>117</v>
      </c>
      <c r="F25" t="s">
        <v>91</v>
      </c>
      <c r="G25" t="s">
        <v>25</v>
      </c>
      <c r="H25">
        <v>30</v>
      </c>
      <c r="I25">
        <v>31</v>
      </c>
      <c r="J25">
        <v>30</v>
      </c>
      <c r="K25">
        <v>29</v>
      </c>
      <c r="L25" t="s">
        <v>43</v>
      </c>
      <c r="M25" t="s">
        <v>161</v>
      </c>
      <c r="N25" t="s">
        <v>101</v>
      </c>
      <c r="O25" t="s">
        <v>93</v>
      </c>
      <c r="P25" t="s">
        <v>94</v>
      </c>
      <c r="Q25" t="s">
        <v>43</v>
      </c>
      <c r="R25" t="s">
        <v>95</v>
      </c>
      <c r="S25">
        <v>30</v>
      </c>
      <c r="T25" t="s">
        <v>43</v>
      </c>
      <c r="U25" t="s">
        <v>30</v>
      </c>
      <c r="V25" t="s">
        <v>127</v>
      </c>
      <c r="W25" t="s">
        <v>128</v>
      </c>
      <c r="X25" t="s">
        <v>128</v>
      </c>
      <c r="Y25">
        <v>1.298</v>
      </c>
      <c r="Z25">
        <v>0.045659862</v>
      </c>
      <c r="AA25" t="s">
        <v>107</v>
      </c>
      <c r="AB25" t="s">
        <v>42</v>
      </c>
      <c r="AC25" t="s">
        <v>22</v>
      </c>
      <c r="AD25" t="s">
        <v>23</v>
      </c>
      <c r="AE25" t="s">
        <v>24</v>
      </c>
      <c r="AF25" t="str">
        <f t="shared" si="0"/>
        <v>charge-altering-6kiw</v>
      </c>
      <c r="AG25" t="s">
        <v>101</v>
      </c>
      <c r="AH25" t="s">
        <v>25</v>
      </c>
      <c r="AI25" t="str">
        <f t="shared" si="2"/>
        <v>G-R29Q</v>
      </c>
    </row>
    <row r="26" spans="1:35">
      <c r="A26" t="s">
        <v>163</v>
      </c>
      <c r="B26" t="s">
        <v>164</v>
      </c>
      <c r="C26" t="s">
        <v>116</v>
      </c>
      <c r="D26" t="s">
        <v>19</v>
      </c>
      <c r="E26" t="s">
        <v>117</v>
      </c>
      <c r="F26" t="s">
        <v>91</v>
      </c>
      <c r="G26" t="s">
        <v>25</v>
      </c>
      <c r="H26">
        <v>30</v>
      </c>
      <c r="I26">
        <v>31</v>
      </c>
      <c r="J26">
        <v>30</v>
      </c>
      <c r="K26">
        <v>29</v>
      </c>
      <c r="L26" t="s">
        <v>43</v>
      </c>
      <c r="M26" t="s">
        <v>164</v>
      </c>
      <c r="N26" t="s">
        <v>92</v>
      </c>
      <c r="O26" t="s">
        <v>93</v>
      </c>
      <c r="P26" t="s">
        <v>94</v>
      </c>
      <c r="Q26" t="s">
        <v>43</v>
      </c>
      <c r="R26" t="s">
        <v>95</v>
      </c>
      <c r="S26">
        <v>30</v>
      </c>
      <c r="T26" t="s">
        <v>43</v>
      </c>
      <c r="U26" t="s">
        <v>58</v>
      </c>
      <c r="V26" t="s">
        <v>124</v>
      </c>
      <c r="W26" t="s">
        <v>125</v>
      </c>
      <c r="X26" t="s">
        <v>125</v>
      </c>
      <c r="Y26">
        <v>1.377</v>
      </c>
      <c r="Z26">
        <v>0.045659862</v>
      </c>
      <c r="AA26" t="s">
        <v>107</v>
      </c>
      <c r="AB26" t="s">
        <v>42</v>
      </c>
      <c r="AC26" t="s">
        <v>22</v>
      </c>
      <c r="AD26" t="s">
        <v>23</v>
      </c>
      <c r="AE26" t="s">
        <v>24</v>
      </c>
      <c r="AF26" t="str">
        <f t="shared" si="0"/>
        <v>charge-altering-6kiu</v>
      </c>
      <c r="AG26" t="s">
        <v>92</v>
      </c>
      <c r="AH26" t="s">
        <v>25</v>
      </c>
      <c r="AI26" t="str">
        <f t="shared" si="2"/>
        <v>G-R29P</v>
      </c>
    </row>
    <row r="27" spans="1:35">
      <c r="A27" t="s">
        <v>165</v>
      </c>
      <c r="B27" t="s">
        <v>164</v>
      </c>
      <c r="C27" t="s">
        <v>116</v>
      </c>
      <c r="D27" t="s">
        <v>19</v>
      </c>
      <c r="E27" t="s">
        <v>117</v>
      </c>
      <c r="F27" t="s">
        <v>91</v>
      </c>
      <c r="G27" t="s">
        <v>25</v>
      </c>
      <c r="H27">
        <v>30</v>
      </c>
      <c r="I27">
        <v>31</v>
      </c>
      <c r="J27">
        <v>30</v>
      </c>
      <c r="K27">
        <v>29</v>
      </c>
      <c r="L27" t="s">
        <v>43</v>
      </c>
      <c r="M27" t="s">
        <v>164</v>
      </c>
      <c r="N27" t="s">
        <v>92</v>
      </c>
      <c r="O27" t="s">
        <v>93</v>
      </c>
      <c r="P27" t="s">
        <v>94</v>
      </c>
      <c r="Q27" t="s">
        <v>43</v>
      </c>
      <c r="R27" t="s">
        <v>95</v>
      </c>
      <c r="S27">
        <v>30</v>
      </c>
      <c r="T27" t="s">
        <v>43</v>
      </c>
      <c r="U27" t="s">
        <v>30</v>
      </c>
      <c r="V27" t="s">
        <v>127</v>
      </c>
      <c r="W27" t="s">
        <v>128</v>
      </c>
      <c r="X27" t="s">
        <v>128</v>
      </c>
      <c r="Y27">
        <v>1.377</v>
      </c>
      <c r="Z27">
        <v>0.045659862</v>
      </c>
      <c r="AA27" t="s">
        <v>107</v>
      </c>
      <c r="AB27" t="s">
        <v>42</v>
      </c>
      <c r="AC27" t="s">
        <v>22</v>
      </c>
      <c r="AD27" t="s">
        <v>23</v>
      </c>
      <c r="AE27" t="s">
        <v>24</v>
      </c>
      <c r="AF27" t="str">
        <f t="shared" si="0"/>
        <v>charge-altering-6kiu</v>
      </c>
      <c r="AG27" t="s">
        <v>92</v>
      </c>
      <c r="AH27" t="s">
        <v>25</v>
      </c>
      <c r="AI27" t="str">
        <f t="shared" si="2"/>
        <v>G-R29Q</v>
      </c>
    </row>
    <row r="28" spans="1:35">
      <c r="A28" t="s">
        <v>166</v>
      </c>
      <c r="B28" t="s">
        <v>167</v>
      </c>
      <c r="C28" t="s">
        <v>116</v>
      </c>
      <c r="D28" t="s">
        <v>19</v>
      </c>
      <c r="E28" t="s">
        <v>117</v>
      </c>
      <c r="F28" t="s">
        <v>91</v>
      </c>
      <c r="G28" t="s">
        <v>25</v>
      </c>
      <c r="H28">
        <v>32</v>
      </c>
      <c r="I28">
        <v>33</v>
      </c>
      <c r="J28">
        <v>32</v>
      </c>
      <c r="K28">
        <v>31</v>
      </c>
      <c r="L28" t="s">
        <v>56</v>
      </c>
      <c r="M28" t="s">
        <v>167</v>
      </c>
      <c r="N28" t="s">
        <v>101</v>
      </c>
      <c r="O28" t="s">
        <v>93</v>
      </c>
      <c r="P28" t="s">
        <v>94</v>
      </c>
      <c r="Q28" t="s">
        <v>56</v>
      </c>
      <c r="R28" t="s">
        <v>95</v>
      </c>
      <c r="S28">
        <v>32</v>
      </c>
      <c r="T28" t="s">
        <v>56</v>
      </c>
      <c r="U28" t="s">
        <v>49</v>
      </c>
      <c r="V28" t="s">
        <v>134</v>
      </c>
      <c r="W28" t="s">
        <v>135</v>
      </c>
      <c r="X28" t="s">
        <v>135</v>
      </c>
      <c r="Y28">
        <v>0.466</v>
      </c>
      <c r="Z28">
        <v>0.070683077</v>
      </c>
      <c r="AA28" t="s">
        <v>107</v>
      </c>
      <c r="AB28" t="s">
        <v>42</v>
      </c>
      <c r="AC28" t="s">
        <v>22</v>
      </c>
      <c r="AD28" t="s">
        <v>23</v>
      </c>
      <c r="AE28" t="s">
        <v>24</v>
      </c>
      <c r="AF28" t="str">
        <f t="shared" si="0"/>
        <v>charge-altering-6kiw</v>
      </c>
      <c r="AG28" t="s">
        <v>101</v>
      </c>
      <c r="AH28" t="s">
        <v>25</v>
      </c>
      <c r="AI28" t="str">
        <f t="shared" si="2"/>
        <v>G-H31Y</v>
      </c>
    </row>
    <row r="29" spans="1:35">
      <c r="A29" t="s">
        <v>168</v>
      </c>
      <c r="B29" t="s">
        <v>169</v>
      </c>
      <c r="C29" t="s">
        <v>116</v>
      </c>
      <c r="D29" t="s">
        <v>19</v>
      </c>
      <c r="E29" t="s">
        <v>117</v>
      </c>
      <c r="F29" t="s">
        <v>91</v>
      </c>
      <c r="G29" t="s">
        <v>25</v>
      </c>
      <c r="H29">
        <v>32</v>
      </c>
      <c r="I29">
        <v>33</v>
      </c>
      <c r="J29">
        <v>32</v>
      </c>
      <c r="K29">
        <v>31</v>
      </c>
      <c r="L29" t="s">
        <v>56</v>
      </c>
      <c r="M29" t="s">
        <v>169</v>
      </c>
      <c r="N29" t="s">
        <v>92</v>
      </c>
      <c r="O29" t="s">
        <v>93</v>
      </c>
      <c r="P29" t="s">
        <v>94</v>
      </c>
      <c r="Q29" t="s">
        <v>56</v>
      </c>
      <c r="R29" t="s">
        <v>95</v>
      </c>
      <c r="S29">
        <v>32</v>
      </c>
      <c r="T29" t="s">
        <v>56</v>
      </c>
      <c r="U29" t="s">
        <v>49</v>
      </c>
      <c r="V29" t="s">
        <v>134</v>
      </c>
      <c r="W29" t="s">
        <v>135</v>
      </c>
      <c r="X29" t="s">
        <v>135</v>
      </c>
      <c r="Y29">
        <v>0.463</v>
      </c>
      <c r="Z29">
        <v>0.070683077</v>
      </c>
      <c r="AA29" t="s">
        <v>107</v>
      </c>
      <c r="AB29" t="s">
        <v>42</v>
      </c>
      <c r="AC29" t="s">
        <v>22</v>
      </c>
      <c r="AD29" t="s">
        <v>23</v>
      </c>
      <c r="AE29" t="s">
        <v>24</v>
      </c>
      <c r="AF29" t="str">
        <f t="shared" si="0"/>
        <v>charge-altering-6kiu</v>
      </c>
      <c r="AG29" t="s">
        <v>92</v>
      </c>
      <c r="AH29" t="s">
        <v>25</v>
      </c>
      <c r="AI29" t="str">
        <f t="shared" si="2"/>
        <v>G-H31Y</v>
      </c>
    </row>
    <row r="30" spans="1:35">
      <c r="A30" t="s">
        <v>170</v>
      </c>
      <c r="B30" t="s">
        <v>171</v>
      </c>
      <c r="C30" t="s">
        <v>116</v>
      </c>
      <c r="D30" t="s">
        <v>19</v>
      </c>
      <c r="E30" t="s">
        <v>117</v>
      </c>
      <c r="F30" t="s">
        <v>91</v>
      </c>
      <c r="G30" t="s">
        <v>25</v>
      </c>
      <c r="H30">
        <v>36</v>
      </c>
      <c r="I30">
        <v>37</v>
      </c>
      <c r="J30">
        <v>36</v>
      </c>
      <c r="K30">
        <v>35</v>
      </c>
      <c r="L30" t="s">
        <v>43</v>
      </c>
      <c r="M30" t="s">
        <v>171</v>
      </c>
      <c r="N30" t="s">
        <v>101</v>
      </c>
      <c r="O30" t="s">
        <v>93</v>
      </c>
      <c r="P30" t="s">
        <v>94</v>
      </c>
      <c r="Q30" t="s">
        <v>43</v>
      </c>
      <c r="R30" t="s">
        <v>95</v>
      </c>
      <c r="S30">
        <v>36</v>
      </c>
      <c r="T30" t="s">
        <v>43</v>
      </c>
      <c r="U30" t="s">
        <v>39</v>
      </c>
      <c r="V30" t="s">
        <v>140</v>
      </c>
      <c r="W30" t="s">
        <v>141</v>
      </c>
      <c r="X30" t="s">
        <v>141</v>
      </c>
      <c r="Y30">
        <v>0.007</v>
      </c>
      <c r="Z30">
        <v>0.367188583</v>
      </c>
      <c r="AA30" t="s">
        <v>95</v>
      </c>
      <c r="AB30" t="s">
        <v>42</v>
      </c>
      <c r="AC30" t="s">
        <v>22</v>
      </c>
      <c r="AD30" t="s">
        <v>23</v>
      </c>
      <c r="AE30" t="s">
        <v>24</v>
      </c>
      <c r="AF30" t="str">
        <f t="shared" si="0"/>
        <v>charge-altering-6kiw</v>
      </c>
      <c r="AG30" t="s">
        <v>101</v>
      </c>
      <c r="AH30" t="s">
        <v>25</v>
      </c>
      <c r="AI30" t="str">
        <f t="shared" si="2"/>
        <v>G-R35L</v>
      </c>
    </row>
    <row r="31" spans="1:35">
      <c r="A31" t="s">
        <v>172</v>
      </c>
      <c r="B31" t="s">
        <v>173</v>
      </c>
      <c r="C31" t="s">
        <v>116</v>
      </c>
      <c r="D31" t="s">
        <v>19</v>
      </c>
      <c r="E31" t="s">
        <v>117</v>
      </c>
      <c r="F31" t="s">
        <v>91</v>
      </c>
      <c r="G31" t="s">
        <v>25</v>
      </c>
      <c r="H31">
        <v>36</v>
      </c>
      <c r="I31">
        <v>37</v>
      </c>
      <c r="J31">
        <v>36</v>
      </c>
      <c r="K31">
        <v>35</v>
      </c>
      <c r="L31" t="s">
        <v>43</v>
      </c>
      <c r="M31" t="s">
        <v>173</v>
      </c>
      <c r="N31" t="s">
        <v>92</v>
      </c>
      <c r="O31" t="s">
        <v>93</v>
      </c>
      <c r="P31" t="s">
        <v>94</v>
      </c>
      <c r="Q31" t="s">
        <v>43</v>
      </c>
      <c r="R31" t="s">
        <v>95</v>
      </c>
      <c r="S31">
        <v>36</v>
      </c>
      <c r="T31" t="s">
        <v>43</v>
      </c>
      <c r="U31" t="s">
        <v>39</v>
      </c>
      <c r="V31" t="s">
        <v>140</v>
      </c>
      <c r="W31" t="s">
        <v>141</v>
      </c>
      <c r="X31" t="s">
        <v>141</v>
      </c>
      <c r="Y31">
        <v>0.035</v>
      </c>
      <c r="Z31">
        <v>0.367188583</v>
      </c>
      <c r="AA31" t="s">
        <v>95</v>
      </c>
      <c r="AB31" t="s">
        <v>42</v>
      </c>
      <c r="AC31" t="s">
        <v>22</v>
      </c>
      <c r="AD31" t="s">
        <v>23</v>
      </c>
      <c r="AE31" t="s">
        <v>24</v>
      </c>
      <c r="AF31" t="str">
        <f t="shared" si="0"/>
        <v>charge-altering-6kiu</v>
      </c>
      <c r="AG31" t="s">
        <v>92</v>
      </c>
      <c r="AH31" t="s">
        <v>25</v>
      </c>
      <c r="AI31" t="str">
        <f t="shared" si="2"/>
        <v>G-R35L</v>
      </c>
    </row>
    <row r="32" spans="1:35">
      <c r="A32" t="s">
        <v>174</v>
      </c>
      <c r="B32" t="s">
        <v>175</v>
      </c>
      <c r="C32" t="s">
        <v>116</v>
      </c>
      <c r="D32" t="s">
        <v>19</v>
      </c>
      <c r="E32" t="s">
        <v>117</v>
      </c>
      <c r="F32" t="s">
        <v>91</v>
      </c>
      <c r="G32" t="s">
        <v>25</v>
      </c>
      <c r="H32">
        <v>76</v>
      </c>
      <c r="I32">
        <v>77</v>
      </c>
      <c r="J32">
        <v>76</v>
      </c>
      <c r="K32">
        <v>75</v>
      </c>
      <c r="L32" t="s">
        <v>40</v>
      </c>
      <c r="M32" t="s">
        <v>175</v>
      </c>
      <c r="N32" t="s">
        <v>101</v>
      </c>
      <c r="O32" t="s">
        <v>93</v>
      </c>
      <c r="P32" t="s">
        <v>94</v>
      </c>
      <c r="Q32" t="s">
        <v>40</v>
      </c>
      <c r="R32" t="s">
        <v>95</v>
      </c>
      <c r="S32">
        <v>76</v>
      </c>
      <c r="T32" t="s">
        <v>40</v>
      </c>
      <c r="U32" t="s">
        <v>41</v>
      </c>
      <c r="V32" t="s">
        <v>146</v>
      </c>
      <c r="W32" t="s">
        <v>147</v>
      </c>
      <c r="X32" t="s">
        <v>147</v>
      </c>
      <c r="Y32">
        <v>0.373</v>
      </c>
      <c r="Z32">
        <v>0.151490121</v>
      </c>
      <c r="AA32" t="s">
        <v>107</v>
      </c>
      <c r="AB32" t="s">
        <v>42</v>
      </c>
      <c r="AC32" t="s">
        <v>22</v>
      </c>
      <c r="AD32" t="s">
        <v>23</v>
      </c>
      <c r="AE32" t="s">
        <v>24</v>
      </c>
      <c r="AF32" t="str">
        <f t="shared" si="0"/>
        <v>charge-altering-6kiw</v>
      </c>
      <c r="AG32" t="s">
        <v>101</v>
      </c>
      <c r="AH32" t="s">
        <v>25</v>
      </c>
      <c r="AI32" t="str">
        <f t="shared" si="2"/>
        <v>G-K75N</v>
      </c>
    </row>
    <row r="33" spans="1:35">
      <c r="A33" t="s">
        <v>176</v>
      </c>
      <c r="B33" t="s">
        <v>177</v>
      </c>
      <c r="C33" t="s">
        <v>116</v>
      </c>
      <c r="D33" t="s">
        <v>19</v>
      </c>
      <c r="E33" t="s">
        <v>117</v>
      </c>
      <c r="F33" t="s">
        <v>91</v>
      </c>
      <c r="G33" t="s">
        <v>25</v>
      </c>
      <c r="H33">
        <v>76</v>
      </c>
      <c r="I33">
        <v>77</v>
      </c>
      <c r="J33">
        <v>76</v>
      </c>
      <c r="K33">
        <v>75</v>
      </c>
      <c r="L33" t="s">
        <v>40</v>
      </c>
      <c r="M33" t="s">
        <v>177</v>
      </c>
      <c r="N33" t="s">
        <v>92</v>
      </c>
      <c r="O33" t="s">
        <v>93</v>
      </c>
      <c r="P33" t="s">
        <v>94</v>
      </c>
      <c r="Q33" t="s">
        <v>40</v>
      </c>
      <c r="R33" t="s">
        <v>95</v>
      </c>
      <c r="S33">
        <v>76</v>
      </c>
      <c r="T33" t="s">
        <v>40</v>
      </c>
      <c r="U33" t="s">
        <v>41</v>
      </c>
      <c r="V33" t="s">
        <v>146</v>
      </c>
      <c r="W33" t="s">
        <v>147</v>
      </c>
      <c r="X33" t="s">
        <v>147</v>
      </c>
      <c r="Y33">
        <v>0.383</v>
      </c>
      <c r="Z33">
        <v>0.151490121</v>
      </c>
      <c r="AA33" t="s">
        <v>107</v>
      </c>
      <c r="AB33" t="s">
        <v>42</v>
      </c>
      <c r="AC33" t="s">
        <v>22</v>
      </c>
      <c r="AD33" t="s">
        <v>23</v>
      </c>
      <c r="AE33" t="s">
        <v>24</v>
      </c>
      <c r="AF33" t="str">
        <f t="shared" si="0"/>
        <v>charge-altering-6kiu</v>
      </c>
      <c r="AG33" t="s">
        <v>92</v>
      </c>
      <c r="AH33" t="s">
        <v>25</v>
      </c>
      <c r="AI33" t="str">
        <f t="shared" si="2"/>
        <v>G-K75N</v>
      </c>
    </row>
    <row r="34" spans="1:35">
      <c r="A34" t="s">
        <v>178</v>
      </c>
      <c r="B34" t="s">
        <v>179</v>
      </c>
      <c r="C34" t="s">
        <v>116</v>
      </c>
      <c r="D34" t="s">
        <v>19</v>
      </c>
      <c r="E34" t="s">
        <v>117</v>
      </c>
      <c r="F34" t="s">
        <v>91</v>
      </c>
      <c r="G34" t="s">
        <v>25</v>
      </c>
      <c r="H34">
        <v>78</v>
      </c>
      <c r="I34">
        <v>79</v>
      </c>
      <c r="J34">
        <v>78</v>
      </c>
      <c r="K34">
        <v>77</v>
      </c>
      <c r="L34" t="s">
        <v>43</v>
      </c>
      <c r="M34" t="s">
        <v>179</v>
      </c>
      <c r="N34" t="s">
        <v>101</v>
      </c>
      <c r="O34" t="s">
        <v>93</v>
      </c>
      <c r="P34" t="s">
        <v>94</v>
      </c>
      <c r="Q34" t="s">
        <v>43</v>
      </c>
      <c r="R34" t="s">
        <v>95</v>
      </c>
      <c r="S34">
        <v>78</v>
      </c>
      <c r="T34" t="s">
        <v>43</v>
      </c>
      <c r="U34" t="s">
        <v>17</v>
      </c>
      <c r="V34" t="s">
        <v>152</v>
      </c>
      <c r="W34" t="s">
        <v>153</v>
      </c>
      <c r="X34" t="s">
        <v>153</v>
      </c>
      <c r="Y34">
        <v>1.458</v>
      </c>
      <c r="Z34">
        <v>0.118824895</v>
      </c>
      <c r="AA34" t="s">
        <v>107</v>
      </c>
      <c r="AB34" t="s">
        <v>42</v>
      </c>
      <c r="AC34" t="s">
        <v>22</v>
      </c>
      <c r="AD34" t="s">
        <v>23</v>
      </c>
      <c r="AE34" t="s">
        <v>24</v>
      </c>
      <c r="AF34" t="str">
        <f t="shared" si="0"/>
        <v>charge-altering-6kiw</v>
      </c>
      <c r="AG34" t="s">
        <v>101</v>
      </c>
      <c r="AH34" t="s">
        <v>25</v>
      </c>
      <c r="AI34" t="str">
        <f t="shared" si="2"/>
        <v>G-R77C</v>
      </c>
    </row>
    <row r="35" spans="1:35">
      <c r="A35" t="s">
        <v>180</v>
      </c>
      <c r="B35" t="s">
        <v>181</v>
      </c>
      <c r="C35" t="s">
        <v>116</v>
      </c>
      <c r="D35" t="s">
        <v>19</v>
      </c>
      <c r="E35" t="s">
        <v>117</v>
      </c>
      <c r="F35" t="s">
        <v>91</v>
      </c>
      <c r="G35" t="s">
        <v>25</v>
      </c>
      <c r="H35">
        <v>78</v>
      </c>
      <c r="I35">
        <v>79</v>
      </c>
      <c r="J35">
        <v>78</v>
      </c>
      <c r="K35">
        <v>77</v>
      </c>
      <c r="L35" t="s">
        <v>43</v>
      </c>
      <c r="M35" t="s">
        <v>181</v>
      </c>
      <c r="N35" t="s">
        <v>92</v>
      </c>
      <c r="O35" t="s">
        <v>93</v>
      </c>
      <c r="P35" t="s">
        <v>94</v>
      </c>
      <c r="Q35" t="s">
        <v>43</v>
      </c>
      <c r="R35" t="s">
        <v>95</v>
      </c>
      <c r="S35">
        <v>78</v>
      </c>
      <c r="T35" t="s">
        <v>43</v>
      </c>
      <c r="U35" t="s">
        <v>17</v>
      </c>
      <c r="V35" t="s">
        <v>152</v>
      </c>
      <c r="W35" t="s">
        <v>153</v>
      </c>
      <c r="X35" t="s">
        <v>153</v>
      </c>
      <c r="Y35">
        <v>1.421</v>
      </c>
      <c r="Z35">
        <v>0.118824895</v>
      </c>
      <c r="AA35" t="s">
        <v>107</v>
      </c>
      <c r="AB35" t="s">
        <v>42</v>
      </c>
      <c r="AC35" t="s">
        <v>22</v>
      </c>
      <c r="AD35" t="s">
        <v>23</v>
      </c>
      <c r="AE35" t="s">
        <v>24</v>
      </c>
      <c r="AF35" t="str">
        <f t="shared" si="0"/>
        <v>charge-altering-6kiu</v>
      </c>
      <c r="AG35" t="s">
        <v>92</v>
      </c>
      <c r="AH35" t="s">
        <v>25</v>
      </c>
      <c r="AI35" t="str">
        <f t="shared" si="2"/>
        <v>G-R77C</v>
      </c>
    </row>
    <row r="36" spans="1:35">
      <c r="A36" t="s">
        <v>182</v>
      </c>
      <c r="B36" t="s">
        <v>183</v>
      </c>
      <c r="C36" t="s">
        <v>184</v>
      </c>
      <c r="D36" t="s">
        <v>28</v>
      </c>
      <c r="E36" t="s">
        <v>185</v>
      </c>
      <c r="F36" t="s">
        <v>91</v>
      </c>
      <c r="G36" t="s">
        <v>31</v>
      </c>
      <c r="H36">
        <v>40</v>
      </c>
      <c r="I36">
        <v>40</v>
      </c>
      <c r="J36">
        <v>40</v>
      </c>
      <c r="K36">
        <v>39</v>
      </c>
      <c r="L36" t="s">
        <v>43</v>
      </c>
      <c r="M36" t="s">
        <v>183</v>
      </c>
      <c r="N36" t="s">
        <v>92</v>
      </c>
      <c r="O36" t="s">
        <v>93</v>
      </c>
      <c r="P36" t="s">
        <v>94</v>
      </c>
      <c r="Q36" t="s">
        <v>43</v>
      </c>
      <c r="R36" t="s">
        <v>95</v>
      </c>
      <c r="S36">
        <v>40</v>
      </c>
      <c r="T36" t="s">
        <v>43</v>
      </c>
      <c r="U36" t="s">
        <v>19</v>
      </c>
      <c r="V36" t="s">
        <v>186</v>
      </c>
      <c r="W36" t="s">
        <v>187</v>
      </c>
      <c r="X36" t="s">
        <v>187</v>
      </c>
      <c r="Y36">
        <v>0.078</v>
      </c>
      <c r="Z36">
        <v>0</v>
      </c>
      <c r="AA36" t="s">
        <v>107</v>
      </c>
      <c r="AB36" t="s">
        <v>42</v>
      </c>
      <c r="AC36" t="s">
        <v>22</v>
      </c>
      <c r="AD36" t="s">
        <v>23</v>
      </c>
      <c r="AE36" t="s">
        <v>24</v>
      </c>
      <c r="AF36" t="str">
        <f t="shared" si="0"/>
        <v>charge-altering-6kiu</v>
      </c>
      <c r="AG36" t="s">
        <v>92</v>
      </c>
      <c r="AH36" t="s">
        <v>31</v>
      </c>
      <c r="AI36" t="str">
        <f t="shared" si="2"/>
        <v>B-R39G</v>
      </c>
    </row>
    <row r="37" spans="1:35">
      <c r="A37" t="s">
        <v>188</v>
      </c>
      <c r="B37" t="s">
        <v>183</v>
      </c>
      <c r="C37" t="s">
        <v>184</v>
      </c>
      <c r="D37" t="s">
        <v>28</v>
      </c>
      <c r="E37" t="s">
        <v>185</v>
      </c>
      <c r="F37" t="s">
        <v>91</v>
      </c>
      <c r="G37" t="s">
        <v>31</v>
      </c>
      <c r="H37">
        <v>40</v>
      </c>
      <c r="I37">
        <v>40</v>
      </c>
      <c r="J37">
        <v>40</v>
      </c>
      <c r="K37">
        <v>39</v>
      </c>
      <c r="L37" t="s">
        <v>43</v>
      </c>
      <c r="M37" t="s">
        <v>183</v>
      </c>
      <c r="N37" t="s">
        <v>92</v>
      </c>
      <c r="O37" t="s">
        <v>93</v>
      </c>
      <c r="P37" t="s">
        <v>94</v>
      </c>
      <c r="Q37" t="s">
        <v>43</v>
      </c>
      <c r="R37" t="s">
        <v>95</v>
      </c>
      <c r="S37">
        <v>40</v>
      </c>
      <c r="T37" t="s">
        <v>43</v>
      </c>
      <c r="U37" t="s">
        <v>17</v>
      </c>
      <c r="V37" t="s">
        <v>189</v>
      </c>
      <c r="W37" t="s">
        <v>190</v>
      </c>
      <c r="X37" t="s">
        <v>190</v>
      </c>
      <c r="Y37">
        <v>0.077</v>
      </c>
      <c r="Z37">
        <v>0</v>
      </c>
      <c r="AA37" t="s">
        <v>107</v>
      </c>
      <c r="AB37" t="s">
        <v>42</v>
      </c>
      <c r="AC37" t="s">
        <v>22</v>
      </c>
      <c r="AD37" t="s">
        <v>23</v>
      </c>
      <c r="AE37" t="s">
        <v>24</v>
      </c>
      <c r="AF37" t="str">
        <f t="shared" si="0"/>
        <v>charge-altering-6kiu</v>
      </c>
      <c r="AG37" t="s">
        <v>92</v>
      </c>
      <c r="AH37" t="s">
        <v>31</v>
      </c>
      <c r="AI37" t="str">
        <f t="shared" si="2"/>
        <v>B-R39C</v>
      </c>
    </row>
    <row r="38" spans="1:35">
      <c r="A38" t="s">
        <v>191</v>
      </c>
      <c r="B38" t="s">
        <v>192</v>
      </c>
      <c r="C38" t="s">
        <v>184</v>
      </c>
      <c r="D38" t="s">
        <v>28</v>
      </c>
      <c r="E38" t="s">
        <v>185</v>
      </c>
      <c r="F38" t="s">
        <v>91</v>
      </c>
      <c r="G38" t="s">
        <v>31</v>
      </c>
      <c r="H38">
        <v>40</v>
      </c>
      <c r="I38">
        <v>40</v>
      </c>
      <c r="J38">
        <v>40</v>
      </c>
      <c r="K38">
        <v>39</v>
      </c>
      <c r="L38" t="s">
        <v>43</v>
      </c>
      <c r="M38" t="s">
        <v>192</v>
      </c>
      <c r="N38" t="s">
        <v>101</v>
      </c>
      <c r="O38" t="s">
        <v>93</v>
      </c>
      <c r="P38" t="s">
        <v>94</v>
      </c>
      <c r="Q38" t="s">
        <v>43</v>
      </c>
      <c r="R38" t="s">
        <v>95</v>
      </c>
      <c r="S38">
        <v>40</v>
      </c>
      <c r="T38" t="s">
        <v>43</v>
      </c>
      <c r="U38" t="s">
        <v>19</v>
      </c>
      <c r="V38" t="s">
        <v>186</v>
      </c>
      <c r="W38" t="s">
        <v>187</v>
      </c>
      <c r="X38" t="s">
        <v>187</v>
      </c>
      <c r="Y38">
        <v>-0.071</v>
      </c>
      <c r="Z38">
        <v>0</v>
      </c>
      <c r="AA38" t="s">
        <v>107</v>
      </c>
      <c r="AB38" t="s">
        <v>42</v>
      </c>
      <c r="AC38" t="s">
        <v>22</v>
      </c>
      <c r="AD38" t="s">
        <v>23</v>
      </c>
      <c r="AE38" t="s">
        <v>24</v>
      </c>
      <c r="AF38" t="str">
        <f t="shared" si="0"/>
        <v>charge-altering-6kiw</v>
      </c>
      <c r="AG38" t="s">
        <v>101</v>
      </c>
      <c r="AH38" t="s">
        <v>31</v>
      </c>
      <c r="AI38" t="str">
        <f t="shared" si="2"/>
        <v>B-R39G</v>
      </c>
    </row>
    <row r="39" spans="1:35">
      <c r="A39" t="s">
        <v>193</v>
      </c>
      <c r="B39" t="s">
        <v>192</v>
      </c>
      <c r="C39" t="s">
        <v>184</v>
      </c>
      <c r="D39" t="s">
        <v>28</v>
      </c>
      <c r="E39" t="s">
        <v>185</v>
      </c>
      <c r="F39" t="s">
        <v>91</v>
      </c>
      <c r="G39" t="s">
        <v>31</v>
      </c>
      <c r="H39">
        <v>40</v>
      </c>
      <c r="I39">
        <v>40</v>
      </c>
      <c r="J39">
        <v>40</v>
      </c>
      <c r="K39">
        <v>39</v>
      </c>
      <c r="L39" t="s">
        <v>43</v>
      </c>
      <c r="M39" t="s">
        <v>192</v>
      </c>
      <c r="N39" t="s">
        <v>101</v>
      </c>
      <c r="O39" t="s">
        <v>93</v>
      </c>
      <c r="P39" t="s">
        <v>94</v>
      </c>
      <c r="Q39" t="s">
        <v>43</v>
      </c>
      <c r="R39" t="s">
        <v>95</v>
      </c>
      <c r="S39">
        <v>40</v>
      </c>
      <c r="T39" t="s">
        <v>43</v>
      </c>
      <c r="U39" t="s">
        <v>17</v>
      </c>
      <c r="V39" t="s">
        <v>189</v>
      </c>
      <c r="W39" t="s">
        <v>190</v>
      </c>
      <c r="X39" t="s">
        <v>190</v>
      </c>
      <c r="Y39">
        <v>-0.07</v>
      </c>
      <c r="Z39">
        <v>0</v>
      </c>
      <c r="AA39" t="s">
        <v>107</v>
      </c>
      <c r="AB39" t="s">
        <v>42</v>
      </c>
      <c r="AC39" t="s">
        <v>22</v>
      </c>
      <c r="AD39" t="s">
        <v>23</v>
      </c>
      <c r="AE39" t="s">
        <v>24</v>
      </c>
      <c r="AF39" t="str">
        <f t="shared" si="0"/>
        <v>charge-altering-6kiw</v>
      </c>
      <c r="AG39" t="s">
        <v>101</v>
      </c>
      <c r="AH39" t="s">
        <v>31</v>
      </c>
      <c r="AI39" t="str">
        <f t="shared" si="2"/>
        <v>B-R39C</v>
      </c>
    </row>
    <row r="40" spans="1:35">
      <c r="A40" t="s">
        <v>194</v>
      </c>
      <c r="B40" t="s">
        <v>195</v>
      </c>
      <c r="C40" t="s">
        <v>184</v>
      </c>
      <c r="D40" t="s">
        <v>28</v>
      </c>
      <c r="E40" t="s">
        <v>185</v>
      </c>
      <c r="F40" t="s">
        <v>91</v>
      </c>
      <c r="G40" t="s">
        <v>31</v>
      </c>
      <c r="H40">
        <v>46</v>
      </c>
      <c r="I40">
        <v>46</v>
      </c>
      <c r="J40">
        <v>46</v>
      </c>
      <c r="K40">
        <v>45</v>
      </c>
      <c r="L40" t="s">
        <v>43</v>
      </c>
      <c r="M40" t="s">
        <v>195</v>
      </c>
      <c r="N40" t="s">
        <v>101</v>
      </c>
      <c r="O40" t="s">
        <v>93</v>
      </c>
      <c r="P40" t="s">
        <v>94</v>
      </c>
      <c r="Q40" t="s">
        <v>43</v>
      </c>
      <c r="R40" t="s">
        <v>95</v>
      </c>
      <c r="S40">
        <v>46</v>
      </c>
      <c r="T40" t="s">
        <v>43</v>
      </c>
      <c r="U40" t="s">
        <v>30</v>
      </c>
      <c r="V40" t="s">
        <v>196</v>
      </c>
      <c r="W40" t="s">
        <v>197</v>
      </c>
      <c r="X40" t="s">
        <v>197</v>
      </c>
      <c r="Y40">
        <v>0.091</v>
      </c>
      <c r="Z40">
        <v>0.091694657</v>
      </c>
      <c r="AA40" t="s">
        <v>107</v>
      </c>
      <c r="AB40" t="s">
        <v>42</v>
      </c>
      <c r="AC40" t="s">
        <v>22</v>
      </c>
      <c r="AD40" t="s">
        <v>23</v>
      </c>
      <c r="AE40" t="s">
        <v>24</v>
      </c>
      <c r="AF40" t="str">
        <f t="shared" si="0"/>
        <v>charge-altering-6kiw</v>
      </c>
      <c r="AG40" t="s">
        <v>101</v>
      </c>
      <c r="AH40" t="s">
        <v>31</v>
      </c>
      <c r="AI40" t="str">
        <f t="shared" si="2"/>
        <v>B-R45Q</v>
      </c>
    </row>
    <row r="41" spans="1:35">
      <c r="A41" t="s">
        <v>198</v>
      </c>
      <c r="B41" t="s">
        <v>199</v>
      </c>
      <c r="C41" t="s">
        <v>184</v>
      </c>
      <c r="D41" t="s">
        <v>28</v>
      </c>
      <c r="E41" t="s">
        <v>185</v>
      </c>
      <c r="F41" t="s">
        <v>91</v>
      </c>
      <c r="G41" t="s">
        <v>31</v>
      </c>
      <c r="H41">
        <v>46</v>
      </c>
      <c r="I41">
        <v>46</v>
      </c>
      <c r="J41">
        <v>46</v>
      </c>
      <c r="K41">
        <v>45</v>
      </c>
      <c r="L41" t="s">
        <v>43</v>
      </c>
      <c r="M41" t="s">
        <v>199</v>
      </c>
      <c r="N41" t="s">
        <v>92</v>
      </c>
      <c r="O41" t="s">
        <v>93</v>
      </c>
      <c r="P41" t="s">
        <v>94</v>
      </c>
      <c r="Q41" t="s">
        <v>43</v>
      </c>
      <c r="R41" t="s">
        <v>95</v>
      </c>
      <c r="S41">
        <v>46</v>
      </c>
      <c r="T41" t="s">
        <v>43</v>
      </c>
      <c r="U41" t="s">
        <v>30</v>
      </c>
      <c r="V41" t="s">
        <v>196</v>
      </c>
      <c r="W41" t="s">
        <v>197</v>
      </c>
      <c r="X41" t="s">
        <v>197</v>
      </c>
      <c r="Y41">
        <v>0.141</v>
      </c>
      <c r="Z41">
        <v>0.091694657</v>
      </c>
      <c r="AA41" t="s">
        <v>107</v>
      </c>
      <c r="AB41" t="s">
        <v>42</v>
      </c>
      <c r="AC41" t="s">
        <v>22</v>
      </c>
      <c r="AD41" t="s">
        <v>23</v>
      </c>
      <c r="AE41" t="s">
        <v>24</v>
      </c>
      <c r="AF41" t="str">
        <f t="shared" si="0"/>
        <v>charge-altering-6kiu</v>
      </c>
      <c r="AG41" t="s">
        <v>92</v>
      </c>
      <c r="AH41" t="s">
        <v>31</v>
      </c>
      <c r="AI41" t="str">
        <f t="shared" si="2"/>
        <v>B-R45Q</v>
      </c>
    </row>
    <row r="42" spans="1:35">
      <c r="A42" t="s">
        <v>200</v>
      </c>
      <c r="B42" t="s">
        <v>201</v>
      </c>
      <c r="C42" t="s">
        <v>184</v>
      </c>
      <c r="D42" t="s">
        <v>28</v>
      </c>
      <c r="E42" t="s">
        <v>185</v>
      </c>
      <c r="F42" t="s">
        <v>91</v>
      </c>
      <c r="G42" t="s">
        <v>31</v>
      </c>
      <c r="H42">
        <v>79</v>
      </c>
      <c r="I42">
        <v>79</v>
      </c>
      <c r="J42">
        <v>79</v>
      </c>
      <c r="K42">
        <v>78</v>
      </c>
      <c r="L42" t="s">
        <v>43</v>
      </c>
      <c r="M42" t="s">
        <v>201</v>
      </c>
      <c r="N42" t="s">
        <v>92</v>
      </c>
      <c r="O42" t="s">
        <v>93</v>
      </c>
      <c r="P42" t="s">
        <v>94</v>
      </c>
      <c r="Q42" t="s">
        <v>43</v>
      </c>
      <c r="R42" t="s">
        <v>95</v>
      </c>
      <c r="S42">
        <v>79</v>
      </c>
      <c r="T42" t="s">
        <v>43</v>
      </c>
      <c r="U42" t="s">
        <v>17</v>
      </c>
      <c r="V42" t="s">
        <v>202</v>
      </c>
      <c r="W42" t="s">
        <v>152</v>
      </c>
      <c r="X42" t="s">
        <v>152</v>
      </c>
      <c r="Y42">
        <v>1.149</v>
      </c>
      <c r="Z42">
        <v>0.12987269</v>
      </c>
      <c r="AA42" t="s">
        <v>107</v>
      </c>
      <c r="AB42" t="s">
        <v>42</v>
      </c>
      <c r="AC42" t="s">
        <v>22</v>
      </c>
      <c r="AD42" t="s">
        <v>23</v>
      </c>
      <c r="AE42" t="s">
        <v>24</v>
      </c>
      <c r="AF42" t="str">
        <f t="shared" si="0"/>
        <v>charge-altering-6kiu</v>
      </c>
      <c r="AG42" t="s">
        <v>92</v>
      </c>
      <c r="AH42" t="s">
        <v>31</v>
      </c>
      <c r="AI42" t="str">
        <f t="shared" si="2"/>
        <v>B-R78C</v>
      </c>
    </row>
    <row r="43" spans="1:35">
      <c r="A43" t="s">
        <v>203</v>
      </c>
      <c r="B43" t="s">
        <v>204</v>
      </c>
      <c r="C43" t="s">
        <v>184</v>
      </c>
      <c r="D43" t="s">
        <v>28</v>
      </c>
      <c r="E43" t="s">
        <v>185</v>
      </c>
      <c r="F43" t="s">
        <v>91</v>
      </c>
      <c r="G43" t="s">
        <v>31</v>
      </c>
      <c r="H43">
        <v>79</v>
      </c>
      <c r="I43">
        <v>79</v>
      </c>
      <c r="J43">
        <v>79</v>
      </c>
      <c r="K43">
        <v>78</v>
      </c>
      <c r="L43" t="s">
        <v>43</v>
      </c>
      <c r="M43" t="s">
        <v>204</v>
      </c>
      <c r="N43" t="s">
        <v>101</v>
      </c>
      <c r="O43" t="s">
        <v>93</v>
      </c>
      <c r="P43" t="s">
        <v>94</v>
      </c>
      <c r="Q43" t="s">
        <v>43</v>
      </c>
      <c r="R43" t="s">
        <v>95</v>
      </c>
      <c r="S43">
        <v>79</v>
      </c>
      <c r="T43" t="s">
        <v>43</v>
      </c>
      <c r="U43" t="s">
        <v>17</v>
      </c>
      <c r="V43" t="s">
        <v>202</v>
      </c>
      <c r="W43" t="s">
        <v>152</v>
      </c>
      <c r="X43" t="s">
        <v>152</v>
      </c>
      <c r="Y43">
        <v>1.09</v>
      </c>
      <c r="Z43">
        <v>0.12987269</v>
      </c>
      <c r="AA43" t="s">
        <v>107</v>
      </c>
      <c r="AB43" t="s">
        <v>42</v>
      </c>
      <c r="AC43" t="s">
        <v>22</v>
      </c>
      <c r="AD43" t="s">
        <v>23</v>
      </c>
      <c r="AE43" t="s">
        <v>24</v>
      </c>
      <c r="AF43" t="str">
        <f t="shared" si="0"/>
        <v>charge-altering-6kiw</v>
      </c>
      <c r="AG43" t="s">
        <v>101</v>
      </c>
      <c r="AH43" t="s">
        <v>31</v>
      </c>
      <c r="AI43" t="str">
        <f t="shared" si="2"/>
        <v>B-R78C</v>
      </c>
    </row>
    <row r="44" spans="1:35">
      <c r="A44" t="s">
        <v>205</v>
      </c>
      <c r="B44" t="s">
        <v>206</v>
      </c>
      <c r="C44" t="s">
        <v>184</v>
      </c>
      <c r="D44" t="s">
        <v>28</v>
      </c>
      <c r="E44" t="s">
        <v>185</v>
      </c>
      <c r="F44" t="s">
        <v>91</v>
      </c>
      <c r="G44" t="s">
        <v>31</v>
      </c>
      <c r="H44">
        <v>80</v>
      </c>
      <c r="I44">
        <v>80</v>
      </c>
      <c r="J44">
        <v>80</v>
      </c>
      <c r="K44">
        <v>79</v>
      </c>
      <c r="L44" t="s">
        <v>40</v>
      </c>
      <c r="M44" t="s">
        <v>206</v>
      </c>
      <c r="N44" t="s">
        <v>92</v>
      </c>
      <c r="O44" t="s">
        <v>93</v>
      </c>
      <c r="P44" t="s">
        <v>94</v>
      </c>
      <c r="Q44" t="s">
        <v>40</v>
      </c>
      <c r="R44" t="s">
        <v>95</v>
      </c>
      <c r="S44">
        <v>80</v>
      </c>
      <c r="T44" t="s">
        <v>40</v>
      </c>
      <c r="U44" t="s">
        <v>41</v>
      </c>
      <c r="V44" t="s">
        <v>207</v>
      </c>
      <c r="W44" t="s">
        <v>208</v>
      </c>
      <c r="X44" t="s">
        <v>208</v>
      </c>
      <c r="Y44">
        <v>1.523</v>
      </c>
      <c r="Z44">
        <v>0.272424262</v>
      </c>
      <c r="AA44" t="s">
        <v>95</v>
      </c>
      <c r="AB44" t="s">
        <v>42</v>
      </c>
      <c r="AC44" t="s">
        <v>22</v>
      </c>
      <c r="AD44" t="s">
        <v>23</v>
      </c>
      <c r="AE44" t="s">
        <v>24</v>
      </c>
      <c r="AF44" t="str">
        <f t="shared" si="0"/>
        <v>charge-altering-6kiu</v>
      </c>
      <c r="AG44" t="s">
        <v>92</v>
      </c>
      <c r="AH44" t="s">
        <v>31</v>
      </c>
      <c r="AI44" t="str">
        <f t="shared" si="2"/>
        <v>B-K79N</v>
      </c>
    </row>
    <row r="45" spans="1:35">
      <c r="A45" t="s">
        <v>209</v>
      </c>
      <c r="B45" t="s">
        <v>210</v>
      </c>
      <c r="C45" t="s">
        <v>184</v>
      </c>
      <c r="D45" t="s">
        <v>28</v>
      </c>
      <c r="E45" t="s">
        <v>185</v>
      </c>
      <c r="F45" t="s">
        <v>91</v>
      </c>
      <c r="G45" t="s">
        <v>31</v>
      </c>
      <c r="H45">
        <v>80</v>
      </c>
      <c r="I45">
        <v>80</v>
      </c>
      <c r="J45">
        <v>80</v>
      </c>
      <c r="K45">
        <v>79</v>
      </c>
      <c r="L45" t="s">
        <v>40</v>
      </c>
      <c r="M45" t="s">
        <v>210</v>
      </c>
      <c r="N45" t="s">
        <v>101</v>
      </c>
      <c r="O45" t="s">
        <v>93</v>
      </c>
      <c r="P45" t="s">
        <v>94</v>
      </c>
      <c r="Q45" t="s">
        <v>40</v>
      </c>
      <c r="R45" t="s">
        <v>95</v>
      </c>
      <c r="S45">
        <v>80</v>
      </c>
      <c r="T45" t="s">
        <v>40</v>
      </c>
      <c r="U45" t="s">
        <v>41</v>
      </c>
      <c r="V45" t="s">
        <v>207</v>
      </c>
      <c r="W45" t="s">
        <v>208</v>
      </c>
      <c r="X45" t="s">
        <v>208</v>
      </c>
      <c r="Y45">
        <v>1.437</v>
      </c>
      <c r="Z45">
        <v>0.272424262</v>
      </c>
      <c r="AA45" t="s">
        <v>95</v>
      </c>
      <c r="AB45" t="s">
        <v>42</v>
      </c>
      <c r="AC45" t="s">
        <v>22</v>
      </c>
      <c r="AD45" t="s">
        <v>23</v>
      </c>
      <c r="AE45" t="s">
        <v>24</v>
      </c>
      <c r="AF45" t="str">
        <f t="shared" si="0"/>
        <v>charge-altering-6kiw</v>
      </c>
      <c r="AG45" t="s">
        <v>101</v>
      </c>
      <c r="AH45" t="s">
        <v>31</v>
      </c>
      <c r="AI45" t="str">
        <f t="shared" si="2"/>
        <v>B-K79N</v>
      </c>
    </row>
    <row r="46" spans="1:35">
      <c r="A46" t="s">
        <v>211</v>
      </c>
      <c r="B46" t="s">
        <v>212</v>
      </c>
      <c r="C46" t="s">
        <v>184</v>
      </c>
      <c r="D46" t="s">
        <v>33</v>
      </c>
      <c r="E46" t="s">
        <v>185</v>
      </c>
      <c r="F46" t="s">
        <v>91</v>
      </c>
      <c r="G46" t="s">
        <v>31</v>
      </c>
      <c r="H46">
        <v>40</v>
      </c>
      <c r="I46">
        <v>40</v>
      </c>
      <c r="J46">
        <v>40</v>
      </c>
      <c r="K46">
        <v>39</v>
      </c>
      <c r="L46" t="s">
        <v>43</v>
      </c>
      <c r="M46" t="s">
        <v>212</v>
      </c>
      <c r="N46" t="s">
        <v>101</v>
      </c>
      <c r="O46" t="s">
        <v>93</v>
      </c>
      <c r="P46" t="s">
        <v>94</v>
      </c>
      <c r="Q46" t="s">
        <v>43</v>
      </c>
      <c r="R46" t="s">
        <v>95</v>
      </c>
      <c r="S46">
        <v>40</v>
      </c>
      <c r="T46" t="s">
        <v>43</v>
      </c>
      <c r="U46" t="s">
        <v>19</v>
      </c>
      <c r="V46" t="s">
        <v>186</v>
      </c>
      <c r="W46" t="s">
        <v>187</v>
      </c>
      <c r="X46" t="s">
        <v>187</v>
      </c>
      <c r="Y46">
        <v>-0.127</v>
      </c>
      <c r="Z46">
        <v>0</v>
      </c>
      <c r="AA46" t="s">
        <v>107</v>
      </c>
      <c r="AB46" t="s">
        <v>42</v>
      </c>
      <c r="AC46" t="s">
        <v>22</v>
      </c>
      <c r="AD46" t="s">
        <v>23</v>
      </c>
      <c r="AE46" t="s">
        <v>24</v>
      </c>
      <c r="AF46" t="str">
        <f t="shared" si="0"/>
        <v>charge-altering-6kiw</v>
      </c>
      <c r="AG46" t="s">
        <v>101</v>
      </c>
      <c r="AH46" t="s">
        <v>31</v>
      </c>
      <c r="AI46" t="str">
        <f t="shared" si="2"/>
        <v>F-R39G</v>
      </c>
    </row>
    <row r="47" spans="1:35">
      <c r="A47" t="s">
        <v>213</v>
      </c>
      <c r="B47" t="s">
        <v>212</v>
      </c>
      <c r="C47" t="s">
        <v>184</v>
      </c>
      <c r="D47" t="s">
        <v>33</v>
      </c>
      <c r="E47" t="s">
        <v>185</v>
      </c>
      <c r="F47" t="s">
        <v>91</v>
      </c>
      <c r="G47" t="s">
        <v>31</v>
      </c>
      <c r="H47">
        <v>40</v>
      </c>
      <c r="I47">
        <v>40</v>
      </c>
      <c r="J47">
        <v>40</v>
      </c>
      <c r="K47">
        <v>39</v>
      </c>
      <c r="L47" t="s">
        <v>43</v>
      </c>
      <c r="M47" t="s">
        <v>212</v>
      </c>
      <c r="N47" t="s">
        <v>101</v>
      </c>
      <c r="O47" t="s">
        <v>93</v>
      </c>
      <c r="P47" t="s">
        <v>94</v>
      </c>
      <c r="Q47" t="s">
        <v>43</v>
      </c>
      <c r="R47" t="s">
        <v>95</v>
      </c>
      <c r="S47">
        <v>40</v>
      </c>
      <c r="T47" t="s">
        <v>43</v>
      </c>
      <c r="U47" t="s">
        <v>17</v>
      </c>
      <c r="V47" t="s">
        <v>189</v>
      </c>
      <c r="W47" t="s">
        <v>190</v>
      </c>
      <c r="X47" t="s">
        <v>190</v>
      </c>
      <c r="Y47">
        <v>-0.037</v>
      </c>
      <c r="Z47">
        <v>0</v>
      </c>
      <c r="AA47" t="s">
        <v>107</v>
      </c>
      <c r="AB47" t="s">
        <v>42</v>
      </c>
      <c r="AC47" t="s">
        <v>22</v>
      </c>
      <c r="AD47" t="s">
        <v>23</v>
      </c>
      <c r="AE47" t="s">
        <v>24</v>
      </c>
      <c r="AF47" t="str">
        <f t="shared" si="0"/>
        <v>charge-altering-6kiw</v>
      </c>
      <c r="AG47" t="s">
        <v>101</v>
      </c>
      <c r="AH47" t="s">
        <v>31</v>
      </c>
      <c r="AI47" t="str">
        <f t="shared" si="2"/>
        <v>F-R39C</v>
      </c>
    </row>
    <row r="48" spans="1:35">
      <c r="A48" t="s">
        <v>214</v>
      </c>
      <c r="B48" t="s">
        <v>215</v>
      </c>
      <c r="C48" t="s">
        <v>184</v>
      </c>
      <c r="D48" t="s">
        <v>33</v>
      </c>
      <c r="E48" t="s">
        <v>185</v>
      </c>
      <c r="F48" t="s">
        <v>91</v>
      </c>
      <c r="G48" t="s">
        <v>31</v>
      </c>
      <c r="H48">
        <v>40</v>
      </c>
      <c r="I48">
        <v>40</v>
      </c>
      <c r="J48">
        <v>40</v>
      </c>
      <c r="K48">
        <v>39</v>
      </c>
      <c r="L48" t="s">
        <v>43</v>
      </c>
      <c r="M48" t="s">
        <v>215</v>
      </c>
      <c r="N48" t="s">
        <v>92</v>
      </c>
      <c r="O48" t="s">
        <v>93</v>
      </c>
      <c r="P48" t="s">
        <v>94</v>
      </c>
      <c r="Q48" t="s">
        <v>43</v>
      </c>
      <c r="R48" t="s">
        <v>95</v>
      </c>
      <c r="S48">
        <v>40</v>
      </c>
      <c r="T48" t="s">
        <v>43</v>
      </c>
      <c r="U48" t="s">
        <v>19</v>
      </c>
      <c r="V48" t="s">
        <v>186</v>
      </c>
      <c r="W48" t="s">
        <v>187</v>
      </c>
      <c r="X48" t="s">
        <v>187</v>
      </c>
      <c r="Y48">
        <v>0.022</v>
      </c>
      <c r="Z48">
        <v>0</v>
      </c>
      <c r="AA48" t="s">
        <v>107</v>
      </c>
      <c r="AB48" t="s">
        <v>42</v>
      </c>
      <c r="AC48" t="s">
        <v>22</v>
      </c>
      <c r="AD48" t="s">
        <v>23</v>
      </c>
      <c r="AE48" t="s">
        <v>24</v>
      </c>
      <c r="AF48" t="str">
        <f t="shared" si="0"/>
        <v>charge-altering-6kiu</v>
      </c>
      <c r="AG48" t="s">
        <v>92</v>
      </c>
      <c r="AH48" t="s">
        <v>31</v>
      </c>
      <c r="AI48" t="str">
        <f t="shared" si="2"/>
        <v>F-R39G</v>
      </c>
    </row>
    <row r="49" spans="1:35">
      <c r="A49" t="s">
        <v>216</v>
      </c>
      <c r="B49" t="s">
        <v>215</v>
      </c>
      <c r="C49" t="s">
        <v>184</v>
      </c>
      <c r="D49" t="s">
        <v>33</v>
      </c>
      <c r="E49" t="s">
        <v>185</v>
      </c>
      <c r="F49" t="s">
        <v>91</v>
      </c>
      <c r="G49" t="s">
        <v>31</v>
      </c>
      <c r="H49">
        <v>40</v>
      </c>
      <c r="I49">
        <v>40</v>
      </c>
      <c r="J49">
        <v>40</v>
      </c>
      <c r="K49">
        <v>39</v>
      </c>
      <c r="L49" t="s">
        <v>43</v>
      </c>
      <c r="M49" t="s">
        <v>215</v>
      </c>
      <c r="N49" t="s">
        <v>92</v>
      </c>
      <c r="O49" t="s">
        <v>93</v>
      </c>
      <c r="P49" t="s">
        <v>94</v>
      </c>
      <c r="Q49" t="s">
        <v>43</v>
      </c>
      <c r="R49" t="s">
        <v>95</v>
      </c>
      <c r="S49">
        <v>40</v>
      </c>
      <c r="T49" t="s">
        <v>43</v>
      </c>
      <c r="U49" t="s">
        <v>17</v>
      </c>
      <c r="V49" t="s">
        <v>189</v>
      </c>
      <c r="W49" t="s">
        <v>190</v>
      </c>
      <c r="X49" t="s">
        <v>190</v>
      </c>
      <c r="Y49">
        <v>0.065</v>
      </c>
      <c r="Z49">
        <v>0</v>
      </c>
      <c r="AA49" t="s">
        <v>107</v>
      </c>
      <c r="AB49" t="s">
        <v>42</v>
      </c>
      <c r="AC49" t="s">
        <v>22</v>
      </c>
      <c r="AD49" t="s">
        <v>23</v>
      </c>
      <c r="AE49" t="s">
        <v>24</v>
      </c>
      <c r="AF49" t="str">
        <f t="shared" si="0"/>
        <v>charge-altering-6kiu</v>
      </c>
      <c r="AG49" t="s">
        <v>92</v>
      </c>
      <c r="AH49" t="s">
        <v>31</v>
      </c>
      <c r="AI49" t="str">
        <f t="shared" si="2"/>
        <v>F-R39C</v>
      </c>
    </row>
    <row r="50" spans="1:35">
      <c r="A50" t="s">
        <v>217</v>
      </c>
      <c r="B50" t="s">
        <v>218</v>
      </c>
      <c r="C50" t="s">
        <v>184</v>
      </c>
      <c r="D50" t="s">
        <v>33</v>
      </c>
      <c r="E50" t="s">
        <v>185</v>
      </c>
      <c r="F50" t="s">
        <v>91</v>
      </c>
      <c r="G50" t="s">
        <v>31</v>
      </c>
      <c r="H50">
        <v>46</v>
      </c>
      <c r="I50">
        <v>46</v>
      </c>
      <c r="J50">
        <v>46</v>
      </c>
      <c r="K50">
        <v>45</v>
      </c>
      <c r="L50" t="s">
        <v>43</v>
      </c>
      <c r="M50" t="s">
        <v>218</v>
      </c>
      <c r="N50" t="s">
        <v>101</v>
      </c>
      <c r="O50" t="s">
        <v>93</v>
      </c>
      <c r="P50" t="s">
        <v>94</v>
      </c>
      <c r="Q50" t="s">
        <v>43</v>
      </c>
      <c r="R50" t="s">
        <v>95</v>
      </c>
      <c r="S50">
        <v>46</v>
      </c>
      <c r="T50" t="s">
        <v>43</v>
      </c>
      <c r="U50" t="s">
        <v>30</v>
      </c>
      <c r="V50" t="s">
        <v>196</v>
      </c>
      <c r="W50" t="s">
        <v>197</v>
      </c>
      <c r="X50" t="s">
        <v>197</v>
      </c>
      <c r="Y50">
        <v>0.077</v>
      </c>
      <c r="Z50">
        <v>0.091694657</v>
      </c>
      <c r="AA50" t="s">
        <v>107</v>
      </c>
      <c r="AB50" t="s">
        <v>42</v>
      </c>
      <c r="AC50" t="s">
        <v>22</v>
      </c>
      <c r="AD50" t="s">
        <v>23</v>
      </c>
      <c r="AE50" t="s">
        <v>24</v>
      </c>
      <c r="AF50" t="str">
        <f t="shared" si="0"/>
        <v>charge-altering-6kiw</v>
      </c>
      <c r="AG50" t="s">
        <v>101</v>
      </c>
      <c r="AH50" t="s">
        <v>31</v>
      </c>
      <c r="AI50" t="str">
        <f t="shared" si="2"/>
        <v>F-R45Q</v>
      </c>
    </row>
    <row r="51" spans="1:35">
      <c r="A51" t="s">
        <v>219</v>
      </c>
      <c r="B51" t="s">
        <v>220</v>
      </c>
      <c r="C51" t="s">
        <v>184</v>
      </c>
      <c r="D51" t="s">
        <v>33</v>
      </c>
      <c r="E51" t="s">
        <v>185</v>
      </c>
      <c r="F51" t="s">
        <v>91</v>
      </c>
      <c r="G51" t="s">
        <v>31</v>
      </c>
      <c r="H51">
        <v>46</v>
      </c>
      <c r="I51">
        <v>46</v>
      </c>
      <c r="J51">
        <v>46</v>
      </c>
      <c r="K51">
        <v>45</v>
      </c>
      <c r="L51" t="s">
        <v>43</v>
      </c>
      <c r="M51" t="s">
        <v>220</v>
      </c>
      <c r="N51" t="s">
        <v>92</v>
      </c>
      <c r="O51" t="s">
        <v>93</v>
      </c>
      <c r="P51" t="s">
        <v>94</v>
      </c>
      <c r="Q51" t="s">
        <v>43</v>
      </c>
      <c r="R51" t="s">
        <v>95</v>
      </c>
      <c r="S51">
        <v>46</v>
      </c>
      <c r="T51" t="s">
        <v>43</v>
      </c>
      <c r="U51" t="s">
        <v>30</v>
      </c>
      <c r="V51" t="s">
        <v>196</v>
      </c>
      <c r="W51" t="s">
        <v>197</v>
      </c>
      <c r="X51" t="s">
        <v>197</v>
      </c>
      <c r="Y51">
        <v>0.196</v>
      </c>
      <c r="Z51">
        <v>0.091694657</v>
      </c>
      <c r="AA51" t="s">
        <v>107</v>
      </c>
      <c r="AB51" t="s">
        <v>42</v>
      </c>
      <c r="AC51" t="s">
        <v>22</v>
      </c>
      <c r="AD51" t="s">
        <v>23</v>
      </c>
      <c r="AE51" t="s">
        <v>24</v>
      </c>
      <c r="AF51" t="str">
        <f t="shared" si="0"/>
        <v>charge-altering-6kiu</v>
      </c>
      <c r="AG51" t="s">
        <v>92</v>
      </c>
      <c r="AH51" t="s">
        <v>31</v>
      </c>
      <c r="AI51" t="str">
        <f t="shared" si="2"/>
        <v>F-R45Q</v>
      </c>
    </row>
    <row r="52" spans="1:35">
      <c r="A52" t="s">
        <v>221</v>
      </c>
      <c r="B52" t="s">
        <v>222</v>
      </c>
      <c r="C52" t="s">
        <v>184</v>
      </c>
      <c r="D52" t="s">
        <v>33</v>
      </c>
      <c r="E52" t="s">
        <v>185</v>
      </c>
      <c r="F52" t="s">
        <v>91</v>
      </c>
      <c r="G52" t="s">
        <v>31</v>
      </c>
      <c r="H52">
        <v>79</v>
      </c>
      <c r="I52">
        <v>79</v>
      </c>
      <c r="J52">
        <v>79</v>
      </c>
      <c r="K52">
        <v>78</v>
      </c>
      <c r="L52" t="s">
        <v>43</v>
      </c>
      <c r="M52" t="s">
        <v>222</v>
      </c>
      <c r="N52" t="s">
        <v>101</v>
      </c>
      <c r="O52" t="s">
        <v>93</v>
      </c>
      <c r="P52" t="s">
        <v>94</v>
      </c>
      <c r="Q52" t="s">
        <v>43</v>
      </c>
      <c r="R52" t="s">
        <v>95</v>
      </c>
      <c r="S52">
        <v>79</v>
      </c>
      <c r="T52" t="s">
        <v>43</v>
      </c>
      <c r="U52" t="s">
        <v>17</v>
      </c>
      <c r="V52" t="s">
        <v>202</v>
      </c>
      <c r="W52" t="s">
        <v>152</v>
      </c>
      <c r="X52" t="s">
        <v>152</v>
      </c>
      <c r="Y52">
        <v>1.014</v>
      </c>
      <c r="Z52">
        <v>0.12987269</v>
      </c>
      <c r="AA52" t="s">
        <v>107</v>
      </c>
      <c r="AB52" t="s">
        <v>42</v>
      </c>
      <c r="AC52" t="s">
        <v>22</v>
      </c>
      <c r="AD52" t="s">
        <v>23</v>
      </c>
      <c r="AE52" t="s">
        <v>24</v>
      </c>
      <c r="AF52" t="str">
        <f t="shared" si="0"/>
        <v>charge-altering-6kiw</v>
      </c>
      <c r="AG52" t="s">
        <v>101</v>
      </c>
      <c r="AH52" t="s">
        <v>31</v>
      </c>
      <c r="AI52" t="str">
        <f t="shared" si="2"/>
        <v>F-R78C</v>
      </c>
    </row>
    <row r="53" spans="1:35">
      <c r="A53" t="s">
        <v>223</v>
      </c>
      <c r="B53" t="s">
        <v>224</v>
      </c>
      <c r="C53" t="s">
        <v>184</v>
      </c>
      <c r="D53" t="s">
        <v>33</v>
      </c>
      <c r="E53" t="s">
        <v>185</v>
      </c>
      <c r="F53" t="s">
        <v>91</v>
      </c>
      <c r="G53" t="s">
        <v>31</v>
      </c>
      <c r="H53">
        <v>79</v>
      </c>
      <c r="I53">
        <v>79</v>
      </c>
      <c r="J53">
        <v>79</v>
      </c>
      <c r="K53">
        <v>78</v>
      </c>
      <c r="L53" t="s">
        <v>43</v>
      </c>
      <c r="M53" t="s">
        <v>224</v>
      </c>
      <c r="N53" t="s">
        <v>92</v>
      </c>
      <c r="O53" t="s">
        <v>93</v>
      </c>
      <c r="P53" t="s">
        <v>94</v>
      </c>
      <c r="Q53" t="s">
        <v>43</v>
      </c>
      <c r="R53" t="s">
        <v>95</v>
      </c>
      <c r="S53">
        <v>79</v>
      </c>
      <c r="T53" t="s">
        <v>43</v>
      </c>
      <c r="U53" t="s">
        <v>17</v>
      </c>
      <c r="V53" t="s">
        <v>202</v>
      </c>
      <c r="W53" t="s">
        <v>152</v>
      </c>
      <c r="X53" t="s">
        <v>152</v>
      </c>
      <c r="Y53">
        <v>1.193</v>
      </c>
      <c r="Z53">
        <v>0.12987269</v>
      </c>
      <c r="AA53" t="s">
        <v>107</v>
      </c>
      <c r="AB53" t="s">
        <v>42</v>
      </c>
      <c r="AC53" t="s">
        <v>22</v>
      </c>
      <c r="AD53" t="s">
        <v>23</v>
      </c>
      <c r="AE53" t="s">
        <v>24</v>
      </c>
      <c r="AF53" t="str">
        <f t="shared" si="0"/>
        <v>charge-altering-6kiu</v>
      </c>
      <c r="AG53" t="s">
        <v>92</v>
      </c>
      <c r="AH53" t="s">
        <v>31</v>
      </c>
      <c r="AI53" t="str">
        <f t="shared" si="2"/>
        <v>F-R78C</v>
      </c>
    </row>
    <row r="54" spans="1:35">
      <c r="A54" t="s">
        <v>225</v>
      </c>
      <c r="B54" t="s">
        <v>226</v>
      </c>
      <c r="C54" t="s">
        <v>184</v>
      </c>
      <c r="D54" t="s">
        <v>33</v>
      </c>
      <c r="E54" t="s">
        <v>185</v>
      </c>
      <c r="F54" t="s">
        <v>91</v>
      </c>
      <c r="G54" t="s">
        <v>31</v>
      </c>
      <c r="H54">
        <v>80</v>
      </c>
      <c r="I54">
        <v>80</v>
      </c>
      <c r="J54">
        <v>80</v>
      </c>
      <c r="K54">
        <v>79</v>
      </c>
      <c r="L54" t="s">
        <v>40</v>
      </c>
      <c r="M54" t="s">
        <v>226</v>
      </c>
      <c r="N54" t="s">
        <v>101</v>
      </c>
      <c r="O54" t="s">
        <v>93</v>
      </c>
      <c r="P54" t="s">
        <v>94</v>
      </c>
      <c r="Q54" t="s">
        <v>40</v>
      </c>
      <c r="R54" t="s">
        <v>95</v>
      </c>
      <c r="S54">
        <v>80</v>
      </c>
      <c r="T54" t="s">
        <v>40</v>
      </c>
      <c r="U54" t="s">
        <v>41</v>
      </c>
      <c r="V54" t="s">
        <v>207</v>
      </c>
      <c r="W54" t="s">
        <v>208</v>
      </c>
      <c r="X54" t="s">
        <v>208</v>
      </c>
      <c r="Y54">
        <v>1.387</v>
      </c>
      <c r="Z54">
        <v>0.272424262</v>
      </c>
      <c r="AA54" t="s">
        <v>95</v>
      </c>
      <c r="AB54" t="s">
        <v>42</v>
      </c>
      <c r="AC54" t="s">
        <v>22</v>
      </c>
      <c r="AD54" t="s">
        <v>23</v>
      </c>
      <c r="AE54" t="s">
        <v>24</v>
      </c>
      <c r="AF54" t="str">
        <f t="shared" si="0"/>
        <v>charge-altering-6kiw</v>
      </c>
      <c r="AG54" t="s">
        <v>101</v>
      </c>
      <c r="AH54" t="s">
        <v>31</v>
      </c>
      <c r="AI54" t="str">
        <f t="shared" si="2"/>
        <v>F-K79N</v>
      </c>
    </row>
    <row r="55" spans="1:35">
      <c r="A55" t="s">
        <v>227</v>
      </c>
      <c r="B55" t="s">
        <v>228</v>
      </c>
      <c r="C55" t="s">
        <v>184</v>
      </c>
      <c r="D55" t="s">
        <v>33</v>
      </c>
      <c r="E55" t="s">
        <v>185</v>
      </c>
      <c r="F55" t="s">
        <v>91</v>
      </c>
      <c r="G55" t="s">
        <v>31</v>
      </c>
      <c r="H55">
        <v>80</v>
      </c>
      <c r="I55">
        <v>80</v>
      </c>
      <c r="J55">
        <v>80</v>
      </c>
      <c r="K55">
        <v>79</v>
      </c>
      <c r="L55" t="s">
        <v>40</v>
      </c>
      <c r="M55" t="s">
        <v>228</v>
      </c>
      <c r="N55" t="s">
        <v>92</v>
      </c>
      <c r="O55" t="s">
        <v>93</v>
      </c>
      <c r="P55" t="s">
        <v>94</v>
      </c>
      <c r="Q55" t="s">
        <v>40</v>
      </c>
      <c r="R55" t="s">
        <v>95</v>
      </c>
      <c r="S55">
        <v>80</v>
      </c>
      <c r="T55" t="s">
        <v>40</v>
      </c>
      <c r="U55" t="s">
        <v>41</v>
      </c>
      <c r="V55" t="s">
        <v>207</v>
      </c>
      <c r="W55" t="s">
        <v>208</v>
      </c>
      <c r="X55" t="s">
        <v>208</v>
      </c>
      <c r="Y55">
        <v>1.459</v>
      </c>
      <c r="Z55">
        <v>0.272424262</v>
      </c>
      <c r="AA55" t="s">
        <v>95</v>
      </c>
      <c r="AB55" t="s">
        <v>42</v>
      </c>
      <c r="AC55" t="s">
        <v>22</v>
      </c>
      <c r="AD55" t="s">
        <v>23</v>
      </c>
      <c r="AE55" t="s">
        <v>24</v>
      </c>
      <c r="AF55" t="str">
        <f t="shared" si="0"/>
        <v>charge-altering-6kiu</v>
      </c>
      <c r="AG55" t="s">
        <v>92</v>
      </c>
      <c r="AH55" t="s">
        <v>31</v>
      </c>
      <c r="AI55" t="str">
        <f t="shared" si="2"/>
        <v>F-K79N</v>
      </c>
    </row>
    <row r="56" spans="1:35">
      <c r="A56" t="s">
        <v>229</v>
      </c>
      <c r="B56" t="s">
        <v>230</v>
      </c>
      <c r="C56" t="s">
        <v>231</v>
      </c>
      <c r="D56" t="s">
        <v>32</v>
      </c>
      <c r="E56" t="s">
        <v>232</v>
      </c>
      <c r="F56" t="s">
        <v>91</v>
      </c>
      <c r="G56" t="s">
        <v>38</v>
      </c>
      <c r="H56">
        <v>117</v>
      </c>
      <c r="I56">
        <v>210</v>
      </c>
      <c r="J56">
        <v>117</v>
      </c>
      <c r="K56">
        <v>116</v>
      </c>
      <c r="L56" t="s">
        <v>43</v>
      </c>
      <c r="M56" t="s">
        <v>230</v>
      </c>
      <c r="N56" t="s">
        <v>101</v>
      </c>
      <c r="O56" t="s">
        <v>93</v>
      </c>
      <c r="P56" t="s">
        <v>94</v>
      </c>
      <c r="Q56" t="s">
        <v>43</v>
      </c>
      <c r="R56" t="s">
        <v>95</v>
      </c>
      <c r="S56">
        <v>117</v>
      </c>
      <c r="T56" t="s">
        <v>43</v>
      </c>
      <c r="U56" t="s">
        <v>30</v>
      </c>
      <c r="V56" t="s">
        <v>233</v>
      </c>
      <c r="W56" t="s">
        <v>234</v>
      </c>
      <c r="X56" t="s">
        <v>234</v>
      </c>
      <c r="Y56">
        <v>2.194</v>
      </c>
      <c r="Z56">
        <v>0.033064373</v>
      </c>
      <c r="AA56" t="s">
        <v>107</v>
      </c>
      <c r="AB56" t="s">
        <v>42</v>
      </c>
      <c r="AC56" t="s">
        <v>22</v>
      </c>
      <c r="AD56" t="s">
        <v>23</v>
      </c>
      <c r="AE56" t="s">
        <v>24</v>
      </c>
      <c r="AF56" t="str">
        <f t="shared" si="0"/>
        <v>charge-altering-6kiw</v>
      </c>
      <c r="AG56" t="s">
        <v>101</v>
      </c>
      <c r="AH56" t="s">
        <v>38</v>
      </c>
      <c r="AI56" t="str">
        <f t="shared" si="2"/>
        <v>A-R116Q</v>
      </c>
    </row>
    <row r="57" spans="1:35">
      <c r="A57" t="s">
        <v>235</v>
      </c>
      <c r="B57" t="s">
        <v>230</v>
      </c>
      <c r="C57" t="s">
        <v>231</v>
      </c>
      <c r="D57" t="s">
        <v>32</v>
      </c>
      <c r="E57" t="s">
        <v>232</v>
      </c>
      <c r="F57" t="s">
        <v>91</v>
      </c>
      <c r="G57" t="s">
        <v>38</v>
      </c>
      <c r="H57">
        <v>117</v>
      </c>
      <c r="I57">
        <v>210</v>
      </c>
      <c r="J57">
        <v>117</v>
      </c>
      <c r="K57">
        <v>116</v>
      </c>
      <c r="L57" t="s">
        <v>43</v>
      </c>
      <c r="M57" t="s">
        <v>230</v>
      </c>
      <c r="N57" t="s">
        <v>101</v>
      </c>
      <c r="O57" t="s">
        <v>93</v>
      </c>
      <c r="P57" t="s">
        <v>94</v>
      </c>
      <c r="Q57" t="s">
        <v>43</v>
      </c>
      <c r="R57" t="s">
        <v>95</v>
      </c>
      <c r="S57">
        <v>117</v>
      </c>
      <c r="T57" t="s">
        <v>43</v>
      </c>
      <c r="U57" t="s">
        <v>58</v>
      </c>
      <c r="V57" t="s">
        <v>236</v>
      </c>
      <c r="W57" t="s">
        <v>237</v>
      </c>
      <c r="X57" t="s">
        <v>237</v>
      </c>
      <c r="Y57">
        <v>2.194</v>
      </c>
      <c r="Z57">
        <v>0.033064373</v>
      </c>
      <c r="AA57" t="s">
        <v>107</v>
      </c>
      <c r="AB57" t="s">
        <v>42</v>
      </c>
      <c r="AC57" t="s">
        <v>22</v>
      </c>
      <c r="AD57" t="s">
        <v>23</v>
      </c>
      <c r="AE57" t="s">
        <v>24</v>
      </c>
      <c r="AF57" t="str">
        <f t="shared" si="0"/>
        <v>charge-altering-6kiw</v>
      </c>
      <c r="AG57" t="s">
        <v>101</v>
      </c>
      <c r="AH57" t="s">
        <v>38</v>
      </c>
      <c r="AI57" t="str">
        <f t="shared" si="2"/>
        <v>A-R116P</v>
      </c>
    </row>
    <row r="58" spans="1:35">
      <c r="A58" t="s">
        <v>238</v>
      </c>
      <c r="B58" t="s">
        <v>239</v>
      </c>
      <c r="C58" t="s">
        <v>231</v>
      </c>
      <c r="D58" t="s">
        <v>32</v>
      </c>
      <c r="E58" t="s">
        <v>232</v>
      </c>
      <c r="F58" t="s">
        <v>91</v>
      </c>
      <c r="G58" t="s">
        <v>38</v>
      </c>
      <c r="H58">
        <v>117</v>
      </c>
      <c r="I58">
        <v>210</v>
      </c>
      <c r="J58">
        <v>117</v>
      </c>
      <c r="K58">
        <v>116</v>
      </c>
      <c r="L58" t="s">
        <v>43</v>
      </c>
      <c r="M58" t="s">
        <v>239</v>
      </c>
      <c r="N58" t="s">
        <v>92</v>
      </c>
      <c r="O58" t="s">
        <v>93</v>
      </c>
      <c r="P58" t="s">
        <v>94</v>
      </c>
      <c r="Q58" t="s">
        <v>43</v>
      </c>
      <c r="R58" t="s">
        <v>95</v>
      </c>
      <c r="S58">
        <v>117</v>
      </c>
      <c r="T58" t="s">
        <v>43</v>
      </c>
      <c r="U58" t="s">
        <v>30</v>
      </c>
      <c r="V58" t="s">
        <v>233</v>
      </c>
      <c r="W58" t="s">
        <v>234</v>
      </c>
      <c r="X58" t="s">
        <v>234</v>
      </c>
      <c r="Y58">
        <v>2.231</v>
      </c>
      <c r="Z58">
        <v>0.033064373</v>
      </c>
      <c r="AA58" t="s">
        <v>107</v>
      </c>
      <c r="AB58" t="s">
        <v>42</v>
      </c>
      <c r="AC58" t="s">
        <v>22</v>
      </c>
      <c r="AD58" t="s">
        <v>23</v>
      </c>
      <c r="AE58" t="s">
        <v>24</v>
      </c>
      <c r="AF58" t="str">
        <f t="shared" si="0"/>
        <v>charge-altering-6kiu</v>
      </c>
      <c r="AG58" t="s">
        <v>92</v>
      </c>
      <c r="AH58" t="s">
        <v>38</v>
      </c>
      <c r="AI58" t="str">
        <f t="shared" si="2"/>
        <v>A-R116Q</v>
      </c>
    </row>
    <row r="59" spans="1:35">
      <c r="A59" t="s">
        <v>240</v>
      </c>
      <c r="B59" t="s">
        <v>239</v>
      </c>
      <c r="C59" t="s">
        <v>231</v>
      </c>
      <c r="D59" t="s">
        <v>32</v>
      </c>
      <c r="E59" t="s">
        <v>232</v>
      </c>
      <c r="F59" t="s">
        <v>91</v>
      </c>
      <c r="G59" t="s">
        <v>38</v>
      </c>
      <c r="H59">
        <v>117</v>
      </c>
      <c r="I59">
        <v>210</v>
      </c>
      <c r="J59">
        <v>117</v>
      </c>
      <c r="K59">
        <v>116</v>
      </c>
      <c r="L59" t="s">
        <v>43</v>
      </c>
      <c r="M59" t="s">
        <v>239</v>
      </c>
      <c r="N59" t="s">
        <v>92</v>
      </c>
      <c r="O59" t="s">
        <v>93</v>
      </c>
      <c r="P59" t="s">
        <v>94</v>
      </c>
      <c r="Q59" t="s">
        <v>43</v>
      </c>
      <c r="R59" t="s">
        <v>95</v>
      </c>
      <c r="S59">
        <v>117</v>
      </c>
      <c r="T59" t="s">
        <v>43</v>
      </c>
      <c r="U59" t="s">
        <v>58</v>
      </c>
      <c r="V59" t="s">
        <v>236</v>
      </c>
      <c r="W59" t="s">
        <v>237</v>
      </c>
      <c r="X59" t="s">
        <v>237</v>
      </c>
      <c r="Y59">
        <v>2.231</v>
      </c>
      <c r="Z59">
        <v>0.033064373</v>
      </c>
      <c r="AA59" t="s">
        <v>107</v>
      </c>
      <c r="AB59" t="s">
        <v>42</v>
      </c>
      <c r="AC59" t="s">
        <v>22</v>
      </c>
      <c r="AD59" t="s">
        <v>23</v>
      </c>
      <c r="AE59" t="s">
        <v>24</v>
      </c>
      <c r="AF59" t="str">
        <f t="shared" si="0"/>
        <v>charge-altering-6kiu</v>
      </c>
      <c r="AG59" t="s">
        <v>92</v>
      </c>
      <c r="AH59" t="s">
        <v>38</v>
      </c>
      <c r="AI59" t="str">
        <f t="shared" si="2"/>
        <v>A-R116P</v>
      </c>
    </row>
    <row r="60" spans="1:35">
      <c r="A60" t="s">
        <v>241</v>
      </c>
      <c r="B60" t="s">
        <v>242</v>
      </c>
      <c r="C60" t="s">
        <v>231</v>
      </c>
      <c r="D60" t="s">
        <v>32</v>
      </c>
      <c r="E60" t="s">
        <v>232</v>
      </c>
      <c r="F60" t="s">
        <v>91</v>
      </c>
      <c r="G60" t="s">
        <v>38</v>
      </c>
      <c r="H60">
        <v>40</v>
      </c>
      <c r="I60">
        <v>130</v>
      </c>
      <c r="J60">
        <v>40</v>
      </c>
      <c r="K60">
        <v>39</v>
      </c>
      <c r="L60" t="s">
        <v>56</v>
      </c>
      <c r="M60" t="s">
        <v>242</v>
      </c>
      <c r="N60" t="s">
        <v>92</v>
      </c>
      <c r="O60" t="s">
        <v>93</v>
      </c>
      <c r="P60" t="s">
        <v>94</v>
      </c>
      <c r="Q60" t="s">
        <v>56</v>
      </c>
      <c r="R60" t="s">
        <v>95</v>
      </c>
      <c r="S60">
        <v>40</v>
      </c>
      <c r="T60" t="s">
        <v>56</v>
      </c>
      <c r="U60" t="s">
        <v>49</v>
      </c>
      <c r="V60" t="s">
        <v>243</v>
      </c>
      <c r="W60" t="s">
        <v>244</v>
      </c>
      <c r="X60" t="s">
        <v>244</v>
      </c>
      <c r="Y60">
        <v>0.883</v>
      </c>
      <c r="Z60">
        <v>0.134381072</v>
      </c>
      <c r="AA60" t="s">
        <v>107</v>
      </c>
      <c r="AB60" t="s">
        <v>42</v>
      </c>
      <c r="AC60" t="s">
        <v>22</v>
      </c>
      <c r="AD60" t="s">
        <v>23</v>
      </c>
      <c r="AE60" t="s">
        <v>24</v>
      </c>
      <c r="AF60" t="str">
        <f t="shared" si="0"/>
        <v>charge-altering-6kiu</v>
      </c>
      <c r="AG60" t="s">
        <v>92</v>
      </c>
      <c r="AH60" t="s">
        <v>38</v>
      </c>
      <c r="AI60" t="str">
        <f t="shared" si="2"/>
        <v>A-H39Y</v>
      </c>
    </row>
    <row r="61" spans="1:35">
      <c r="A61" t="s">
        <v>245</v>
      </c>
      <c r="B61" t="s">
        <v>246</v>
      </c>
      <c r="C61" t="s">
        <v>231</v>
      </c>
      <c r="D61" t="s">
        <v>32</v>
      </c>
      <c r="E61" t="s">
        <v>232</v>
      </c>
      <c r="F61" t="s">
        <v>91</v>
      </c>
      <c r="G61" t="s">
        <v>38</v>
      </c>
      <c r="H61">
        <v>40</v>
      </c>
      <c r="I61">
        <v>130</v>
      </c>
      <c r="J61">
        <v>40</v>
      </c>
      <c r="K61">
        <v>39</v>
      </c>
      <c r="L61" t="s">
        <v>56</v>
      </c>
      <c r="M61" t="s">
        <v>246</v>
      </c>
      <c r="N61" t="s">
        <v>101</v>
      </c>
      <c r="O61" t="s">
        <v>93</v>
      </c>
      <c r="P61" t="s">
        <v>94</v>
      </c>
      <c r="Q61" t="s">
        <v>56</v>
      </c>
      <c r="R61" t="s">
        <v>95</v>
      </c>
      <c r="S61">
        <v>40</v>
      </c>
      <c r="T61" t="s">
        <v>56</v>
      </c>
      <c r="U61" t="s">
        <v>49</v>
      </c>
      <c r="V61" t="s">
        <v>243</v>
      </c>
      <c r="W61" t="s">
        <v>244</v>
      </c>
      <c r="X61" t="s">
        <v>244</v>
      </c>
      <c r="Y61">
        <v>0.834</v>
      </c>
      <c r="Z61">
        <v>0.134381072</v>
      </c>
      <c r="AA61" t="s">
        <v>107</v>
      </c>
      <c r="AB61" t="s">
        <v>42</v>
      </c>
      <c r="AC61" t="s">
        <v>22</v>
      </c>
      <c r="AD61" t="s">
        <v>23</v>
      </c>
      <c r="AE61" t="s">
        <v>24</v>
      </c>
      <c r="AF61" t="str">
        <f t="shared" si="0"/>
        <v>charge-altering-6kiw</v>
      </c>
      <c r="AG61" t="s">
        <v>101</v>
      </c>
      <c r="AH61" t="s">
        <v>38</v>
      </c>
      <c r="AI61" t="str">
        <f t="shared" si="2"/>
        <v>A-H39Y</v>
      </c>
    </row>
    <row r="62" spans="1:35">
      <c r="A62" t="s">
        <v>247</v>
      </c>
      <c r="B62" t="s">
        <v>248</v>
      </c>
      <c r="C62" t="s">
        <v>231</v>
      </c>
      <c r="D62" t="s">
        <v>32</v>
      </c>
      <c r="E62" t="s">
        <v>232</v>
      </c>
      <c r="F62" t="s">
        <v>91</v>
      </c>
      <c r="G62" t="s">
        <v>38</v>
      </c>
      <c r="H62">
        <v>41</v>
      </c>
      <c r="I62">
        <v>131</v>
      </c>
      <c r="J62">
        <v>41</v>
      </c>
      <c r="K62">
        <v>40</v>
      </c>
      <c r="L62" t="s">
        <v>43</v>
      </c>
      <c r="M62" t="s">
        <v>248</v>
      </c>
      <c r="N62" t="s">
        <v>101</v>
      </c>
      <c r="O62" t="s">
        <v>93</v>
      </c>
      <c r="P62" t="s">
        <v>94</v>
      </c>
      <c r="Q62" t="s">
        <v>43</v>
      </c>
      <c r="R62" t="s">
        <v>95</v>
      </c>
      <c r="S62">
        <v>41</v>
      </c>
      <c r="T62" t="s">
        <v>43</v>
      </c>
      <c r="U62" t="s">
        <v>19</v>
      </c>
      <c r="V62" t="s">
        <v>249</v>
      </c>
      <c r="W62" t="s">
        <v>186</v>
      </c>
      <c r="X62" t="s">
        <v>186</v>
      </c>
      <c r="Y62">
        <v>1.29</v>
      </c>
      <c r="Z62">
        <v>0.276406078</v>
      </c>
      <c r="AA62" t="s">
        <v>95</v>
      </c>
      <c r="AB62" t="s">
        <v>42</v>
      </c>
      <c r="AC62" t="s">
        <v>22</v>
      </c>
      <c r="AD62" t="s">
        <v>23</v>
      </c>
      <c r="AE62" t="s">
        <v>24</v>
      </c>
      <c r="AF62" t="str">
        <f t="shared" si="0"/>
        <v>charge-altering-6kiw</v>
      </c>
      <c r="AG62" t="s">
        <v>101</v>
      </c>
      <c r="AH62" t="s">
        <v>38</v>
      </c>
      <c r="AI62" t="str">
        <f t="shared" si="2"/>
        <v>A-R40G</v>
      </c>
    </row>
    <row r="63" spans="1:35">
      <c r="A63" t="s">
        <v>250</v>
      </c>
      <c r="B63" t="s">
        <v>248</v>
      </c>
      <c r="C63" t="s">
        <v>231</v>
      </c>
      <c r="D63" t="s">
        <v>32</v>
      </c>
      <c r="E63" t="s">
        <v>232</v>
      </c>
      <c r="F63" t="s">
        <v>91</v>
      </c>
      <c r="G63" t="s">
        <v>38</v>
      </c>
      <c r="H63">
        <v>41</v>
      </c>
      <c r="I63">
        <v>131</v>
      </c>
      <c r="J63">
        <v>41</v>
      </c>
      <c r="K63">
        <v>40</v>
      </c>
      <c r="L63" t="s">
        <v>43</v>
      </c>
      <c r="M63" t="s">
        <v>248</v>
      </c>
      <c r="N63" t="s">
        <v>101</v>
      </c>
      <c r="O63" t="s">
        <v>93</v>
      </c>
      <c r="P63" t="s">
        <v>94</v>
      </c>
      <c r="Q63" t="s">
        <v>43</v>
      </c>
      <c r="R63" t="s">
        <v>95</v>
      </c>
      <c r="S63">
        <v>41</v>
      </c>
      <c r="T63" t="s">
        <v>43</v>
      </c>
      <c r="U63" t="s">
        <v>17</v>
      </c>
      <c r="V63" t="s">
        <v>251</v>
      </c>
      <c r="W63" t="s">
        <v>189</v>
      </c>
      <c r="X63" t="s">
        <v>189</v>
      </c>
      <c r="Y63">
        <v>1.289</v>
      </c>
      <c r="Z63">
        <v>0.276406078</v>
      </c>
      <c r="AA63" t="s">
        <v>95</v>
      </c>
      <c r="AB63" t="s">
        <v>42</v>
      </c>
      <c r="AC63" t="s">
        <v>22</v>
      </c>
      <c r="AD63" t="s">
        <v>23</v>
      </c>
      <c r="AE63" t="s">
        <v>24</v>
      </c>
      <c r="AF63" t="str">
        <f t="shared" si="0"/>
        <v>charge-altering-6kiw</v>
      </c>
      <c r="AG63" t="s">
        <v>101</v>
      </c>
      <c r="AH63" t="s">
        <v>38</v>
      </c>
      <c r="AI63" t="str">
        <f t="shared" ref="AI63:AI126" si="3">D63&amp;"-"&amp;X63</f>
        <v>A-R40C</v>
      </c>
    </row>
    <row r="64" spans="1:35">
      <c r="A64" t="s">
        <v>252</v>
      </c>
      <c r="B64" t="s">
        <v>253</v>
      </c>
      <c r="C64" t="s">
        <v>231</v>
      </c>
      <c r="D64" t="s">
        <v>32</v>
      </c>
      <c r="E64" t="s">
        <v>232</v>
      </c>
      <c r="F64" t="s">
        <v>91</v>
      </c>
      <c r="G64" t="s">
        <v>38</v>
      </c>
      <c r="H64">
        <v>41</v>
      </c>
      <c r="I64">
        <v>131</v>
      </c>
      <c r="J64">
        <v>41</v>
      </c>
      <c r="K64">
        <v>40</v>
      </c>
      <c r="L64" t="s">
        <v>43</v>
      </c>
      <c r="M64" t="s">
        <v>253</v>
      </c>
      <c r="N64" t="s">
        <v>92</v>
      </c>
      <c r="O64" t="s">
        <v>93</v>
      </c>
      <c r="P64" t="s">
        <v>94</v>
      </c>
      <c r="Q64" t="s">
        <v>43</v>
      </c>
      <c r="R64" t="s">
        <v>95</v>
      </c>
      <c r="S64">
        <v>41</v>
      </c>
      <c r="T64" t="s">
        <v>43</v>
      </c>
      <c r="U64" t="s">
        <v>19</v>
      </c>
      <c r="V64" t="s">
        <v>249</v>
      </c>
      <c r="W64" t="s">
        <v>186</v>
      </c>
      <c r="X64" t="s">
        <v>186</v>
      </c>
      <c r="Y64">
        <v>1.4</v>
      </c>
      <c r="Z64">
        <v>0.276406078</v>
      </c>
      <c r="AA64" t="s">
        <v>95</v>
      </c>
      <c r="AB64" t="s">
        <v>42</v>
      </c>
      <c r="AC64" t="s">
        <v>22</v>
      </c>
      <c r="AD64" t="s">
        <v>23</v>
      </c>
      <c r="AE64" t="s">
        <v>24</v>
      </c>
      <c r="AF64" t="str">
        <f t="shared" si="0"/>
        <v>charge-altering-6kiu</v>
      </c>
      <c r="AG64" t="s">
        <v>92</v>
      </c>
      <c r="AH64" t="s">
        <v>38</v>
      </c>
      <c r="AI64" t="str">
        <f t="shared" si="3"/>
        <v>A-R40G</v>
      </c>
    </row>
    <row r="65" spans="1:35">
      <c r="A65" t="s">
        <v>254</v>
      </c>
      <c r="B65" t="s">
        <v>253</v>
      </c>
      <c r="C65" t="s">
        <v>231</v>
      </c>
      <c r="D65" t="s">
        <v>32</v>
      </c>
      <c r="E65" t="s">
        <v>232</v>
      </c>
      <c r="F65" t="s">
        <v>91</v>
      </c>
      <c r="G65" t="s">
        <v>38</v>
      </c>
      <c r="H65">
        <v>41</v>
      </c>
      <c r="I65">
        <v>131</v>
      </c>
      <c r="J65">
        <v>41</v>
      </c>
      <c r="K65">
        <v>40</v>
      </c>
      <c r="L65" t="s">
        <v>43</v>
      </c>
      <c r="M65" t="s">
        <v>253</v>
      </c>
      <c r="N65" t="s">
        <v>92</v>
      </c>
      <c r="O65" t="s">
        <v>93</v>
      </c>
      <c r="P65" t="s">
        <v>94</v>
      </c>
      <c r="Q65" t="s">
        <v>43</v>
      </c>
      <c r="R65" t="s">
        <v>95</v>
      </c>
      <c r="S65">
        <v>41</v>
      </c>
      <c r="T65" t="s">
        <v>43</v>
      </c>
      <c r="U65" t="s">
        <v>17</v>
      </c>
      <c r="V65" t="s">
        <v>251</v>
      </c>
      <c r="W65" t="s">
        <v>189</v>
      </c>
      <c r="X65" t="s">
        <v>189</v>
      </c>
      <c r="Y65">
        <v>1.394</v>
      </c>
      <c r="Z65">
        <v>0.276406078</v>
      </c>
      <c r="AA65" t="s">
        <v>95</v>
      </c>
      <c r="AB65" t="s">
        <v>42</v>
      </c>
      <c r="AC65" t="s">
        <v>22</v>
      </c>
      <c r="AD65" t="s">
        <v>23</v>
      </c>
      <c r="AE65" t="s">
        <v>24</v>
      </c>
      <c r="AF65" t="str">
        <f t="shared" si="0"/>
        <v>charge-altering-6kiu</v>
      </c>
      <c r="AG65" t="s">
        <v>92</v>
      </c>
      <c r="AH65" t="s">
        <v>38</v>
      </c>
      <c r="AI65" t="str">
        <f t="shared" si="3"/>
        <v>A-R40C</v>
      </c>
    </row>
    <row r="66" spans="1:35">
      <c r="A66" t="s">
        <v>255</v>
      </c>
      <c r="B66" t="s">
        <v>256</v>
      </c>
      <c r="C66" t="s">
        <v>231</v>
      </c>
      <c r="D66" t="s">
        <v>32</v>
      </c>
      <c r="E66" t="s">
        <v>232</v>
      </c>
      <c r="F66" t="s">
        <v>91</v>
      </c>
      <c r="G66" t="s">
        <v>38</v>
      </c>
      <c r="H66">
        <v>43</v>
      </c>
      <c r="I66">
        <v>133</v>
      </c>
      <c r="J66">
        <v>43</v>
      </c>
      <c r="K66">
        <v>42</v>
      </c>
      <c r="L66" t="s">
        <v>43</v>
      </c>
      <c r="M66" t="s">
        <v>256</v>
      </c>
      <c r="N66" t="s">
        <v>101</v>
      </c>
      <c r="O66" t="s">
        <v>93</v>
      </c>
      <c r="P66" t="s">
        <v>94</v>
      </c>
      <c r="Q66" t="s">
        <v>43</v>
      </c>
      <c r="R66" t="s">
        <v>95</v>
      </c>
      <c r="S66">
        <v>43</v>
      </c>
      <c r="T66" t="s">
        <v>43</v>
      </c>
      <c r="U66" t="s">
        <v>17</v>
      </c>
      <c r="V66" t="s">
        <v>257</v>
      </c>
      <c r="W66" t="s">
        <v>258</v>
      </c>
      <c r="X66" t="s">
        <v>258</v>
      </c>
      <c r="Y66">
        <v>0.747</v>
      </c>
      <c r="Z66">
        <v>0.260405709</v>
      </c>
      <c r="AA66" t="s">
        <v>95</v>
      </c>
      <c r="AB66" t="s">
        <v>42</v>
      </c>
      <c r="AC66" t="s">
        <v>22</v>
      </c>
      <c r="AD66" t="s">
        <v>23</v>
      </c>
      <c r="AE66" t="s">
        <v>24</v>
      </c>
      <c r="AF66" t="str">
        <f t="shared" ref="AF66:AF129" si="4">AE66&amp;"-"&amp;N66</f>
        <v>charge-altering-6kiw</v>
      </c>
      <c r="AG66" t="s">
        <v>101</v>
      </c>
      <c r="AH66" t="s">
        <v>38</v>
      </c>
      <c r="AI66" t="str">
        <f t="shared" si="3"/>
        <v>A-R42C</v>
      </c>
    </row>
    <row r="67" spans="1:35">
      <c r="A67" t="s">
        <v>259</v>
      </c>
      <c r="B67" t="s">
        <v>260</v>
      </c>
      <c r="C67" t="s">
        <v>231</v>
      </c>
      <c r="D67" t="s">
        <v>32</v>
      </c>
      <c r="E67" t="s">
        <v>232</v>
      </c>
      <c r="F67" t="s">
        <v>91</v>
      </c>
      <c r="G67" t="s">
        <v>38</v>
      </c>
      <c r="H67">
        <v>43</v>
      </c>
      <c r="I67">
        <v>133</v>
      </c>
      <c r="J67">
        <v>43</v>
      </c>
      <c r="K67">
        <v>42</v>
      </c>
      <c r="L67" t="s">
        <v>43</v>
      </c>
      <c r="M67" t="s">
        <v>260</v>
      </c>
      <c r="N67" t="s">
        <v>92</v>
      </c>
      <c r="O67" t="s">
        <v>93</v>
      </c>
      <c r="P67" t="s">
        <v>94</v>
      </c>
      <c r="Q67" t="s">
        <v>43</v>
      </c>
      <c r="R67" t="s">
        <v>95</v>
      </c>
      <c r="S67">
        <v>43</v>
      </c>
      <c r="T67" t="s">
        <v>43</v>
      </c>
      <c r="U67" t="s">
        <v>17</v>
      </c>
      <c r="V67" t="s">
        <v>257</v>
      </c>
      <c r="W67" t="s">
        <v>258</v>
      </c>
      <c r="X67" t="s">
        <v>258</v>
      </c>
      <c r="Y67">
        <v>0.789</v>
      </c>
      <c r="Z67">
        <v>0.260405709</v>
      </c>
      <c r="AA67" t="s">
        <v>95</v>
      </c>
      <c r="AB67" t="s">
        <v>42</v>
      </c>
      <c r="AC67" t="s">
        <v>22</v>
      </c>
      <c r="AD67" t="s">
        <v>23</v>
      </c>
      <c r="AE67" t="s">
        <v>24</v>
      </c>
      <c r="AF67" t="str">
        <f t="shared" si="4"/>
        <v>charge-altering-6kiu</v>
      </c>
      <c r="AG67" t="s">
        <v>92</v>
      </c>
      <c r="AH67" t="s">
        <v>38</v>
      </c>
      <c r="AI67" t="str">
        <f t="shared" si="3"/>
        <v>A-R42C</v>
      </c>
    </row>
    <row r="68" spans="1:35">
      <c r="A68" t="s">
        <v>261</v>
      </c>
      <c r="B68" t="s">
        <v>262</v>
      </c>
      <c r="C68" t="s">
        <v>231</v>
      </c>
      <c r="D68" t="s">
        <v>32</v>
      </c>
      <c r="E68" t="s">
        <v>232</v>
      </c>
      <c r="F68" t="s">
        <v>91</v>
      </c>
      <c r="G68" t="s">
        <v>38</v>
      </c>
      <c r="H68">
        <v>65</v>
      </c>
      <c r="I68">
        <v>155</v>
      </c>
      <c r="J68">
        <v>65</v>
      </c>
      <c r="K68">
        <v>64</v>
      </c>
      <c r="L68" t="s">
        <v>40</v>
      </c>
      <c r="M68" t="s">
        <v>262</v>
      </c>
      <c r="N68" t="s">
        <v>92</v>
      </c>
      <c r="O68" t="s">
        <v>93</v>
      </c>
      <c r="P68" t="s">
        <v>94</v>
      </c>
      <c r="Q68" t="s">
        <v>40</v>
      </c>
      <c r="R68" t="s">
        <v>95</v>
      </c>
      <c r="S68">
        <v>65</v>
      </c>
      <c r="T68" t="s">
        <v>40</v>
      </c>
      <c r="U68" t="s">
        <v>47</v>
      </c>
      <c r="V68" t="s">
        <v>263</v>
      </c>
      <c r="W68" t="s">
        <v>264</v>
      </c>
      <c r="X68" t="s">
        <v>264</v>
      </c>
      <c r="Y68">
        <v>1.031</v>
      </c>
      <c r="Z68">
        <v>0.29033928</v>
      </c>
      <c r="AA68" t="s">
        <v>95</v>
      </c>
      <c r="AB68" t="s">
        <v>42</v>
      </c>
      <c r="AC68" t="s">
        <v>22</v>
      </c>
      <c r="AD68" t="s">
        <v>23</v>
      </c>
      <c r="AE68" t="s">
        <v>24</v>
      </c>
      <c r="AF68" t="str">
        <f t="shared" si="4"/>
        <v>charge-altering-6kiu</v>
      </c>
      <c r="AG68" t="s">
        <v>92</v>
      </c>
      <c r="AH68" t="s">
        <v>38</v>
      </c>
      <c r="AI68" t="str">
        <f t="shared" si="3"/>
        <v>A-K64T</v>
      </c>
    </row>
    <row r="69" spans="1:35">
      <c r="A69" t="s">
        <v>265</v>
      </c>
      <c r="B69" t="s">
        <v>266</v>
      </c>
      <c r="C69" t="s">
        <v>231</v>
      </c>
      <c r="D69" t="s">
        <v>32</v>
      </c>
      <c r="E69" t="s">
        <v>232</v>
      </c>
      <c r="F69" t="s">
        <v>91</v>
      </c>
      <c r="G69" t="s">
        <v>38</v>
      </c>
      <c r="H69">
        <v>65</v>
      </c>
      <c r="I69">
        <v>155</v>
      </c>
      <c r="J69">
        <v>65</v>
      </c>
      <c r="K69">
        <v>64</v>
      </c>
      <c r="L69" t="s">
        <v>40</v>
      </c>
      <c r="M69" t="s">
        <v>266</v>
      </c>
      <c r="N69" t="s">
        <v>101</v>
      </c>
      <c r="O69" t="s">
        <v>93</v>
      </c>
      <c r="P69" t="s">
        <v>94</v>
      </c>
      <c r="Q69" t="s">
        <v>40</v>
      </c>
      <c r="R69" t="s">
        <v>95</v>
      </c>
      <c r="S69">
        <v>65</v>
      </c>
      <c r="T69" t="s">
        <v>40</v>
      </c>
      <c r="U69" t="s">
        <v>47</v>
      </c>
      <c r="V69" t="s">
        <v>263</v>
      </c>
      <c r="W69" t="s">
        <v>264</v>
      </c>
      <c r="X69" t="s">
        <v>264</v>
      </c>
      <c r="Y69">
        <v>0.99</v>
      </c>
      <c r="Z69">
        <v>0.29033928</v>
      </c>
      <c r="AA69" t="s">
        <v>95</v>
      </c>
      <c r="AB69" t="s">
        <v>42</v>
      </c>
      <c r="AC69" t="s">
        <v>22</v>
      </c>
      <c r="AD69" t="s">
        <v>23</v>
      </c>
      <c r="AE69" t="s">
        <v>24</v>
      </c>
      <c r="AF69" t="str">
        <f t="shared" si="4"/>
        <v>charge-altering-6kiw</v>
      </c>
      <c r="AG69" t="s">
        <v>101</v>
      </c>
      <c r="AH69" t="s">
        <v>38</v>
      </c>
      <c r="AI69" t="str">
        <f t="shared" si="3"/>
        <v>A-K64T</v>
      </c>
    </row>
    <row r="70" spans="1:35">
      <c r="A70" t="s">
        <v>267</v>
      </c>
      <c r="B70" t="s">
        <v>268</v>
      </c>
      <c r="C70" t="s">
        <v>231</v>
      </c>
      <c r="D70" t="s">
        <v>32</v>
      </c>
      <c r="E70" t="s">
        <v>232</v>
      </c>
      <c r="F70" t="s">
        <v>91</v>
      </c>
      <c r="G70" t="s">
        <v>38</v>
      </c>
      <c r="H70">
        <v>73</v>
      </c>
      <c r="I70">
        <v>163</v>
      </c>
      <c r="J70">
        <v>73</v>
      </c>
      <c r="K70">
        <v>72</v>
      </c>
      <c r="L70" t="s">
        <v>43</v>
      </c>
      <c r="M70" t="s">
        <v>268</v>
      </c>
      <c r="N70" t="s">
        <v>101</v>
      </c>
      <c r="O70" t="s">
        <v>93</v>
      </c>
      <c r="P70" t="s">
        <v>94</v>
      </c>
      <c r="Q70" t="s">
        <v>43</v>
      </c>
      <c r="R70" t="s">
        <v>95</v>
      </c>
      <c r="S70">
        <v>73</v>
      </c>
      <c r="T70" t="s">
        <v>43</v>
      </c>
      <c r="U70" t="s">
        <v>58</v>
      </c>
      <c r="V70" t="s">
        <v>269</v>
      </c>
      <c r="W70" t="s">
        <v>270</v>
      </c>
      <c r="X70" t="s">
        <v>270</v>
      </c>
      <c r="Y70">
        <v>0.262</v>
      </c>
      <c r="Z70">
        <v>0.221293323</v>
      </c>
      <c r="AA70" t="s">
        <v>95</v>
      </c>
      <c r="AB70" t="s">
        <v>42</v>
      </c>
      <c r="AC70" t="s">
        <v>22</v>
      </c>
      <c r="AD70" t="s">
        <v>23</v>
      </c>
      <c r="AE70" t="s">
        <v>24</v>
      </c>
      <c r="AF70" t="str">
        <f t="shared" si="4"/>
        <v>charge-altering-6kiw</v>
      </c>
      <c r="AG70" t="s">
        <v>101</v>
      </c>
      <c r="AH70" t="s">
        <v>38</v>
      </c>
      <c r="AI70" t="str">
        <f t="shared" si="3"/>
        <v>A-R72P</v>
      </c>
    </row>
    <row r="71" spans="1:35">
      <c r="A71" t="s">
        <v>271</v>
      </c>
      <c r="B71" t="s">
        <v>268</v>
      </c>
      <c r="C71" t="s">
        <v>231</v>
      </c>
      <c r="D71" t="s">
        <v>32</v>
      </c>
      <c r="E71" t="s">
        <v>232</v>
      </c>
      <c r="F71" t="s">
        <v>91</v>
      </c>
      <c r="G71" t="s">
        <v>38</v>
      </c>
      <c r="H71">
        <v>73</v>
      </c>
      <c r="I71">
        <v>163</v>
      </c>
      <c r="J71">
        <v>73</v>
      </c>
      <c r="K71">
        <v>72</v>
      </c>
      <c r="L71" t="s">
        <v>43</v>
      </c>
      <c r="M71" t="s">
        <v>268</v>
      </c>
      <c r="N71" t="s">
        <v>101</v>
      </c>
      <c r="O71" t="s">
        <v>93</v>
      </c>
      <c r="P71" t="s">
        <v>94</v>
      </c>
      <c r="Q71" t="s">
        <v>43</v>
      </c>
      <c r="R71" t="s">
        <v>95</v>
      </c>
      <c r="S71">
        <v>73</v>
      </c>
      <c r="T71" t="s">
        <v>43</v>
      </c>
      <c r="U71" t="s">
        <v>30</v>
      </c>
      <c r="V71" t="s">
        <v>272</v>
      </c>
      <c r="W71" t="s">
        <v>273</v>
      </c>
      <c r="X71" t="s">
        <v>273</v>
      </c>
      <c r="Y71">
        <v>0.262</v>
      </c>
      <c r="Z71">
        <v>0.221293323</v>
      </c>
      <c r="AA71" t="s">
        <v>95</v>
      </c>
      <c r="AB71" t="s">
        <v>42</v>
      </c>
      <c r="AC71" t="s">
        <v>22</v>
      </c>
      <c r="AD71" t="s">
        <v>23</v>
      </c>
      <c r="AE71" t="s">
        <v>24</v>
      </c>
      <c r="AF71" t="str">
        <f t="shared" si="4"/>
        <v>charge-altering-6kiw</v>
      </c>
      <c r="AG71" t="s">
        <v>101</v>
      </c>
      <c r="AH71" t="s">
        <v>38</v>
      </c>
      <c r="AI71" t="str">
        <f t="shared" si="3"/>
        <v>A-R72Q</v>
      </c>
    </row>
    <row r="72" spans="1:35">
      <c r="A72" t="s">
        <v>274</v>
      </c>
      <c r="B72" t="s">
        <v>275</v>
      </c>
      <c r="C72" t="s">
        <v>231</v>
      </c>
      <c r="D72" t="s">
        <v>32</v>
      </c>
      <c r="E72" t="s">
        <v>232</v>
      </c>
      <c r="F72" t="s">
        <v>91</v>
      </c>
      <c r="G72" t="s">
        <v>38</v>
      </c>
      <c r="H72">
        <v>73</v>
      </c>
      <c r="I72">
        <v>163</v>
      </c>
      <c r="J72">
        <v>73</v>
      </c>
      <c r="K72">
        <v>72</v>
      </c>
      <c r="L72" t="s">
        <v>43</v>
      </c>
      <c r="M72" t="s">
        <v>275</v>
      </c>
      <c r="N72" t="s">
        <v>92</v>
      </c>
      <c r="O72" t="s">
        <v>93</v>
      </c>
      <c r="P72" t="s">
        <v>94</v>
      </c>
      <c r="Q72" t="s">
        <v>43</v>
      </c>
      <c r="R72" t="s">
        <v>95</v>
      </c>
      <c r="S72">
        <v>73</v>
      </c>
      <c r="T72" t="s">
        <v>43</v>
      </c>
      <c r="U72" t="s">
        <v>58</v>
      </c>
      <c r="V72" t="s">
        <v>269</v>
      </c>
      <c r="W72" t="s">
        <v>270</v>
      </c>
      <c r="X72" t="s">
        <v>270</v>
      </c>
      <c r="Y72">
        <v>0.237</v>
      </c>
      <c r="Z72">
        <v>0.221293323</v>
      </c>
      <c r="AA72" t="s">
        <v>95</v>
      </c>
      <c r="AB72" t="s">
        <v>42</v>
      </c>
      <c r="AC72" t="s">
        <v>22</v>
      </c>
      <c r="AD72" t="s">
        <v>23</v>
      </c>
      <c r="AE72" t="s">
        <v>24</v>
      </c>
      <c r="AF72" t="str">
        <f t="shared" si="4"/>
        <v>charge-altering-6kiu</v>
      </c>
      <c r="AG72" t="s">
        <v>92</v>
      </c>
      <c r="AH72" t="s">
        <v>38</v>
      </c>
      <c r="AI72" t="str">
        <f t="shared" si="3"/>
        <v>A-R72P</v>
      </c>
    </row>
    <row r="73" spans="1:35">
      <c r="A73" t="s">
        <v>276</v>
      </c>
      <c r="B73" t="s">
        <v>275</v>
      </c>
      <c r="C73" t="s">
        <v>231</v>
      </c>
      <c r="D73" t="s">
        <v>32</v>
      </c>
      <c r="E73" t="s">
        <v>232</v>
      </c>
      <c r="F73" t="s">
        <v>91</v>
      </c>
      <c r="G73" t="s">
        <v>38</v>
      </c>
      <c r="H73">
        <v>73</v>
      </c>
      <c r="I73">
        <v>163</v>
      </c>
      <c r="J73">
        <v>73</v>
      </c>
      <c r="K73">
        <v>72</v>
      </c>
      <c r="L73" t="s">
        <v>43</v>
      </c>
      <c r="M73" t="s">
        <v>275</v>
      </c>
      <c r="N73" t="s">
        <v>92</v>
      </c>
      <c r="O73" t="s">
        <v>93</v>
      </c>
      <c r="P73" t="s">
        <v>94</v>
      </c>
      <c r="Q73" t="s">
        <v>43</v>
      </c>
      <c r="R73" t="s">
        <v>95</v>
      </c>
      <c r="S73">
        <v>73</v>
      </c>
      <c r="T73" t="s">
        <v>43</v>
      </c>
      <c r="U73" t="s">
        <v>30</v>
      </c>
      <c r="V73" t="s">
        <v>272</v>
      </c>
      <c r="W73" t="s">
        <v>273</v>
      </c>
      <c r="X73" t="s">
        <v>273</v>
      </c>
      <c r="Y73">
        <v>0.237</v>
      </c>
      <c r="Z73">
        <v>0.221293323</v>
      </c>
      <c r="AA73" t="s">
        <v>95</v>
      </c>
      <c r="AB73" t="s">
        <v>42</v>
      </c>
      <c r="AC73" t="s">
        <v>22</v>
      </c>
      <c r="AD73" t="s">
        <v>23</v>
      </c>
      <c r="AE73" t="s">
        <v>24</v>
      </c>
      <c r="AF73" t="str">
        <f t="shared" si="4"/>
        <v>charge-altering-6kiu</v>
      </c>
      <c r="AG73" t="s">
        <v>92</v>
      </c>
      <c r="AH73" t="s">
        <v>38</v>
      </c>
      <c r="AI73" t="str">
        <f t="shared" si="3"/>
        <v>A-R72Q</v>
      </c>
    </row>
    <row r="74" spans="1:35">
      <c r="A74" t="s">
        <v>277</v>
      </c>
      <c r="B74" t="s">
        <v>278</v>
      </c>
      <c r="C74" t="s">
        <v>231</v>
      </c>
      <c r="D74" t="s">
        <v>32</v>
      </c>
      <c r="E74" t="s">
        <v>232</v>
      </c>
      <c r="F74" t="s">
        <v>91</v>
      </c>
      <c r="G74" t="s">
        <v>38</v>
      </c>
      <c r="H74">
        <v>82</v>
      </c>
      <c r="I74">
        <v>175</v>
      </c>
      <c r="J74">
        <v>82</v>
      </c>
      <c r="K74">
        <v>81</v>
      </c>
      <c r="L74" t="s">
        <v>18</v>
      </c>
      <c r="M74" t="s">
        <v>278</v>
      </c>
      <c r="N74" t="s">
        <v>92</v>
      </c>
      <c r="O74" t="s">
        <v>93</v>
      </c>
      <c r="P74" t="s">
        <v>94</v>
      </c>
      <c r="Q74" t="s">
        <v>18</v>
      </c>
      <c r="R74" t="s">
        <v>95</v>
      </c>
      <c r="S74">
        <v>82</v>
      </c>
      <c r="T74" t="s">
        <v>18</v>
      </c>
      <c r="U74" t="s">
        <v>41</v>
      </c>
      <c r="V74" t="s">
        <v>279</v>
      </c>
      <c r="W74" t="s">
        <v>280</v>
      </c>
      <c r="X74" t="s">
        <v>280</v>
      </c>
      <c r="Y74">
        <v>0.067</v>
      </c>
      <c r="Z74">
        <v>0.424294857</v>
      </c>
      <c r="AA74" t="s">
        <v>95</v>
      </c>
      <c r="AB74" t="s">
        <v>21</v>
      </c>
      <c r="AC74" t="s">
        <v>22</v>
      </c>
      <c r="AD74" t="s">
        <v>23</v>
      </c>
      <c r="AE74" t="s">
        <v>24</v>
      </c>
      <c r="AF74" t="str">
        <f t="shared" si="4"/>
        <v>charge-altering-6kiu</v>
      </c>
      <c r="AG74" t="s">
        <v>92</v>
      </c>
      <c r="AH74" t="s">
        <v>38</v>
      </c>
      <c r="AI74" t="str">
        <f t="shared" si="3"/>
        <v>A-D81N</v>
      </c>
    </row>
    <row r="75" spans="1:35">
      <c r="A75" t="s">
        <v>281</v>
      </c>
      <c r="B75" t="s">
        <v>282</v>
      </c>
      <c r="C75" t="s">
        <v>231</v>
      </c>
      <c r="D75" t="s">
        <v>32</v>
      </c>
      <c r="E75" t="s">
        <v>232</v>
      </c>
      <c r="F75" t="s">
        <v>91</v>
      </c>
      <c r="G75" t="s">
        <v>38</v>
      </c>
      <c r="H75">
        <v>82</v>
      </c>
      <c r="I75">
        <v>175</v>
      </c>
      <c r="J75">
        <v>82</v>
      </c>
      <c r="K75">
        <v>81</v>
      </c>
      <c r="L75" t="s">
        <v>18</v>
      </c>
      <c r="M75" t="s">
        <v>282</v>
      </c>
      <c r="N75" t="s">
        <v>101</v>
      </c>
      <c r="O75" t="s">
        <v>93</v>
      </c>
      <c r="P75" t="s">
        <v>94</v>
      </c>
      <c r="Q75" t="s">
        <v>18</v>
      </c>
      <c r="R75" t="s">
        <v>95</v>
      </c>
      <c r="S75">
        <v>82</v>
      </c>
      <c r="T75" t="s">
        <v>18</v>
      </c>
      <c r="U75" t="s">
        <v>41</v>
      </c>
      <c r="V75" t="s">
        <v>279</v>
      </c>
      <c r="W75" t="s">
        <v>280</v>
      </c>
      <c r="X75" t="s">
        <v>280</v>
      </c>
      <c r="Y75">
        <v>0.014</v>
      </c>
      <c r="Z75">
        <v>0.424294857</v>
      </c>
      <c r="AA75" t="s">
        <v>95</v>
      </c>
      <c r="AB75" t="s">
        <v>21</v>
      </c>
      <c r="AC75" t="s">
        <v>22</v>
      </c>
      <c r="AD75" t="s">
        <v>23</v>
      </c>
      <c r="AE75" t="s">
        <v>24</v>
      </c>
      <c r="AF75" t="str">
        <f t="shared" si="4"/>
        <v>charge-altering-6kiw</v>
      </c>
      <c r="AG75" t="s">
        <v>101</v>
      </c>
      <c r="AH75" t="s">
        <v>38</v>
      </c>
      <c r="AI75" t="str">
        <f t="shared" si="3"/>
        <v>A-D81N</v>
      </c>
    </row>
    <row r="76" spans="1:35">
      <c r="A76" t="s">
        <v>283</v>
      </c>
      <c r="B76" t="s">
        <v>284</v>
      </c>
      <c r="C76" t="s">
        <v>231</v>
      </c>
      <c r="D76" t="s">
        <v>32</v>
      </c>
      <c r="E76" t="s">
        <v>232</v>
      </c>
      <c r="F76" t="s">
        <v>91</v>
      </c>
      <c r="G76" t="s">
        <v>38</v>
      </c>
      <c r="H76">
        <v>84</v>
      </c>
      <c r="I76">
        <v>177</v>
      </c>
      <c r="J76">
        <v>84</v>
      </c>
      <c r="K76">
        <v>83</v>
      </c>
      <c r="L76" t="s">
        <v>43</v>
      </c>
      <c r="M76" t="s">
        <v>284</v>
      </c>
      <c r="N76" t="s">
        <v>101</v>
      </c>
      <c r="O76" t="s">
        <v>93</v>
      </c>
      <c r="P76" t="s">
        <v>94</v>
      </c>
      <c r="Q76" t="s">
        <v>43</v>
      </c>
      <c r="R76" t="s">
        <v>95</v>
      </c>
      <c r="S76">
        <v>84</v>
      </c>
      <c r="T76" t="s">
        <v>43</v>
      </c>
      <c r="U76" t="s">
        <v>17</v>
      </c>
      <c r="V76" t="s">
        <v>285</v>
      </c>
      <c r="W76" t="s">
        <v>286</v>
      </c>
      <c r="X76" t="s">
        <v>286</v>
      </c>
      <c r="Y76">
        <v>1.046</v>
      </c>
      <c r="Z76">
        <v>0.091244182</v>
      </c>
      <c r="AA76" t="s">
        <v>107</v>
      </c>
      <c r="AB76" t="s">
        <v>42</v>
      </c>
      <c r="AC76" t="s">
        <v>22</v>
      </c>
      <c r="AD76" t="s">
        <v>23</v>
      </c>
      <c r="AE76" t="s">
        <v>24</v>
      </c>
      <c r="AF76" t="str">
        <f t="shared" si="4"/>
        <v>charge-altering-6kiw</v>
      </c>
      <c r="AG76" t="s">
        <v>101</v>
      </c>
      <c r="AH76" t="s">
        <v>38</v>
      </c>
      <c r="AI76" t="str">
        <f t="shared" si="3"/>
        <v>A-R83C</v>
      </c>
    </row>
    <row r="77" spans="1:35">
      <c r="A77" t="s">
        <v>287</v>
      </c>
      <c r="B77" t="s">
        <v>284</v>
      </c>
      <c r="C77" t="s">
        <v>231</v>
      </c>
      <c r="D77" t="s">
        <v>32</v>
      </c>
      <c r="E77" t="s">
        <v>232</v>
      </c>
      <c r="F77" t="s">
        <v>91</v>
      </c>
      <c r="G77" t="s">
        <v>38</v>
      </c>
      <c r="H77">
        <v>84</v>
      </c>
      <c r="I77">
        <v>177</v>
      </c>
      <c r="J77">
        <v>84</v>
      </c>
      <c r="K77">
        <v>83</v>
      </c>
      <c r="L77" t="s">
        <v>43</v>
      </c>
      <c r="M77" t="s">
        <v>284</v>
      </c>
      <c r="N77" t="s">
        <v>101</v>
      </c>
      <c r="O77" t="s">
        <v>93</v>
      </c>
      <c r="P77" t="s">
        <v>94</v>
      </c>
      <c r="Q77" t="s">
        <v>43</v>
      </c>
      <c r="R77" t="s">
        <v>95</v>
      </c>
      <c r="S77">
        <v>84</v>
      </c>
      <c r="T77" t="s">
        <v>43</v>
      </c>
      <c r="U77" t="s">
        <v>46</v>
      </c>
      <c r="V77" t="s">
        <v>288</v>
      </c>
      <c r="W77" t="s">
        <v>289</v>
      </c>
      <c r="X77" t="s">
        <v>289</v>
      </c>
      <c r="Y77">
        <v>1.046</v>
      </c>
      <c r="Z77">
        <v>0.091244182</v>
      </c>
      <c r="AA77" t="s">
        <v>107</v>
      </c>
      <c r="AB77" t="s">
        <v>42</v>
      </c>
      <c r="AC77" t="s">
        <v>22</v>
      </c>
      <c r="AD77" t="s">
        <v>23</v>
      </c>
      <c r="AE77" t="s">
        <v>24</v>
      </c>
      <c r="AF77" t="str">
        <f t="shared" si="4"/>
        <v>charge-altering-6kiw</v>
      </c>
      <c r="AG77" t="s">
        <v>101</v>
      </c>
      <c r="AH77" t="s">
        <v>38</v>
      </c>
      <c r="AI77" t="str">
        <f t="shared" si="3"/>
        <v>A-R83S</v>
      </c>
    </row>
    <row r="78" spans="1:35">
      <c r="A78" t="s">
        <v>290</v>
      </c>
      <c r="B78" t="s">
        <v>291</v>
      </c>
      <c r="C78" t="s">
        <v>231</v>
      </c>
      <c r="D78" t="s">
        <v>32</v>
      </c>
      <c r="E78" t="s">
        <v>232</v>
      </c>
      <c r="F78" t="s">
        <v>91</v>
      </c>
      <c r="G78" t="s">
        <v>38</v>
      </c>
      <c r="H78">
        <v>84</v>
      </c>
      <c r="I78">
        <v>177</v>
      </c>
      <c r="J78">
        <v>84</v>
      </c>
      <c r="K78">
        <v>83</v>
      </c>
      <c r="L78" t="s">
        <v>43</v>
      </c>
      <c r="M78" t="s">
        <v>291</v>
      </c>
      <c r="N78" t="s">
        <v>92</v>
      </c>
      <c r="O78" t="s">
        <v>93</v>
      </c>
      <c r="P78" t="s">
        <v>94</v>
      </c>
      <c r="Q78" t="s">
        <v>43</v>
      </c>
      <c r="R78" t="s">
        <v>95</v>
      </c>
      <c r="S78">
        <v>84</v>
      </c>
      <c r="T78" t="s">
        <v>43</v>
      </c>
      <c r="U78" t="s">
        <v>17</v>
      </c>
      <c r="V78" t="s">
        <v>285</v>
      </c>
      <c r="W78" t="s">
        <v>286</v>
      </c>
      <c r="X78" t="s">
        <v>286</v>
      </c>
      <c r="Y78">
        <v>1.205</v>
      </c>
      <c r="Z78">
        <v>0.091244182</v>
      </c>
      <c r="AA78" t="s">
        <v>107</v>
      </c>
      <c r="AB78" t="s">
        <v>42</v>
      </c>
      <c r="AC78" t="s">
        <v>22</v>
      </c>
      <c r="AD78" t="s">
        <v>23</v>
      </c>
      <c r="AE78" t="s">
        <v>24</v>
      </c>
      <c r="AF78" t="str">
        <f t="shared" si="4"/>
        <v>charge-altering-6kiu</v>
      </c>
      <c r="AG78" t="s">
        <v>92</v>
      </c>
      <c r="AH78" t="s">
        <v>38</v>
      </c>
      <c r="AI78" t="str">
        <f t="shared" si="3"/>
        <v>A-R83C</v>
      </c>
    </row>
    <row r="79" spans="1:35">
      <c r="A79" t="s">
        <v>292</v>
      </c>
      <c r="B79" t="s">
        <v>291</v>
      </c>
      <c r="C79" t="s">
        <v>231</v>
      </c>
      <c r="D79" t="s">
        <v>32</v>
      </c>
      <c r="E79" t="s">
        <v>232</v>
      </c>
      <c r="F79" t="s">
        <v>91</v>
      </c>
      <c r="G79" t="s">
        <v>38</v>
      </c>
      <c r="H79">
        <v>84</v>
      </c>
      <c r="I79">
        <v>177</v>
      </c>
      <c r="J79">
        <v>84</v>
      </c>
      <c r="K79">
        <v>83</v>
      </c>
      <c r="L79" t="s">
        <v>43</v>
      </c>
      <c r="M79" t="s">
        <v>291</v>
      </c>
      <c r="N79" t="s">
        <v>92</v>
      </c>
      <c r="O79" t="s">
        <v>93</v>
      </c>
      <c r="P79" t="s">
        <v>94</v>
      </c>
      <c r="Q79" t="s">
        <v>43</v>
      </c>
      <c r="R79" t="s">
        <v>95</v>
      </c>
      <c r="S79">
        <v>84</v>
      </c>
      <c r="T79" t="s">
        <v>43</v>
      </c>
      <c r="U79" t="s">
        <v>46</v>
      </c>
      <c r="V79" t="s">
        <v>288</v>
      </c>
      <c r="W79" t="s">
        <v>289</v>
      </c>
      <c r="X79" t="s">
        <v>289</v>
      </c>
      <c r="Y79">
        <v>1.205</v>
      </c>
      <c r="Z79">
        <v>0.091244182</v>
      </c>
      <c r="AA79" t="s">
        <v>107</v>
      </c>
      <c r="AB79" t="s">
        <v>42</v>
      </c>
      <c r="AC79" t="s">
        <v>22</v>
      </c>
      <c r="AD79" t="s">
        <v>23</v>
      </c>
      <c r="AE79" t="s">
        <v>24</v>
      </c>
      <c r="AF79" t="str">
        <f t="shared" si="4"/>
        <v>charge-altering-6kiu</v>
      </c>
      <c r="AG79" t="s">
        <v>92</v>
      </c>
      <c r="AH79" t="s">
        <v>38</v>
      </c>
      <c r="AI79" t="str">
        <f t="shared" si="3"/>
        <v>A-R83S</v>
      </c>
    </row>
    <row r="80" spans="1:35">
      <c r="A80" t="s">
        <v>293</v>
      </c>
      <c r="B80" t="s">
        <v>294</v>
      </c>
      <c r="C80" t="s">
        <v>231</v>
      </c>
      <c r="D80" t="s">
        <v>29</v>
      </c>
      <c r="E80" t="s">
        <v>232</v>
      </c>
      <c r="F80" t="s">
        <v>91</v>
      </c>
      <c r="G80" t="s">
        <v>38</v>
      </c>
      <c r="H80">
        <v>117</v>
      </c>
      <c r="I80">
        <v>210</v>
      </c>
      <c r="J80">
        <v>117</v>
      </c>
      <c r="K80">
        <v>116</v>
      </c>
      <c r="L80" t="s">
        <v>43</v>
      </c>
      <c r="M80" t="s">
        <v>294</v>
      </c>
      <c r="N80" t="s">
        <v>92</v>
      </c>
      <c r="O80" t="s">
        <v>93</v>
      </c>
      <c r="P80" t="s">
        <v>94</v>
      </c>
      <c r="Q80" t="s">
        <v>43</v>
      </c>
      <c r="R80" t="s">
        <v>95</v>
      </c>
      <c r="S80">
        <v>117</v>
      </c>
      <c r="T80" t="s">
        <v>43</v>
      </c>
      <c r="U80" t="s">
        <v>30</v>
      </c>
      <c r="V80" t="s">
        <v>233</v>
      </c>
      <c r="W80" t="s">
        <v>234</v>
      </c>
      <c r="X80" t="s">
        <v>234</v>
      </c>
      <c r="Y80">
        <v>2.256</v>
      </c>
      <c r="Z80">
        <v>0.033064373</v>
      </c>
      <c r="AA80" t="s">
        <v>107</v>
      </c>
      <c r="AB80" t="s">
        <v>42</v>
      </c>
      <c r="AC80" t="s">
        <v>22</v>
      </c>
      <c r="AD80" t="s">
        <v>23</v>
      </c>
      <c r="AE80" t="s">
        <v>24</v>
      </c>
      <c r="AF80" t="str">
        <f t="shared" si="4"/>
        <v>charge-altering-6kiu</v>
      </c>
      <c r="AG80" t="s">
        <v>92</v>
      </c>
      <c r="AH80" t="s">
        <v>38</v>
      </c>
      <c r="AI80" t="str">
        <f t="shared" si="3"/>
        <v>E-R116Q</v>
      </c>
    </row>
    <row r="81" spans="1:35">
      <c r="A81" t="s">
        <v>295</v>
      </c>
      <c r="B81" t="s">
        <v>294</v>
      </c>
      <c r="C81" t="s">
        <v>231</v>
      </c>
      <c r="D81" t="s">
        <v>29</v>
      </c>
      <c r="E81" t="s">
        <v>232</v>
      </c>
      <c r="F81" t="s">
        <v>91</v>
      </c>
      <c r="G81" t="s">
        <v>38</v>
      </c>
      <c r="H81">
        <v>117</v>
      </c>
      <c r="I81">
        <v>210</v>
      </c>
      <c r="J81">
        <v>117</v>
      </c>
      <c r="K81">
        <v>116</v>
      </c>
      <c r="L81" t="s">
        <v>43</v>
      </c>
      <c r="M81" t="s">
        <v>294</v>
      </c>
      <c r="N81" t="s">
        <v>92</v>
      </c>
      <c r="O81" t="s">
        <v>93</v>
      </c>
      <c r="P81" t="s">
        <v>94</v>
      </c>
      <c r="Q81" t="s">
        <v>43</v>
      </c>
      <c r="R81" t="s">
        <v>95</v>
      </c>
      <c r="S81">
        <v>117</v>
      </c>
      <c r="T81" t="s">
        <v>43</v>
      </c>
      <c r="U81" t="s">
        <v>58</v>
      </c>
      <c r="V81" t="s">
        <v>236</v>
      </c>
      <c r="W81" t="s">
        <v>237</v>
      </c>
      <c r="X81" t="s">
        <v>237</v>
      </c>
      <c r="Y81">
        <v>2.256</v>
      </c>
      <c r="Z81">
        <v>0.033064373</v>
      </c>
      <c r="AA81" t="s">
        <v>107</v>
      </c>
      <c r="AB81" t="s">
        <v>42</v>
      </c>
      <c r="AC81" t="s">
        <v>22</v>
      </c>
      <c r="AD81" t="s">
        <v>23</v>
      </c>
      <c r="AE81" t="s">
        <v>24</v>
      </c>
      <c r="AF81" t="str">
        <f t="shared" si="4"/>
        <v>charge-altering-6kiu</v>
      </c>
      <c r="AG81" t="s">
        <v>92</v>
      </c>
      <c r="AH81" t="s">
        <v>38</v>
      </c>
      <c r="AI81" t="str">
        <f t="shared" si="3"/>
        <v>E-R116P</v>
      </c>
    </row>
    <row r="82" spans="1:35">
      <c r="A82" t="s">
        <v>296</v>
      </c>
      <c r="B82" t="s">
        <v>297</v>
      </c>
      <c r="C82" t="s">
        <v>231</v>
      </c>
      <c r="D82" t="s">
        <v>29</v>
      </c>
      <c r="E82" t="s">
        <v>232</v>
      </c>
      <c r="F82" t="s">
        <v>91</v>
      </c>
      <c r="G82" t="s">
        <v>38</v>
      </c>
      <c r="H82">
        <v>117</v>
      </c>
      <c r="I82">
        <v>210</v>
      </c>
      <c r="J82">
        <v>117</v>
      </c>
      <c r="K82">
        <v>116</v>
      </c>
      <c r="L82" t="s">
        <v>43</v>
      </c>
      <c r="M82" t="s">
        <v>297</v>
      </c>
      <c r="N82" t="s">
        <v>101</v>
      </c>
      <c r="O82" t="s">
        <v>93</v>
      </c>
      <c r="P82" t="s">
        <v>94</v>
      </c>
      <c r="Q82" t="s">
        <v>43</v>
      </c>
      <c r="R82" t="s">
        <v>95</v>
      </c>
      <c r="S82">
        <v>117</v>
      </c>
      <c r="T82" t="s">
        <v>43</v>
      </c>
      <c r="U82" t="s">
        <v>30</v>
      </c>
      <c r="V82" t="s">
        <v>233</v>
      </c>
      <c r="W82" t="s">
        <v>234</v>
      </c>
      <c r="X82" t="s">
        <v>234</v>
      </c>
      <c r="Y82">
        <v>2.293</v>
      </c>
      <c r="Z82">
        <v>0.033064373</v>
      </c>
      <c r="AA82" t="s">
        <v>107</v>
      </c>
      <c r="AB82" t="s">
        <v>42</v>
      </c>
      <c r="AC82" t="s">
        <v>22</v>
      </c>
      <c r="AD82" t="s">
        <v>23</v>
      </c>
      <c r="AE82" t="s">
        <v>24</v>
      </c>
      <c r="AF82" t="str">
        <f t="shared" si="4"/>
        <v>charge-altering-6kiw</v>
      </c>
      <c r="AG82" t="s">
        <v>101</v>
      </c>
      <c r="AH82" t="s">
        <v>38</v>
      </c>
      <c r="AI82" t="str">
        <f t="shared" si="3"/>
        <v>E-R116Q</v>
      </c>
    </row>
    <row r="83" spans="1:35">
      <c r="A83" t="s">
        <v>298</v>
      </c>
      <c r="B83" t="s">
        <v>297</v>
      </c>
      <c r="C83" t="s">
        <v>231</v>
      </c>
      <c r="D83" t="s">
        <v>29</v>
      </c>
      <c r="E83" t="s">
        <v>232</v>
      </c>
      <c r="F83" t="s">
        <v>91</v>
      </c>
      <c r="G83" t="s">
        <v>38</v>
      </c>
      <c r="H83">
        <v>117</v>
      </c>
      <c r="I83">
        <v>210</v>
      </c>
      <c r="J83">
        <v>117</v>
      </c>
      <c r="K83">
        <v>116</v>
      </c>
      <c r="L83" t="s">
        <v>43</v>
      </c>
      <c r="M83" t="s">
        <v>297</v>
      </c>
      <c r="N83" t="s">
        <v>101</v>
      </c>
      <c r="O83" t="s">
        <v>93</v>
      </c>
      <c r="P83" t="s">
        <v>94</v>
      </c>
      <c r="Q83" t="s">
        <v>43</v>
      </c>
      <c r="R83" t="s">
        <v>95</v>
      </c>
      <c r="S83">
        <v>117</v>
      </c>
      <c r="T83" t="s">
        <v>43</v>
      </c>
      <c r="U83" t="s">
        <v>58</v>
      </c>
      <c r="V83" t="s">
        <v>236</v>
      </c>
      <c r="W83" t="s">
        <v>237</v>
      </c>
      <c r="X83" t="s">
        <v>237</v>
      </c>
      <c r="Y83">
        <v>2.293</v>
      </c>
      <c r="Z83">
        <v>0.033064373</v>
      </c>
      <c r="AA83" t="s">
        <v>107</v>
      </c>
      <c r="AB83" t="s">
        <v>42</v>
      </c>
      <c r="AC83" t="s">
        <v>22</v>
      </c>
      <c r="AD83" t="s">
        <v>23</v>
      </c>
      <c r="AE83" t="s">
        <v>24</v>
      </c>
      <c r="AF83" t="str">
        <f t="shared" si="4"/>
        <v>charge-altering-6kiw</v>
      </c>
      <c r="AG83" t="s">
        <v>101</v>
      </c>
      <c r="AH83" t="s">
        <v>38</v>
      </c>
      <c r="AI83" t="str">
        <f t="shared" si="3"/>
        <v>E-R116P</v>
      </c>
    </row>
    <row r="84" spans="1:35">
      <c r="A84" t="s">
        <v>299</v>
      </c>
      <c r="B84" t="s">
        <v>300</v>
      </c>
      <c r="C84" t="s">
        <v>231</v>
      </c>
      <c r="D84" t="s">
        <v>29</v>
      </c>
      <c r="E84" t="s">
        <v>232</v>
      </c>
      <c r="F84" t="s">
        <v>91</v>
      </c>
      <c r="G84" t="s">
        <v>38</v>
      </c>
      <c r="H84">
        <v>40</v>
      </c>
      <c r="I84">
        <v>130</v>
      </c>
      <c r="J84">
        <v>40</v>
      </c>
      <c r="K84">
        <v>39</v>
      </c>
      <c r="L84" t="s">
        <v>56</v>
      </c>
      <c r="M84" t="s">
        <v>300</v>
      </c>
      <c r="N84" t="s">
        <v>101</v>
      </c>
      <c r="O84" t="s">
        <v>93</v>
      </c>
      <c r="P84" t="s">
        <v>94</v>
      </c>
      <c r="Q84" t="s">
        <v>56</v>
      </c>
      <c r="R84" t="s">
        <v>95</v>
      </c>
      <c r="S84">
        <v>40</v>
      </c>
      <c r="T84" t="s">
        <v>56</v>
      </c>
      <c r="U84" t="s">
        <v>49</v>
      </c>
      <c r="V84" t="s">
        <v>243</v>
      </c>
      <c r="W84" t="s">
        <v>244</v>
      </c>
      <c r="X84" t="s">
        <v>244</v>
      </c>
      <c r="Y84">
        <v>0.843</v>
      </c>
      <c r="Z84">
        <v>0.134381072</v>
      </c>
      <c r="AA84" t="s">
        <v>107</v>
      </c>
      <c r="AB84" t="s">
        <v>42</v>
      </c>
      <c r="AC84" t="s">
        <v>22</v>
      </c>
      <c r="AD84" t="s">
        <v>23</v>
      </c>
      <c r="AE84" t="s">
        <v>24</v>
      </c>
      <c r="AF84" t="str">
        <f t="shared" si="4"/>
        <v>charge-altering-6kiw</v>
      </c>
      <c r="AG84" t="s">
        <v>101</v>
      </c>
      <c r="AH84" t="s">
        <v>38</v>
      </c>
      <c r="AI84" t="str">
        <f t="shared" si="3"/>
        <v>E-H39Y</v>
      </c>
    </row>
    <row r="85" spans="1:35">
      <c r="A85" t="s">
        <v>301</v>
      </c>
      <c r="B85" t="s">
        <v>302</v>
      </c>
      <c r="C85" t="s">
        <v>231</v>
      </c>
      <c r="D85" t="s">
        <v>29</v>
      </c>
      <c r="E85" t="s">
        <v>232</v>
      </c>
      <c r="F85" t="s">
        <v>91</v>
      </c>
      <c r="G85" t="s">
        <v>38</v>
      </c>
      <c r="H85">
        <v>40</v>
      </c>
      <c r="I85">
        <v>130</v>
      </c>
      <c r="J85">
        <v>40</v>
      </c>
      <c r="K85">
        <v>39</v>
      </c>
      <c r="L85" t="s">
        <v>56</v>
      </c>
      <c r="M85" t="s">
        <v>302</v>
      </c>
      <c r="N85" t="s">
        <v>92</v>
      </c>
      <c r="O85" t="s">
        <v>93</v>
      </c>
      <c r="P85" t="s">
        <v>94</v>
      </c>
      <c r="Q85" t="s">
        <v>56</v>
      </c>
      <c r="R85" t="s">
        <v>95</v>
      </c>
      <c r="S85">
        <v>40</v>
      </c>
      <c r="T85" t="s">
        <v>56</v>
      </c>
      <c r="U85" t="s">
        <v>49</v>
      </c>
      <c r="V85" t="s">
        <v>243</v>
      </c>
      <c r="W85" t="s">
        <v>244</v>
      </c>
      <c r="X85" t="s">
        <v>244</v>
      </c>
      <c r="Y85">
        <v>0.888</v>
      </c>
      <c r="Z85">
        <v>0.134381072</v>
      </c>
      <c r="AA85" t="s">
        <v>107</v>
      </c>
      <c r="AB85" t="s">
        <v>42</v>
      </c>
      <c r="AC85" t="s">
        <v>22</v>
      </c>
      <c r="AD85" t="s">
        <v>23</v>
      </c>
      <c r="AE85" t="s">
        <v>24</v>
      </c>
      <c r="AF85" t="str">
        <f t="shared" si="4"/>
        <v>charge-altering-6kiu</v>
      </c>
      <c r="AG85" t="s">
        <v>92</v>
      </c>
      <c r="AH85" t="s">
        <v>38</v>
      </c>
      <c r="AI85" t="str">
        <f t="shared" si="3"/>
        <v>E-H39Y</v>
      </c>
    </row>
    <row r="86" spans="1:35">
      <c r="A86" t="s">
        <v>303</v>
      </c>
      <c r="B86" t="s">
        <v>304</v>
      </c>
      <c r="C86" t="s">
        <v>231</v>
      </c>
      <c r="D86" t="s">
        <v>29</v>
      </c>
      <c r="E86" t="s">
        <v>232</v>
      </c>
      <c r="F86" t="s">
        <v>91</v>
      </c>
      <c r="G86" t="s">
        <v>38</v>
      </c>
      <c r="H86">
        <v>41</v>
      </c>
      <c r="I86">
        <v>131</v>
      </c>
      <c r="J86">
        <v>41</v>
      </c>
      <c r="K86">
        <v>40</v>
      </c>
      <c r="L86" t="s">
        <v>43</v>
      </c>
      <c r="M86" t="s">
        <v>304</v>
      </c>
      <c r="N86" t="s">
        <v>101</v>
      </c>
      <c r="O86" t="s">
        <v>93</v>
      </c>
      <c r="P86" t="s">
        <v>94</v>
      </c>
      <c r="Q86" t="s">
        <v>43</v>
      </c>
      <c r="R86" t="s">
        <v>95</v>
      </c>
      <c r="S86">
        <v>41</v>
      </c>
      <c r="T86" t="s">
        <v>43</v>
      </c>
      <c r="U86" t="s">
        <v>19</v>
      </c>
      <c r="V86" t="s">
        <v>249</v>
      </c>
      <c r="W86" t="s">
        <v>186</v>
      </c>
      <c r="X86" t="s">
        <v>186</v>
      </c>
      <c r="Y86">
        <v>1.244</v>
      </c>
      <c r="Z86">
        <v>0.276406078</v>
      </c>
      <c r="AA86" t="s">
        <v>95</v>
      </c>
      <c r="AB86" t="s">
        <v>42</v>
      </c>
      <c r="AC86" t="s">
        <v>22</v>
      </c>
      <c r="AD86" t="s">
        <v>23</v>
      </c>
      <c r="AE86" t="s">
        <v>24</v>
      </c>
      <c r="AF86" t="str">
        <f t="shared" si="4"/>
        <v>charge-altering-6kiw</v>
      </c>
      <c r="AG86" t="s">
        <v>101</v>
      </c>
      <c r="AH86" t="s">
        <v>38</v>
      </c>
      <c r="AI86" t="str">
        <f t="shared" si="3"/>
        <v>E-R40G</v>
      </c>
    </row>
    <row r="87" spans="1:35">
      <c r="A87" t="s">
        <v>305</v>
      </c>
      <c r="B87" t="s">
        <v>304</v>
      </c>
      <c r="C87" t="s">
        <v>231</v>
      </c>
      <c r="D87" t="s">
        <v>29</v>
      </c>
      <c r="E87" t="s">
        <v>232</v>
      </c>
      <c r="F87" t="s">
        <v>91</v>
      </c>
      <c r="G87" t="s">
        <v>38</v>
      </c>
      <c r="H87">
        <v>41</v>
      </c>
      <c r="I87">
        <v>131</v>
      </c>
      <c r="J87">
        <v>41</v>
      </c>
      <c r="K87">
        <v>40</v>
      </c>
      <c r="L87" t="s">
        <v>43</v>
      </c>
      <c r="M87" t="s">
        <v>304</v>
      </c>
      <c r="N87" t="s">
        <v>101</v>
      </c>
      <c r="O87" t="s">
        <v>93</v>
      </c>
      <c r="P87" t="s">
        <v>94</v>
      </c>
      <c r="Q87" t="s">
        <v>43</v>
      </c>
      <c r="R87" t="s">
        <v>95</v>
      </c>
      <c r="S87">
        <v>41</v>
      </c>
      <c r="T87" t="s">
        <v>43</v>
      </c>
      <c r="U87" t="s">
        <v>17</v>
      </c>
      <c r="V87" t="s">
        <v>251</v>
      </c>
      <c r="W87" t="s">
        <v>189</v>
      </c>
      <c r="X87" t="s">
        <v>189</v>
      </c>
      <c r="Y87">
        <v>1.219</v>
      </c>
      <c r="Z87">
        <v>0.276406078</v>
      </c>
      <c r="AA87" t="s">
        <v>95</v>
      </c>
      <c r="AB87" t="s">
        <v>42</v>
      </c>
      <c r="AC87" t="s">
        <v>22</v>
      </c>
      <c r="AD87" t="s">
        <v>23</v>
      </c>
      <c r="AE87" t="s">
        <v>24</v>
      </c>
      <c r="AF87" t="str">
        <f t="shared" si="4"/>
        <v>charge-altering-6kiw</v>
      </c>
      <c r="AG87" t="s">
        <v>101</v>
      </c>
      <c r="AH87" t="s">
        <v>38</v>
      </c>
      <c r="AI87" t="str">
        <f t="shared" si="3"/>
        <v>E-R40C</v>
      </c>
    </row>
    <row r="88" spans="1:35">
      <c r="A88" t="s">
        <v>306</v>
      </c>
      <c r="B88" t="s">
        <v>307</v>
      </c>
      <c r="C88" t="s">
        <v>231</v>
      </c>
      <c r="D88" t="s">
        <v>29</v>
      </c>
      <c r="E88" t="s">
        <v>232</v>
      </c>
      <c r="F88" t="s">
        <v>91</v>
      </c>
      <c r="G88" t="s">
        <v>38</v>
      </c>
      <c r="H88">
        <v>41</v>
      </c>
      <c r="I88">
        <v>131</v>
      </c>
      <c r="J88">
        <v>41</v>
      </c>
      <c r="K88">
        <v>40</v>
      </c>
      <c r="L88" t="s">
        <v>43</v>
      </c>
      <c r="M88" t="s">
        <v>307</v>
      </c>
      <c r="N88" t="s">
        <v>92</v>
      </c>
      <c r="O88" t="s">
        <v>93</v>
      </c>
      <c r="P88" t="s">
        <v>94</v>
      </c>
      <c r="Q88" t="s">
        <v>43</v>
      </c>
      <c r="R88" t="s">
        <v>95</v>
      </c>
      <c r="S88">
        <v>41</v>
      </c>
      <c r="T88" t="s">
        <v>43</v>
      </c>
      <c r="U88" t="s">
        <v>19</v>
      </c>
      <c r="V88" t="s">
        <v>249</v>
      </c>
      <c r="W88" t="s">
        <v>186</v>
      </c>
      <c r="X88" t="s">
        <v>186</v>
      </c>
      <c r="Y88">
        <v>1.32</v>
      </c>
      <c r="Z88">
        <v>0.276406078</v>
      </c>
      <c r="AA88" t="s">
        <v>95</v>
      </c>
      <c r="AB88" t="s">
        <v>42</v>
      </c>
      <c r="AC88" t="s">
        <v>22</v>
      </c>
      <c r="AD88" t="s">
        <v>23</v>
      </c>
      <c r="AE88" t="s">
        <v>24</v>
      </c>
      <c r="AF88" t="str">
        <f t="shared" si="4"/>
        <v>charge-altering-6kiu</v>
      </c>
      <c r="AG88" t="s">
        <v>92</v>
      </c>
      <c r="AH88" t="s">
        <v>38</v>
      </c>
      <c r="AI88" t="str">
        <f t="shared" si="3"/>
        <v>E-R40G</v>
      </c>
    </row>
    <row r="89" spans="1:35">
      <c r="A89" t="s">
        <v>308</v>
      </c>
      <c r="B89" t="s">
        <v>307</v>
      </c>
      <c r="C89" t="s">
        <v>231</v>
      </c>
      <c r="D89" t="s">
        <v>29</v>
      </c>
      <c r="E89" t="s">
        <v>232</v>
      </c>
      <c r="F89" t="s">
        <v>91</v>
      </c>
      <c r="G89" t="s">
        <v>38</v>
      </c>
      <c r="H89">
        <v>41</v>
      </c>
      <c r="I89">
        <v>131</v>
      </c>
      <c r="J89">
        <v>41</v>
      </c>
      <c r="K89">
        <v>40</v>
      </c>
      <c r="L89" t="s">
        <v>43</v>
      </c>
      <c r="M89" t="s">
        <v>307</v>
      </c>
      <c r="N89" t="s">
        <v>92</v>
      </c>
      <c r="O89" t="s">
        <v>93</v>
      </c>
      <c r="P89" t="s">
        <v>94</v>
      </c>
      <c r="Q89" t="s">
        <v>43</v>
      </c>
      <c r="R89" t="s">
        <v>95</v>
      </c>
      <c r="S89">
        <v>41</v>
      </c>
      <c r="T89" t="s">
        <v>43</v>
      </c>
      <c r="U89" t="s">
        <v>17</v>
      </c>
      <c r="V89" t="s">
        <v>251</v>
      </c>
      <c r="W89" t="s">
        <v>189</v>
      </c>
      <c r="X89" t="s">
        <v>189</v>
      </c>
      <c r="Y89">
        <v>1.311</v>
      </c>
      <c r="Z89">
        <v>0.276406078</v>
      </c>
      <c r="AA89" t="s">
        <v>95</v>
      </c>
      <c r="AB89" t="s">
        <v>42</v>
      </c>
      <c r="AC89" t="s">
        <v>22</v>
      </c>
      <c r="AD89" t="s">
        <v>23</v>
      </c>
      <c r="AE89" t="s">
        <v>24</v>
      </c>
      <c r="AF89" t="str">
        <f t="shared" si="4"/>
        <v>charge-altering-6kiu</v>
      </c>
      <c r="AG89" t="s">
        <v>92</v>
      </c>
      <c r="AH89" t="s">
        <v>38</v>
      </c>
      <c r="AI89" t="str">
        <f t="shared" si="3"/>
        <v>E-R40C</v>
      </c>
    </row>
    <row r="90" spans="1:35">
      <c r="A90" t="s">
        <v>309</v>
      </c>
      <c r="B90" t="s">
        <v>310</v>
      </c>
      <c r="C90" t="s">
        <v>231</v>
      </c>
      <c r="D90" t="s">
        <v>29</v>
      </c>
      <c r="E90" t="s">
        <v>232</v>
      </c>
      <c r="F90" t="s">
        <v>91</v>
      </c>
      <c r="G90" t="s">
        <v>38</v>
      </c>
      <c r="H90">
        <v>43</v>
      </c>
      <c r="I90">
        <v>133</v>
      </c>
      <c r="J90">
        <v>43</v>
      </c>
      <c r="K90">
        <v>42</v>
      </c>
      <c r="L90" t="s">
        <v>43</v>
      </c>
      <c r="M90" t="s">
        <v>310</v>
      </c>
      <c r="N90" t="s">
        <v>101</v>
      </c>
      <c r="O90" t="s">
        <v>93</v>
      </c>
      <c r="P90" t="s">
        <v>94</v>
      </c>
      <c r="Q90" t="s">
        <v>43</v>
      </c>
      <c r="R90" t="s">
        <v>95</v>
      </c>
      <c r="S90">
        <v>43</v>
      </c>
      <c r="T90" t="s">
        <v>43</v>
      </c>
      <c r="U90" t="s">
        <v>17</v>
      </c>
      <c r="V90" t="s">
        <v>257</v>
      </c>
      <c r="W90" t="s">
        <v>258</v>
      </c>
      <c r="X90" t="s">
        <v>258</v>
      </c>
      <c r="Y90">
        <v>0.707</v>
      </c>
      <c r="Z90">
        <v>0.260405709</v>
      </c>
      <c r="AA90" t="s">
        <v>95</v>
      </c>
      <c r="AB90" t="s">
        <v>42</v>
      </c>
      <c r="AC90" t="s">
        <v>22</v>
      </c>
      <c r="AD90" t="s">
        <v>23</v>
      </c>
      <c r="AE90" t="s">
        <v>24</v>
      </c>
      <c r="AF90" t="str">
        <f t="shared" si="4"/>
        <v>charge-altering-6kiw</v>
      </c>
      <c r="AG90" t="s">
        <v>101</v>
      </c>
      <c r="AH90" t="s">
        <v>38</v>
      </c>
      <c r="AI90" t="str">
        <f t="shared" si="3"/>
        <v>E-R42C</v>
      </c>
    </row>
    <row r="91" spans="1:35">
      <c r="A91" t="s">
        <v>311</v>
      </c>
      <c r="B91" t="s">
        <v>312</v>
      </c>
      <c r="C91" t="s">
        <v>231</v>
      </c>
      <c r="D91" t="s">
        <v>29</v>
      </c>
      <c r="E91" t="s">
        <v>232</v>
      </c>
      <c r="F91" t="s">
        <v>91</v>
      </c>
      <c r="G91" t="s">
        <v>38</v>
      </c>
      <c r="H91">
        <v>43</v>
      </c>
      <c r="I91">
        <v>133</v>
      </c>
      <c r="J91">
        <v>43</v>
      </c>
      <c r="K91">
        <v>42</v>
      </c>
      <c r="L91" t="s">
        <v>43</v>
      </c>
      <c r="M91" t="s">
        <v>312</v>
      </c>
      <c r="N91" t="s">
        <v>92</v>
      </c>
      <c r="O91" t="s">
        <v>93</v>
      </c>
      <c r="P91" t="s">
        <v>94</v>
      </c>
      <c r="Q91" t="s">
        <v>43</v>
      </c>
      <c r="R91" t="s">
        <v>95</v>
      </c>
      <c r="S91">
        <v>43</v>
      </c>
      <c r="T91" t="s">
        <v>43</v>
      </c>
      <c r="U91" t="s">
        <v>17</v>
      </c>
      <c r="V91" t="s">
        <v>257</v>
      </c>
      <c r="W91" t="s">
        <v>258</v>
      </c>
      <c r="X91" t="s">
        <v>258</v>
      </c>
      <c r="Y91">
        <v>0.717</v>
      </c>
      <c r="Z91">
        <v>0.260405709</v>
      </c>
      <c r="AA91" t="s">
        <v>95</v>
      </c>
      <c r="AB91" t="s">
        <v>42</v>
      </c>
      <c r="AC91" t="s">
        <v>22</v>
      </c>
      <c r="AD91" t="s">
        <v>23</v>
      </c>
      <c r="AE91" t="s">
        <v>24</v>
      </c>
      <c r="AF91" t="str">
        <f t="shared" si="4"/>
        <v>charge-altering-6kiu</v>
      </c>
      <c r="AG91" t="s">
        <v>92</v>
      </c>
      <c r="AH91" t="s">
        <v>38</v>
      </c>
      <c r="AI91" t="str">
        <f t="shared" si="3"/>
        <v>E-R42C</v>
      </c>
    </row>
    <row r="92" spans="1:35">
      <c r="A92" t="s">
        <v>313</v>
      </c>
      <c r="B92" t="s">
        <v>314</v>
      </c>
      <c r="C92" t="s">
        <v>231</v>
      </c>
      <c r="D92" t="s">
        <v>29</v>
      </c>
      <c r="E92" t="s">
        <v>232</v>
      </c>
      <c r="F92" t="s">
        <v>91</v>
      </c>
      <c r="G92" t="s">
        <v>38</v>
      </c>
      <c r="H92">
        <v>65</v>
      </c>
      <c r="I92">
        <v>155</v>
      </c>
      <c r="J92">
        <v>65</v>
      </c>
      <c r="K92">
        <v>64</v>
      </c>
      <c r="L92" t="s">
        <v>40</v>
      </c>
      <c r="M92" t="s">
        <v>314</v>
      </c>
      <c r="N92" t="s">
        <v>101</v>
      </c>
      <c r="O92" t="s">
        <v>93</v>
      </c>
      <c r="P92" t="s">
        <v>94</v>
      </c>
      <c r="Q92" t="s">
        <v>40</v>
      </c>
      <c r="R92" t="s">
        <v>95</v>
      </c>
      <c r="S92">
        <v>65</v>
      </c>
      <c r="T92" t="s">
        <v>40</v>
      </c>
      <c r="U92" t="s">
        <v>47</v>
      </c>
      <c r="V92" t="s">
        <v>263</v>
      </c>
      <c r="W92" t="s">
        <v>264</v>
      </c>
      <c r="X92" t="s">
        <v>264</v>
      </c>
      <c r="Y92">
        <v>0.967</v>
      </c>
      <c r="Z92">
        <v>0.29033928</v>
      </c>
      <c r="AA92" t="s">
        <v>95</v>
      </c>
      <c r="AB92" t="s">
        <v>42</v>
      </c>
      <c r="AC92" t="s">
        <v>22</v>
      </c>
      <c r="AD92" t="s">
        <v>23</v>
      </c>
      <c r="AE92" t="s">
        <v>24</v>
      </c>
      <c r="AF92" t="str">
        <f t="shared" si="4"/>
        <v>charge-altering-6kiw</v>
      </c>
      <c r="AG92" t="s">
        <v>101</v>
      </c>
      <c r="AH92" t="s">
        <v>38</v>
      </c>
      <c r="AI92" t="str">
        <f t="shared" si="3"/>
        <v>E-K64T</v>
      </c>
    </row>
    <row r="93" spans="1:35">
      <c r="A93" t="s">
        <v>315</v>
      </c>
      <c r="B93" t="s">
        <v>316</v>
      </c>
      <c r="C93" t="s">
        <v>231</v>
      </c>
      <c r="D93" t="s">
        <v>29</v>
      </c>
      <c r="E93" t="s">
        <v>232</v>
      </c>
      <c r="F93" t="s">
        <v>91</v>
      </c>
      <c r="G93" t="s">
        <v>38</v>
      </c>
      <c r="H93">
        <v>65</v>
      </c>
      <c r="I93">
        <v>155</v>
      </c>
      <c r="J93">
        <v>65</v>
      </c>
      <c r="K93">
        <v>64</v>
      </c>
      <c r="L93" t="s">
        <v>40</v>
      </c>
      <c r="M93" t="s">
        <v>316</v>
      </c>
      <c r="N93" t="s">
        <v>92</v>
      </c>
      <c r="O93" t="s">
        <v>93</v>
      </c>
      <c r="P93" t="s">
        <v>94</v>
      </c>
      <c r="Q93" t="s">
        <v>40</v>
      </c>
      <c r="R93" t="s">
        <v>95</v>
      </c>
      <c r="S93">
        <v>65</v>
      </c>
      <c r="T93" t="s">
        <v>40</v>
      </c>
      <c r="U93" t="s">
        <v>47</v>
      </c>
      <c r="V93" t="s">
        <v>263</v>
      </c>
      <c r="W93" t="s">
        <v>264</v>
      </c>
      <c r="X93" t="s">
        <v>264</v>
      </c>
      <c r="Y93">
        <v>1.011</v>
      </c>
      <c r="Z93">
        <v>0.29033928</v>
      </c>
      <c r="AA93" t="s">
        <v>95</v>
      </c>
      <c r="AB93" t="s">
        <v>42</v>
      </c>
      <c r="AC93" t="s">
        <v>22</v>
      </c>
      <c r="AD93" t="s">
        <v>23</v>
      </c>
      <c r="AE93" t="s">
        <v>24</v>
      </c>
      <c r="AF93" t="str">
        <f t="shared" si="4"/>
        <v>charge-altering-6kiu</v>
      </c>
      <c r="AG93" t="s">
        <v>92</v>
      </c>
      <c r="AH93" t="s">
        <v>38</v>
      </c>
      <c r="AI93" t="str">
        <f t="shared" si="3"/>
        <v>E-K64T</v>
      </c>
    </row>
    <row r="94" spans="1:35">
      <c r="A94" t="s">
        <v>317</v>
      </c>
      <c r="B94" t="s">
        <v>318</v>
      </c>
      <c r="C94" t="s">
        <v>231</v>
      </c>
      <c r="D94" t="s">
        <v>29</v>
      </c>
      <c r="E94" t="s">
        <v>232</v>
      </c>
      <c r="F94" t="s">
        <v>91</v>
      </c>
      <c r="G94" t="s">
        <v>38</v>
      </c>
      <c r="H94">
        <v>73</v>
      </c>
      <c r="I94">
        <v>163</v>
      </c>
      <c r="J94">
        <v>73</v>
      </c>
      <c r="K94">
        <v>72</v>
      </c>
      <c r="L94" t="s">
        <v>43</v>
      </c>
      <c r="M94" t="s">
        <v>318</v>
      </c>
      <c r="N94" t="s">
        <v>101</v>
      </c>
      <c r="O94" t="s">
        <v>93</v>
      </c>
      <c r="P94" t="s">
        <v>94</v>
      </c>
      <c r="Q94" t="s">
        <v>43</v>
      </c>
      <c r="R94" t="s">
        <v>95</v>
      </c>
      <c r="S94">
        <v>73</v>
      </c>
      <c r="T94" t="s">
        <v>43</v>
      </c>
      <c r="U94" t="s">
        <v>58</v>
      </c>
      <c r="V94" t="s">
        <v>269</v>
      </c>
      <c r="W94" t="s">
        <v>270</v>
      </c>
      <c r="X94" t="s">
        <v>270</v>
      </c>
      <c r="Y94">
        <v>0.222</v>
      </c>
      <c r="Z94">
        <v>0.221293323</v>
      </c>
      <c r="AA94" t="s">
        <v>95</v>
      </c>
      <c r="AB94" t="s">
        <v>42</v>
      </c>
      <c r="AC94" t="s">
        <v>22</v>
      </c>
      <c r="AD94" t="s">
        <v>23</v>
      </c>
      <c r="AE94" t="s">
        <v>24</v>
      </c>
      <c r="AF94" t="str">
        <f t="shared" si="4"/>
        <v>charge-altering-6kiw</v>
      </c>
      <c r="AG94" t="s">
        <v>101</v>
      </c>
      <c r="AH94" t="s">
        <v>38</v>
      </c>
      <c r="AI94" t="str">
        <f t="shared" si="3"/>
        <v>E-R72P</v>
      </c>
    </row>
    <row r="95" spans="1:35">
      <c r="A95" t="s">
        <v>319</v>
      </c>
      <c r="B95" t="s">
        <v>318</v>
      </c>
      <c r="C95" t="s">
        <v>231</v>
      </c>
      <c r="D95" t="s">
        <v>29</v>
      </c>
      <c r="E95" t="s">
        <v>232</v>
      </c>
      <c r="F95" t="s">
        <v>91</v>
      </c>
      <c r="G95" t="s">
        <v>38</v>
      </c>
      <c r="H95">
        <v>73</v>
      </c>
      <c r="I95">
        <v>163</v>
      </c>
      <c r="J95">
        <v>73</v>
      </c>
      <c r="K95">
        <v>72</v>
      </c>
      <c r="L95" t="s">
        <v>43</v>
      </c>
      <c r="M95" t="s">
        <v>318</v>
      </c>
      <c r="N95" t="s">
        <v>101</v>
      </c>
      <c r="O95" t="s">
        <v>93</v>
      </c>
      <c r="P95" t="s">
        <v>94</v>
      </c>
      <c r="Q95" t="s">
        <v>43</v>
      </c>
      <c r="R95" t="s">
        <v>95</v>
      </c>
      <c r="S95">
        <v>73</v>
      </c>
      <c r="T95" t="s">
        <v>43</v>
      </c>
      <c r="U95" t="s">
        <v>30</v>
      </c>
      <c r="V95" t="s">
        <v>272</v>
      </c>
      <c r="W95" t="s">
        <v>273</v>
      </c>
      <c r="X95" t="s">
        <v>273</v>
      </c>
      <c r="Y95">
        <v>0.222</v>
      </c>
      <c r="Z95">
        <v>0.221293323</v>
      </c>
      <c r="AA95" t="s">
        <v>95</v>
      </c>
      <c r="AB95" t="s">
        <v>42</v>
      </c>
      <c r="AC95" t="s">
        <v>22</v>
      </c>
      <c r="AD95" t="s">
        <v>23</v>
      </c>
      <c r="AE95" t="s">
        <v>24</v>
      </c>
      <c r="AF95" t="str">
        <f t="shared" si="4"/>
        <v>charge-altering-6kiw</v>
      </c>
      <c r="AG95" t="s">
        <v>101</v>
      </c>
      <c r="AH95" t="s">
        <v>38</v>
      </c>
      <c r="AI95" t="str">
        <f t="shared" si="3"/>
        <v>E-R72Q</v>
      </c>
    </row>
    <row r="96" spans="1:35">
      <c r="A96" t="s">
        <v>320</v>
      </c>
      <c r="B96" t="s">
        <v>321</v>
      </c>
      <c r="C96" t="s">
        <v>231</v>
      </c>
      <c r="D96" t="s">
        <v>29</v>
      </c>
      <c r="E96" t="s">
        <v>232</v>
      </c>
      <c r="F96" t="s">
        <v>91</v>
      </c>
      <c r="G96" t="s">
        <v>38</v>
      </c>
      <c r="H96">
        <v>73</v>
      </c>
      <c r="I96">
        <v>163</v>
      </c>
      <c r="J96">
        <v>73</v>
      </c>
      <c r="K96">
        <v>72</v>
      </c>
      <c r="L96" t="s">
        <v>43</v>
      </c>
      <c r="M96" t="s">
        <v>321</v>
      </c>
      <c r="N96" t="s">
        <v>92</v>
      </c>
      <c r="O96" t="s">
        <v>93</v>
      </c>
      <c r="P96" t="s">
        <v>94</v>
      </c>
      <c r="Q96" t="s">
        <v>43</v>
      </c>
      <c r="R96" t="s">
        <v>95</v>
      </c>
      <c r="S96">
        <v>73</v>
      </c>
      <c r="T96" t="s">
        <v>43</v>
      </c>
      <c r="U96" t="s">
        <v>58</v>
      </c>
      <c r="V96" t="s">
        <v>269</v>
      </c>
      <c r="W96" t="s">
        <v>270</v>
      </c>
      <c r="X96" t="s">
        <v>270</v>
      </c>
      <c r="Y96">
        <v>0.228</v>
      </c>
      <c r="Z96">
        <v>0.221293323</v>
      </c>
      <c r="AA96" t="s">
        <v>95</v>
      </c>
      <c r="AB96" t="s">
        <v>42</v>
      </c>
      <c r="AC96" t="s">
        <v>22</v>
      </c>
      <c r="AD96" t="s">
        <v>23</v>
      </c>
      <c r="AE96" t="s">
        <v>24</v>
      </c>
      <c r="AF96" t="str">
        <f t="shared" si="4"/>
        <v>charge-altering-6kiu</v>
      </c>
      <c r="AG96" t="s">
        <v>92</v>
      </c>
      <c r="AH96" t="s">
        <v>38</v>
      </c>
      <c r="AI96" t="str">
        <f t="shared" si="3"/>
        <v>E-R72P</v>
      </c>
    </row>
    <row r="97" spans="1:35">
      <c r="A97" t="s">
        <v>322</v>
      </c>
      <c r="B97" t="s">
        <v>321</v>
      </c>
      <c r="C97" t="s">
        <v>231</v>
      </c>
      <c r="D97" t="s">
        <v>29</v>
      </c>
      <c r="E97" t="s">
        <v>232</v>
      </c>
      <c r="F97" t="s">
        <v>91</v>
      </c>
      <c r="G97" t="s">
        <v>38</v>
      </c>
      <c r="H97">
        <v>73</v>
      </c>
      <c r="I97">
        <v>163</v>
      </c>
      <c r="J97">
        <v>73</v>
      </c>
      <c r="K97">
        <v>72</v>
      </c>
      <c r="L97" t="s">
        <v>43</v>
      </c>
      <c r="M97" t="s">
        <v>321</v>
      </c>
      <c r="N97" t="s">
        <v>92</v>
      </c>
      <c r="O97" t="s">
        <v>93</v>
      </c>
      <c r="P97" t="s">
        <v>94</v>
      </c>
      <c r="Q97" t="s">
        <v>43</v>
      </c>
      <c r="R97" t="s">
        <v>95</v>
      </c>
      <c r="S97">
        <v>73</v>
      </c>
      <c r="T97" t="s">
        <v>43</v>
      </c>
      <c r="U97" t="s">
        <v>30</v>
      </c>
      <c r="V97" t="s">
        <v>272</v>
      </c>
      <c r="W97" t="s">
        <v>273</v>
      </c>
      <c r="X97" t="s">
        <v>273</v>
      </c>
      <c r="Y97">
        <v>0.228</v>
      </c>
      <c r="Z97">
        <v>0.221293323</v>
      </c>
      <c r="AA97" t="s">
        <v>95</v>
      </c>
      <c r="AB97" t="s">
        <v>42</v>
      </c>
      <c r="AC97" t="s">
        <v>22</v>
      </c>
      <c r="AD97" t="s">
        <v>23</v>
      </c>
      <c r="AE97" t="s">
        <v>24</v>
      </c>
      <c r="AF97" t="str">
        <f t="shared" si="4"/>
        <v>charge-altering-6kiu</v>
      </c>
      <c r="AG97" t="s">
        <v>92</v>
      </c>
      <c r="AH97" t="s">
        <v>38</v>
      </c>
      <c r="AI97" t="str">
        <f t="shared" si="3"/>
        <v>E-R72Q</v>
      </c>
    </row>
    <row r="98" spans="1:35">
      <c r="A98" t="s">
        <v>323</v>
      </c>
      <c r="B98" t="s">
        <v>324</v>
      </c>
      <c r="C98" t="s">
        <v>231</v>
      </c>
      <c r="D98" t="s">
        <v>29</v>
      </c>
      <c r="E98" t="s">
        <v>232</v>
      </c>
      <c r="F98" t="s">
        <v>91</v>
      </c>
      <c r="G98" t="s">
        <v>38</v>
      </c>
      <c r="H98">
        <v>82</v>
      </c>
      <c r="I98">
        <v>175</v>
      </c>
      <c r="J98">
        <v>82</v>
      </c>
      <c r="K98">
        <v>81</v>
      </c>
      <c r="L98" t="s">
        <v>18</v>
      </c>
      <c r="M98" t="s">
        <v>324</v>
      </c>
      <c r="N98" t="s">
        <v>101</v>
      </c>
      <c r="O98" t="s">
        <v>93</v>
      </c>
      <c r="P98" t="s">
        <v>94</v>
      </c>
      <c r="Q98" t="s">
        <v>18</v>
      </c>
      <c r="R98" t="s">
        <v>95</v>
      </c>
      <c r="S98">
        <v>82</v>
      </c>
      <c r="T98" t="s">
        <v>18</v>
      </c>
      <c r="U98" t="s">
        <v>41</v>
      </c>
      <c r="V98" t="s">
        <v>279</v>
      </c>
      <c r="W98" t="s">
        <v>280</v>
      </c>
      <c r="X98" t="s">
        <v>280</v>
      </c>
      <c r="Y98">
        <v>0.059</v>
      </c>
      <c r="Z98">
        <v>0.424294857</v>
      </c>
      <c r="AA98" t="s">
        <v>95</v>
      </c>
      <c r="AB98" t="s">
        <v>21</v>
      </c>
      <c r="AC98" t="s">
        <v>22</v>
      </c>
      <c r="AD98" t="s">
        <v>23</v>
      </c>
      <c r="AE98" t="s">
        <v>24</v>
      </c>
      <c r="AF98" t="str">
        <f t="shared" si="4"/>
        <v>charge-altering-6kiw</v>
      </c>
      <c r="AG98" t="s">
        <v>101</v>
      </c>
      <c r="AH98" t="s">
        <v>38</v>
      </c>
      <c r="AI98" t="str">
        <f t="shared" si="3"/>
        <v>E-D81N</v>
      </c>
    </row>
    <row r="99" spans="1:35">
      <c r="A99" t="s">
        <v>325</v>
      </c>
      <c r="B99" t="s">
        <v>326</v>
      </c>
      <c r="C99" t="s">
        <v>231</v>
      </c>
      <c r="D99" t="s">
        <v>29</v>
      </c>
      <c r="E99" t="s">
        <v>232</v>
      </c>
      <c r="F99" t="s">
        <v>91</v>
      </c>
      <c r="G99" t="s">
        <v>38</v>
      </c>
      <c r="H99">
        <v>82</v>
      </c>
      <c r="I99">
        <v>175</v>
      </c>
      <c r="J99">
        <v>82</v>
      </c>
      <c r="K99">
        <v>81</v>
      </c>
      <c r="L99" t="s">
        <v>18</v>
      </c>
      <c r="M99" t="s">
        <v>326</v>
      </c>
      <c r="N99" t="s">
        <v>92</v>
      </c>
      <c r="O99" t="s">
        <v>93</v>
      </c>
      <c r="P99" t="s">
        <v>94</v>
      </c>
      <c r="Q99" t="s">
        <v>18</v>
      </c>
      <c r="R99" t="s">
        <v>95</v>
      </c>
      <c r="S99">
        <v>82</v>
      </c>
      <c r="T99" t="s">
        <v>18</v>
      </c>
      <c r="U99" t="s">
        <v>41</v>
      </c>
      <c r="V99" t="s">
        <v>279</v>
      </c>
      <c r="W99" t="s">
        <v>280</v>
      </c>
      <c r="X99" t="s">
        <v>280</v>
      </c>
      <c r="Y99">
        <v>0.14</v>
      </c>
      <c r="Z99">
        <v>0.424294857</v>
      </c>
      <c r="AA99" t="s">
        <v>95</v>
      </c>
      <c r="AB99" t="s">
        <v>21</v>
      </c>
      <c r="AC99" t="s">
        <v>22</v>
      </c>
      <c r="AD99" t="s">
        <v>23</v>
      </c>
      <c r="AE99" t="s">
        <v>24</v>
      </c>
      <c r="AF99" t="str">
        <f t="shared" si="4"/>
        <v>charge-altering-6kiu</v>
      </c>
      <c r="AG99" t="s">
        <v>92</v>
      </c>
      <c r="AH99" t="s">
        <v>38</v>
      </c>
      <c r="AI99" t="str">
        <f t="shared" si="3"/>
        <v>E-D81N</v>
      </c>
    </row>
    <row r="100" spans="1:35">
      <c r="A100" t="s">
        <v>327</v>
      </c>
      <c r="B100" t="s">
        <v>328</v>
      </c>
      <c r="C100" t="s">
        <v>231</v>
      </c>
      <c r="D100" t="s">
        <v>29</v>
      </c>
      <c r="E100" t="s">
        <v>232</v>
      </c>
      <c r="F100" t="s">
        <v>91</v>
      </c>
      <c r="G100" t="s">
        <v>38</v>
      </c>
      <c r="H100">
        <v>84</v>
      </c>
      <c r="I100">
        <v>177</v>
      </c>
      <c r="J100">
        <v>84</v>
      </c>
      <c r="K100">
        <v>83</v>
      </c>
      <c r="L100" t="s">
        <v>43</v>
      </c>
      <c r="M100" t="s">
        <v>328</v>
      </c>
      <c r="N100" t="s">
        <v>101</v>
      </c>
      <c r="O100" t="s">
        <v>93</v>
      </c>
      <c r="P100" t="s">
        <v>94</v>
      </c>
      <c r="Q100" t="s">
        <v>43</v>
      </c>
      <c r="R100" t="s">
        <v>95</v>
      </c>
      <c r="S100">
        <v>84</v>
      </c>
      <c r="T100" t="s">
        <v>43</v>
      </c>
      <c r="U100" t="s">
        <v>17</v>
      </c>
      <c r="V100" t="s">
        <v>285</v>
      </c>
      <c r="W100" t="s">
        <v>286</v>
      </c>
      <c r="X100" t="s">
        <v>286</v>
      </c>
      <c r="Y100">
        <v>1.308</v>
      </c>
      <c r="Z100">
        <v>0.091244182</v>
      </c>
      <c r="AA100" t="s">
        <v>107</v>
      </c>
      <c r="AB100" t="s">
        <v>42</v>
      </c>
      <c r="AC100" t="s">
        <v>22</v>
      </c>
      <c r="AD100" t="s">
        <v>23</v>
      </c>
      <c r="AE100" t="s">
        <v>24</v>
      </c>
      <c r="AF100" t="str">
        <f t="shared" si="4"/>
        <v>charge-altering-6kiw</v>
      </c>
      <c r="AG100" t="s">
        <v>101</v>
      </c>
      <c r="AH100" t="s">
        <v>38</v>
      </c>
      <c r="AI100" t="str">
        <f t="shared" si="3"/>
        <v>E-R83C</v>
      </c>
    </row>
    <row r="101" spans="1:35">
      <c r="A101" t="s">
        <v>329</v>
      </c>
      <c r="B101" t="s">
        <v>328</v>
      </c>
      <c r="C101" t="s">
        <v>231</v>
      </c>
      <c r="D101" t="s">
        <v>29</v>
      </c>
      <c r="E101" t="s">
        <v>232</v>
      </c>
      <c r="F101" t="s">
        <v>91</v>
      </c>
      <c r="G101" t="s">
        <v>38</v>
      </c>
      <c r="H101">
        <v>84</v>
      </c>
      <c r="I101">
        <v>177</v>
      </c>
      <c r="J101">
        <v>84</v>
      </c>
      <c r="K101">
        <v>83</v>
      </c>
      <c r="L101" t="s">
        <v>43</v>
      </c>
      <c r="M101" t="s">
        <v>328</v>
      </c>
      <c r="N101" t="s">
        <v>101</v>
      </c>
      <c r="O101" t="s">
        <v>93</v>
      </c>
      <c r="P101" t="s">
        <v>94</v>
      </c>
      <c r="Q101" t="s">
        <v>43</v>
      </c>
      <c r="R101" t="s">
        <v>95</v>
      </c>
      <c r="S101">
        <v>84</v>
      </c>
      <c r="T101" t="s">
        <v>43</v>
      </c>
      <c r="U101" t="s">
        <v>46</v>
      </c>
      <c r="V101" t="s">
        <v>288</v>
      </c>
      <c r="W101" t="s">
        <v>289</v>
      </c>
      <c r="X101" t="s">
        <v>289</v>
      </c>
      <c r="Y101">
        <v>1.308</v>
      </c>
      <c r="Z101">
        <v>0.091244182</v>
      </c>
      <c r="AA101" t="s">
        <v>107</v>
      </c>
      <c r="AB101" t="s">
        <v>42</v>
      </c>
      <c r="AC101" t="s">
        <v>22</v>
      </c>
      <c r="AD101" t="s">
        <v>23</v>
      </c>
      <c r="AE101" t="s">
        <v>24</v>
      </c>
      <c r="AF101" t="str">
        <f t="shared" si="4"/>
        <v>charge-altering-6kiw</v>
      </c>
      <c r="AG101" t="s">
        <v>101</v>
      </c>
      <c r="AH101" t="s">
        <v>38</v>
      </c>
      <c r="AI101" t="str">
        <f t="shared" si="3"/>
        <v>E-R83S</v>
      </c>
    </row>
    <row r="102" spans="1:35">
      <c r="A102" t="s">
        <v>330</v>
      </c>
      <c r="B102" t="s">
        <v>331</v>
      </c>
      <c r="C102" t="s">
        <v>231</v>
      </c>
      <c r="D102" t="s">
        <v>29</v>
      </c>
      <c r="E102" t="s">
        <v>232</v>
      </c>
      <c r="F102" t="s">
        <v>91</v>
      </c>
      <c r="G102" t="s">
        <v>38</v>
      </c>
      <c r="H102">
        <v>84</v>
      </c>
      <c r="I102">
        <v>177</v>
      </c>
      <c r="J102">
        <v>84</v>
      </c>
      <c r="K102">
        <v>83</v>
      </c>
      <c r="L102" t="s">
        <v>43</v>
      </c>
      <c r="M102" t="s">
        <v>331</v>
      </c>
      <c r="N102" t="s">
        <v>92</v>
      </c>
      <c r="O102" t="s">
        <v>93</v>
      </c>
      <c r="P102" t="s">
        <v>94</v>
      </c>
      <c r="Q102" t="s">
        <v>43</v>
      </c>
      <c r="R102" t="s">
        <v>95</v>
      </c>
      <c r="S102">
        <v>84</v>
      </c>
      <c r="T102" t="s">
        <v>43</v>
      </c>
      <c r="U102" t="s">
        <v>17</v>
      </c>
      <c r="V102" t="s">
        <v>285</v>
      </c>
      <c r="W102" t="s">
        <v>286</v>
      </c>
      <c r="X102" t="s">
        <v>286</v>
      </c>
      <c r="Y102">
        <v>1.37</v>
      </c>
      <c r="Z102">
        <v>0.091244182</v>
      </c>
      <c r="AA102" t="s">
        <v>107</v>
      </c>
      <c r="AB102" t="s">
        <v>42</v>
      </c>
      <c r="AC102" t="s">
        <v>22</v>
      </c>
      <c r="AD102" t="s">
        <v>23</v>
      </c>
      <c r="AE102" t="s">
        <v>24</v>
      </c>
      <c r="AF102" t="str">
        <f t="shared" si="4"/>
        <v>charge-altering-6kiu</v>
      </c>
      <c r="AG102" t="s">
        <v>92</v>
      </c>
      <c r="AH102" t="s">
        <v>38</v>
      </c>
      <c r="AI102" t="str">
        <f t="shared" si="3"/>
        <v>E-R83C</v>
      </c>
    </row>
    <row r="103" spans="1:35">
      <c r="A103" t="s">
        <v>332</v>
      </c>
      <c r="B103" t="s">
        <v>331</v>
      </c>
      <c r="C103" t="s">
        <v>231</v>
      </c>
      <c r="D103" t="s">
        <v>29</v>
      </c>
      <c r="E103" t="s">
        <v>232</v>
      </c>
      <c r="F103" t="s">
        <v>91</v>
      </c>
      <c r="G103" t="s">
        <v>38</v>
      </c>
      <c r="H103">
        <v>84</v>
      </c>
      <c r="I103">
        <v>177</v>
      </c>
      <c r="J103">
        <v>84</v>
      </c>
      <c r="K103">
        <v>83</v>
      </c>
      <c r="L103" t="s">
        <v>43</v>
      </c>
      <c r="M103" t="s">
        <v>331</v>
      </c>
      <c r="N103" t="s">
        <v>92</v>
      </c>
      <c r="O103" t="s">
        <v>93</v>
      </c>
      <c r="P103" t="s">
        <v>94</v>
      </c>
      <c r="Q103" t="s">
        <v>43</v>
      </c>
      <c r="R103" t="s">
        <v>95</v>
      </c>
      <c r="S103">
        <v>84</v>
      </c>
      <c r="T103" t="s">
        <v>43</v>
      </c>
      <c r="U103" t="s">
        <v>46</v>
      </c>
      <c r="V103" t="s">
        <v>288</v>
      </c>
      <c r="W103" t="s">
        <v>289</v>
      </c>
      <c r="X103" t="s">
        <v>289</v>
      </c>
      <c r="Y103">
        <v>1.37</v>
      </c>
      <c r="Z103">
        <v>0.091244182</v>
      </c>
      <c r="AA103" t="s">
        <v>107</v>
      </c>
      <c r="AB103" t="s">
        <v>42</v>
      </c>
      <c r="AC103" t="s">
        <v>22</v>
      </c>
      <c r="AD103" t="s">
        <v>23</v>
      </c>
      <c r="AE103" t="s">
        <v>24</v>
      </c>
      <c r="AF103" t="str">
        <f t="shared" si="4"/>
        <v>charge-altering-6kiu</v>
      </c>
      <c r="AG103" t="s">
        <v>92</v>
      </c>
      <c r="AH103" t="s">
        <v>38</v>
      </c>
      <c r="AI103" t="str">
        <f t="shared" si="3"/>
        <v>E-R83S</v>
      </c>
    </row>
    <row r="104" spans="1:35">
      <c r="A104" t="s">
        <v>333</v>
      </c>
      <c r="B104" t="s">
        <v>334</v>
      </c>
      <c r="C104" t="s">
        <v>89</v>
      </c>
      <c r="D104" t="s">
        <v>18</v>
      </c>
      <c r="E104" t="s">
        <v>90</v>
      </c>
      <c r="F104" t="s">
        <v>91</v>
      </c>
      <c r="G104" t="s">
        <v>45</v>
      </c>
      <c r="H104">
        <v>37</v>
      </c>
      <c r="I104">
        <v>42</v>
      </c>
      <c r="J104">
        <v>37</v>
      </c>
      <c r="K104">
        <v>33</v>
      </c>
      <c r="L104" t="s">
        <v>46</v>
      </c>
      <c r="M104" t="s">
        <v>334</v>
      </c>
      <c r="N104" t="s">
        <v>92</v>
      </c>
      <c r="O104" t="s">
        <v>93</v>
      </c>
      <c r="P104" t="s">
        <v>94</v>
      </c>
      <c r="Q104" t="s">
        <v>46</v>
      </c>
      <c r="R104" t="s">
        <v>95</v>
      </c>
      <c r="S104">
        <v>37</v>
      </c>
      <c r="T104" t="s">
        <v>46</v>
      </c>
      <c r="U104" t="s">
        <v>43</v>
      </c>
      <c r="V104" t="s">
        <v>335</v>
      </c>
      <c r="W104" t="s">
        <v>336</v>
      </c>
      <c r="X104" t="s">
        <v>337</v>
      </c>
      <c r="Y104">
        <v>0.087</v>
      </c>
      <c r="Z104">
        <v>0.124627129</v>
      </c>
      <c r="AA104" t="s">
        <v>107</v>
      </c>
      <c r="AB104" t="s">
        <v>57</v>
      </c>
      <c r="AC104" t="s">
        <v>54</v>
      </c>
      <c r="AD104" t="s">
        <v>55</v>
      </c>
      <c r="AE104" t="s">
        <v>24</v>
      </c>
      <c r="AF104" t="str">
        <f t="shared" si="4"/>
        <v>charge-altering-6kiu</v>
      </c>
      <c r="AG104" t="s">
        <v>92</v>
      </c>
      <c r="AH104" t="s">
        <v>45</v>
      </c>
      <c r="AI104" t="str">
        <f t="shared" si="3"/>
        <v>D-S33R</v>
      </c>
    </row>
    <row r="105" spans="1:35">
      <c r="A105" t="s">
        <v>338</v>
      </c>
      <c r="B105" t="s">
        <v>339</v>
      </c>
      <c r="C105" t="s">
        <v>89</v>
      </c>
      <c r="D105" t="s">
        <v>18</v>
      </c>
      <c r="E105" t="s">
        <v>90</v>
      </c>
      <c r="F105" t="s">
        <v>91</v>
      </c>
      <c r="G105" t="s">
        <v>45</v>
      </c>
      <c r="H105">
        <v>37</v>
      </c>
      <c r="I105">
        <v>42</v>
      </c>
      <c r="J105">
        <v>37</v>
      </c>
      <c r="K105">
        <v>33</v>
      </c>
      <c r="L105" t="s">
        <v>46</v>
      </c>
      <c r="M105" t="s">
        <v>339</v>
      </c>
      <c r="N105" t="s">
        <v>101</v>
      </c>
      <c r="O105" t="s">
        <v>93</v>
      </c>
      <c r="P105" t="s">
        <v>94</v>
      </c>
      <c r="Q105" t="s">
        <v>46</v>
      </c>
      <c r="R105" t="s">
        <v>95</v>
      </c>
      <c r="S105">
        <v>37</v>
      </c>
      <c r="T105" t="s">
        <v>46</v>
      </c>
      <c r="U105" t="s">
        <v>43</v>
      </c>
      <c r="V105" t="s">
        <v>335</v>
      </c>
      <c r="W105" t="s">
        <v>336</v>
      </c>
      <c r="X105" t="s">
        <v>337</v>
      </c>
      <c r="Y105">
        <v>0.064</v>
      </c>
      <c r="Z105">
        <v>0.124627129</v>
      </c>
      <c r="AA105" t="s">
        <v>107</v>
      </c>
      <c r="AB105" t="s">
        <v>57</v>
      </c>
      <c r="AC105" t="s">
        <v>54</v>
      </c>
      <c r="AD105" t="s">
        <v>55</v>
      </c>
      <c r="AE105" t="s">
        <v>24</v>
      </c>
      <c r="AF105" t="str">
        <f t="shared" si="4"/>
        <v>charge-altering-6kiw</v>
      </c>
      <c r="AG105" t="s">
        <v>101</v>
      </c>
      <c r="AH105" t="s">
        <v>45</v>
      </c>
      <c r="AI105" t="str">
        <f t="shared" si="3"/>
        <v>D-S33R</v>
      </c>
    </row>
    <row r="106" spans="1:35">
      <c r="A106" t="s">
        <v>340</v>
      </c>
      <c r="B106" t="s">
        <v>341</v>
      </c>
      <c r="C106" t="s">
        <v>89</v>
      </c>
      <c r="D106" t="s">
        <v>18</v>
      </c>
      <c r="E106" t="s">
        <v>90</v>
      </c>
      <c r="F106" t="s">
        <v>91</v>
      </c>
      <c r="G106" t="s">
        <v>45</v>
      </c>
      <c r="H106">
        <v>54</v>
      </c>
      <c r="I106">
        <v>59</v>
      </c>
      <c r="J106">
        <v>54</v>
      </c>
      <c r="K106">
        <v>50</v>
      </c>
      <c r="L106" t="s">
        <v>19</v>
      </c>
      <c r="M106" t="s">
        <v>341</v>
      </c>
      <c r="N106" t="s">
        <v>101</v>
      </c>
      <c r="O106" t="s">
        <v>93</v>
      </c>
      <c r="P106" t="s">
        <v>94</v>
      </c>
      <c r="Q106" t="s">
        <v>19</v>
      </c>
      <c r="R106" t="s">
        <v>95</v>
      </c>
      <c r="S106">
        <v>54</v>
      </c>
      <c r="T106" t="s">
        <v>19</v>
      </c>
      <c r="U106" t="s">
        <v>18</v>
      </c>
      <c r="V106" t="s">
        <v>342</v>
      </c>
      <c r="W106" t="s">
        <v>343</v>
      </c>
      <c r="X106" t="s">
        <v>344</v>
      </c>
      <c r="Y106">
        <v>0.018</v>
      </c>
      <c r="Z106">
        <v>0.041758075</v>
      </c>
      <c r="AA106" t="s">
        <v>107</v>
      </c>
      <c r="AB106" t="s">
        <v>53</v>
      </c>
      <c r="AC106" t="s">
        <v>54</v>
      </c>
      <c r="AD106" t="s">
        <v>55</v>
      </c>
      <c r="AE106" t="s">
        <v>24</v>
      </c>
      <c r="AF106" t="str">
        <f t="shared" si="4"/>
        <v>charge-altering-6kiw</v>
      </c>
      <c r="AG106" t="s">
        <v>101</v>
      </c>
      <c r="AH106" t="s">
        <v>45</v>
      </c>
      <c r="AI106" t="str">
        <f t="shared" si="3"/>
        <v>D-G50D</v>
      </c>
    </row>
    <row r="107" spans="1:35">
      <c r="A107" t="s">
        <v>345</v>
      </c>
      <c r="B107" t="s">
        <v>346</v>
      </c>
      <c r="C107" t="s">
        <v>89</v>
      </c>
      <c r="D107" t="s">
        <v>18</v>
      </c>
      <c r="E107" t="s">
        <v>90</v>
      </c>
      <c r="F107" t="s">
        <v>91</v>
      </c>
      <c r="G107" t="s">
        <v>45</v>
      </c>
      <c r="H107">
        <v>54</v>
      </c>
      <c r="I107">
        <v>59</v>
      </c>
      <c r="J107">
        <v>54</v>
      </c>
      <c r="K107">
        <v>50</v>
      </c>
      <c r="L107" t="s">
        <v>19</v>
      </c>
      <c r="M107" t="s">
        <v>346</v>
      </c>
      <c r="N107" t="s">
        <v>92</v>
      </c>
      <c r="O107" t="s">
        <v>93</v>
      </c>
      <c r="P107" t="s">
        <v>94</v>
      </c>
      <c r="Q107" t="s">
        <v>19</v>
      </c>
      <c r="R107" t="s">
        <v>95</v>
      </c>
      <c r="S107">
        <v>54</v>
      </c>
      <c r="T107" t="s">
        <v>19</v>
      </c>
      <c r="U107" t="s">
        <v>18</v>
      </c>
      <c r="V107" t="s">
        <v>342</v>
      </c>
      <c r="W107" t="s">
        <v>343</v>
      </c>
      <c r="X107" t="s">
        <v>344</v>
      </c>
      <c r="Y107">
        <v>0.037</v>
      </c>
      <c r="Z107">
        <v>0.041758075</v>
      </c>
      <c r="AA107" t="s">
        <v>107</v>
      </c>
      <c r="AB107" t="s">
        <v>53</v>
      </c>
      <c r="AC107" t="s">
        <v>54</v>
      </c>
      <c r="AD107" t="s">
        <v>55</v>
      </c>
      <c r="AE107" t="s">
        <v>24</v>
      </c>
      <c r="AF107" t="str">
        <f t="shared" si="4"/>
        <v>charge-altering-6kiu</v>
      </c>
      <c r="AG107" t="s">
        <v>92</v>
      </c>
      <c r="AH107" t="s">
        <v>45</v>
      </c>
      <c r="AI107" t="str">
        <f t="shared" si="3"/>
        <v>D-G50D</v>
      </c>
    </row>
    <row r="108" spans="1:35">
      <c r="A108" t="s">
        <v>347</v>
      </c>
      <c r="B108" t="s">
        <v>348</v>
      </c>
      <c r="C108" t="s">
        <v>89</v>
      </c>
      <c r="D108" t="s">
        <v>56</v>
      </c>
      <c r="E108" t="s">
        <v>90</v>
      </c>
      <c r="F108" t="s">
        <v>91</v>
      </c>
      <c r="G108" t="s">
        <v>45</v>
      </c>
      <c r="H108">
        <v>37</v>
      </c>
      <c r="I108">
        <v>42</v>
      </c>
      <c r="J108">
        <v>37</v>
      </c>
      <c r="K108">
        <v>33</v>
      </c>
      <c r="L108" t="s">
        <v>46</v>
      </c>
      <c r="M108" t="s">
        <v>348</v>
      </c>
      <c r="N108" t="s">
        <v>101</v>
      </c>
      <c r="O108" t="s">
        <v>93</v>
      </c>
      <c r="P108" t="s">
        <v>94</v>
      </c>
      <c r="Q108" t="s">
        <v>46</v>
      </c>
      <c r="R108" t="s">
        <v>95</v>
      </c>
      <c r="S108">
        <v>37</v>
      </c>
      <c r="T108" t="s">
        <v>46</v>
      </c>
      <c r="U108" t="s">
        <v>43</v>
      </c>
      <c r="V108" t="s">
        <v>335</v>
      </c>
      <c r="W108" t="s">
        <v>336</v>
      </c>
      <c r="X108" t="s">
        <v>337</v>
      </c>
      <c r="Y108">
        <v>0.107</v>
      </c>
      <c r="Z108">
        <v>0.124627129</v>
      </c>
      <c r="AA108" t="s">
        <v>107</v>
      </c>
      <c r="AB108" t="s">
        <v>57</v>
      </c>
      <c r="AC108" t="s">
        <v>54</v>
      </c>
      <c r="AD108" t="s">
        <v>55</v>
      </c>
      <c r="AE108" t="s">
        <v>24</v>
      </c>
      <c r="AF108" t="str">
        <f t="shared" si="4"/>
        <v>charge-altering-6kiw</v>
      </c>
      <c r="AG108" t="s">
        <v>101</v>
      </c>
      <c r="AH108" t="s">
        <v>45</v>
      </c>
      <c r="AI108" t="str">
        <f t="shared" si="3"/>
        <v>H-S33R</v>
      </c>
    </row>
    <row r="109" spans="1:35">
      <c r="A109" t="s">
        <v>349</v>
      </c>
      <c r="B109" t="s">
        <v>350</v>
      </c>
      <c r="C109" t="s">
        <v>89</v>
      </c>
      <c r="D109" t="s">
        <v>56</v>
      </c>
      <c r="E109" t="s">
        <v>90</v>
      </c>
      <c r="F109" t="s">
        <v>91</v>
      </c>
      <c r="G109" t="s">
        <v>45</v>
      </c>
      <c r="H109">
        <v>37</v>
      </c>
      <c r="I109">
        <v>42</v>
      </c>
      <c r="J109">
        <v>37</v>
      </c>
      <c r="K109">
        <v>33</v>
      </c>
      <c r="L109" t="s">
        <v>46</v>
      </c>
      <c r="M109" t="s">
        <v>350</v>
      </c>
      <c r="N109" t="s">
        <v>92</v>
      </c>
      <c r="O109" t="s">
        <v>93</v>
      </c>
      <c r="P109" t="s">
        <v>94</v>
      </c>
      <c r="Q109" t="s">
        <v>46</v>
      </c>
      <c r="R109" t="s">
        <v>95</v>
      </c>
      <c r="S109">
        <v>37</v>
      </c>
      <c r="T109" t="s">
        <v>46</v>
      </c>
      <c r="U109" t="s">
        <v>43</v>
      </c>
      <c r="V109" t="s">
        <v>335</v>
      </c>
      <c r="W109" t="s">
        <v>336</v>
      </c>
      <c r="X109" t="s">
        <v>337</v>
      </c>
      <c r="Y109">
        <v>0.005</v>
      </c>
      <c r="Z109">
        <v>0.124627129</v>
      </c>
      <c r="AA109" t="s">
        <v>107</v>
      </c>
      <c r="AB109" t="s">
        <v>57</v>
      </c>
      <c r="AC109" t="s">
        <v>54</v>
      </c>
      <c r="AD109" t="s">
        <v>55</v>
      </c>
      <c r="AE109" t="s">
        <v>24</v>
      </c>
      <c r="AF109" t="str">
        <f t="shared" si="4"/>
        <v>charge-altering-6kiu</v>
      </c>
      <c r="AG109" t="s">
        <v>92</v>
      </c>
      <c r="AH109" t="s">
        <v>45</v>
      </c>
      <c r="AI109" t="str">
        <f t="shared" si="3"/>
        <v>H-S33R</v>
      </c>
    </row>
    <row r="110" spans="1:35">
      <c r="A110" t="s">
        <v>351</v>
      </c>
      <c r="B110" t="s">
        <v>352</v>
      </c>
      <c r="C110" t="s">
        <v>89</v>
      </c>
      <c r="D110" t="s">
        <v>56</v>
      </c>
      <c r="E110" t="s">
        <v>90</v>
      </c>
      <c r="F110" t="s">
        <v>91</v>
      </c>
      <c r="G110" t="s">
        <v>45</v>
      </c>
      <c r="H110">
        <v>54</v>
      </c>
      <c r="I110">
        <v>59</v>
      </c>
      <c r="J110">
        <v>54</v>
      </c>
      <c r="K110">
        <v>50</v>
      </c>
      <c r="L110" t="s">
        <v>19</v>
      </c>
      <c r="M110" t="s">
        <v>352</v>
      </c>
      <c r="N110" t="s">
        <v>92</v>
      </c>
      <c r="O110" t="s">
        <v>93</v>
      </c>
      <c r="P110" t="s">
        <v>94</v>
      </c>
      <c r="Q110" t="s">
        <v>19</v>
      </c>
      <c r="R110" t="s">
        <v>95</v>
      </c>
      <c r="S110">
        <v>54</v>
      </c>
      <c r="T110" t="s">
        <v>19</v>
      </c>
      <c r="U110" t="s">
        <v>18</v>
      </c>
      <c r="V110" t="s">
        <v>342</v>
      </c>
      <c r="W110" t="s">
        <v>343</v>
      </c>
      <c r="X110" t="s">
        <v>344</v>
      </c>
      <c r="Y110">
        <v>-0.034</v>
      </c>
      <c r="Z110">
        <v>0.041758075</v>
      </c>
      <c r="AA110" t="s">
        <v>107</v>
      </c>
      <c r="AB110" t="s">
        <v>53</v>
      </c>
      <c r="AC110" t="s">
        <v>54</v>
      </c>
      <c r="AD110" t="s">
        <v>55</v>
      </c>
      <c r="AE110" t="s">
        <v>24</v>
      </c>
      <c r="AF110" t="str">
        <f t="shared" si="4"/>
        <v>charge-altering-6kiu</v>
      </c>
      <c r="AG110" t="s">
        <v>92</v>
      </c>
      <c r="AH110" t="s">
        <v>45</v>
      </c>
      <c r="AI110" t="str">
        <f t="shared" si="3"/>
        <v>H-G50D</v>
      </c>
    </row>
    <row r="111" spans="1:35">
      <c r="A111" t="s">
        <v>353</v>
      </c>
      <c r="B111" t="s">
        <v>354</v>
      </c>
      <c r="C111" t="s">
        <v>89</v>
      </c>
      <c r="D111" t="s">
        <v>56</v>
      </c>
      <c r="E111" t="s">
        <v>90</v>
      </c>
      <c r="F111" t="s">
        <v>91</v>
      </c>
      <c r="G111" t="s">
        <v>45</v>
      </c>
      <c r="H111">
        <v>54</v>
      </c>
      <c r="I111">
        <v>59</v>
      </c>
      <c r="J111">
        <v>54</v>
      </c>
      <c r="K111">
        <v>50</v>
      </c>
      <c r="L111" t="s">
        <v>19</v>
      </c>
      <c r="M111" t="s">
        <v>354</v>
      </c>
      <c r="N111" t="s">
        <v>101</v>
      </c>
      <c r="O111" t="s">
        <v>93</v>
      </c>
      <c r="P111" t="s">
        <v>94</v>
      </c>
      <c r="Q111" t="s">
        <v>19</v>
      </c>
      <c r="R111" t="s">
        <v>95</v>
      </c>
      <c r="S111">
        <v>54</v>
      </c>
      <c r="T111" t="s">
        <v>19</v>
      </c>
      <c r="U111" t="s">
        <v>18</v>
      </c>
      <c r="V111" t="s">
        <v>342</v>
      </c>
      <c r="W111" t="s">
        <v>343</v>
      </c>
      <c r="X111" t="s">
        <v>344</v>
      </c>
      <c r="Y111">
        <v>0.041</v>
      </c>
      <c r="Z111">
        <v>0.041758075</v>
      </c>
      <c r="AA111" t="s">
        <v>107</v>
      </c>
      <c r="AB111" t="s">
        <v>53</v>
      </c>
      <c r="AC111" t="s">
        <v>54</v>
      </c>
      <c r="AD111" t="s">
        <v>55</v>
      </c>
      <c r="AE111" t="s">
        <v>24</v>
      </c>
      <c r="AF111" t="str">
        <f t="shared" si="4"/>
        <v>charge-altering-6kiw</v>
      </c>
      <c r="AG111" t="s">
        <v>101</v>
      </c>
      <c r="AH111" t="s">
        <v>45</v>
      </c>
      <c r="AI111" t="str">
        <f t="shared" si="3"/>
        <v>H-G50D</v>
      </c>
    </row>
    <row r="112" spans="1:35">
      <c r="A112" t="s">
        <v>355</v>
      </c>
      <c r="B112" t="s">
        <v>356</v>
      </c>
      <c r="C112" t="s">
        <v>231</v>
      </c>
      <c r="D112" t="s">
        <v>32</v>
      </c>
      <c r="E112" t="s">
        <v>232</v>
      </c>
      <c r="F112" t="s">
        <v>91</v>
      </c>
      <c r="G112" t="s">
        <v>38</v>
      </c>
      <c r="H112">
        <v>45</v>
      </c>
      <c r="I112">
        <v>135</v>
      </c>
      <c r="J112">
        <v>45</v>
      </c>
      <c r="K112">
        <v>44</v>
      </c>
      <c r="L112" t="s">
        <v>19</v>
      </c>
      <c r="M112" t="s">
        <v>356</v>
      </c>
      <c r="N112" t="s">
        <v>92</v>
      </c>
      <c r="O112" t="s">
        <v>93</v>
      </c>
      <c r="P112" t="s">
        <v>94</v>
      </c>
      <c r="Q112" t="s">
        <v>19</v>
      </c>
      <c r="R112" t="s">
        <v>95</v>
      </c>
      <c r="S112">
        <v>45</v>
      </c>
      <c r="T112" t="s">
        <v>19</v>
      </c>
      <c r="U112" t="s">
        <v>18</v>
      </c>
      <c r="V112" t="s">
        <v>357</v>
      </c>
      <c r="W112" t="s">
        <v>358</v>
      </c>
      <c r="X112" t="s">
        <v>358</v>
      </c>
      <c r="Y112">
        <v>0.814</v>
      </c>
      <c r="Z112">
        <v>0.040909642</v>
      </c>
      <c r="AA112" t="s">
        <v>107</v>
      </c>
      <c r="AB112" t="s">
        <v>53</v>
      </c>
      <c r="AC112" t="s">
        <v>54</v>
      </c>
      <c r="AD112" t="s">
        <v>55</v>
      </c>
      <c r="AE112" t="s">
        <v>24</v>
      </c>
      <c r="AF112" t="str">
        <f t="shared" si="4"/>
        <v>charge-altering-6kiu</v>
      </c>
      <c r="AG112" t="s">
        <v>92</v>
      </c>
      <c r="AH112" t="s">
        <v>38</v>
      </c>
      <c r="AI112" t="str">
        <f t="shared" si="3"/>
        <v>A-G44D</v>
      </c>
    </row>
    <row r="113" spans="1:35">
      <c r="A113" t="s">
        <v>359</v>
      </c>
      <c r="B113" t="s">
        <v>360</v>
      </c>
      <c r="C113" t="s">
        <v>231</v>
      </c>
      <c r="D113" t="s">
        <v>32</v>
      </c>
      <c r="E113" t="s">
        <v>232</v>
      </c>
      <c r="F113" t="s">
        <v>91</v>
      </c>
      <c r="G113" t="s">
        <v>38</v>
      </c>
      <c r="H113">
        <v>45</v>
      </c>
      <c r="I113">
        <v>135</v>
      </c>
      <c r="J113">
        <v>45</v>
      </c>
      <c r="K113">
        <v>44</v>
      </c>
      <c r="L113" t="s">
        <v>19</v>
      </c>
      <c r="M113" t="s">
        <v>360</v>
      </c>
      <c r="N113" t="s">
        <v>101</v>
      </c>
      <c r="O113" t="s">
        <v>93</v>
      </c>
      <c r="P113" t="s">
        <v>94</v>
      </c>
      <c r="Q113" t="s">
        <v>19</v>
      </c>
      <c r="R113" t="s">
        <v>95</v>
      </c>
      <c r="S113">
        <v>45</v>
      </c>
      <c r="T113" t="s">
        <v>19</v>
      </c>
      <c r="U113" t="s">
        <v>18</v>
      </c>
      <c r="V113" t="s">
        <v>357</v>
      </c>
      <c r="W113" t="s">
        <v>358</v>
      </c>
      <c r="X113" t="s">
        <v>358</v>
      </c>
      <c r="Y113">
        <v>0.729</v>
      </c>
      <c r="Z113">
        <v>0.040909642</v>
      </c>
      <c r="AA113" t="s">
        <v>107</v>
      </c>
      <c r="AB113" t="s">
        <v>53</v>
      </c>
      <c r="AC113" t="s">
        <v>54</v>
      </c>
      <c r="AD113" t="s">
        <v>55</v>
      </c>
      <c r="AE113" t="s">
        <v>24</v>
      </c>
      <c r="AF113" t="str">
        <f t="shared" si="4"/>
        <v>charge-altering-6kiw</v>
      </c>
      <c r="AG113" t="s">
        <v>101</v>
      </c>
      <c r="AH113" t="s">
        <v>38</v>
      </c>
      <c r="AI113" t="str">
        <f t="shared" si="3"/>
        <v>A-G44D</v>
      </c>
    </row>
    <row r="114" spans="1:35">
      <c r="A114" t="s">
        <v>361</v>
      </c>
      <c r="B114" t="s">
        <v>362</v>
      </c>
      <c r="C114" t="s">
        <v>231</v>
      </c>
      <c r="D114" t="s">
        <v>32</v>
      </c>
      <c r="E114" t="s">
        <v>232</v>
      </c>
      <c r="F114" t="s">
        <v>91</v>
      </c>
      <c r="G114" t="s">
        <v>38</v>
      </c>
      <c r="H114">
        <v>48</v>
      </c>
      <c r="I114">
        <v>138</v>
      </c>
      <c r="J114">
        <v>48</v>
      </c>
      <c r="K114">
        <v>47</v>
      </c>
      <c r="L114" t="s">
        <v>32</v>
      </c>
      <c r="M114" t="s">
        <v>362</v>
      </c>
      <c r="N114" t="s">
        <v>92</v>
      </c>
      <c r="O114" t="s">
        <v>93</v>
      </c>
      <c r="P114" t="s">
        <v>94</v>
      </c>
      <c r="Q114" t="s">
        <v>32</v>
      </c>
      <c r="R114" t="s">
        <v>95</v>
      </c>
      <c r="S114">
        <v>48</v>
      </c>
      <c r="T114" t="s">
        <v>32</v>
      </c>
      <c r="U114" t="s">
        <v>29</v>
      </c>
      <c r="V114" t="s">
        <v>363</v>
      </c>
      <c r="W114" t="s">
        <v>364</v>
      </c>
      <c r="X114" t="s">
        <v>364</v>
      </c>
      <c r="Y114">
        <v>0.681</v>
      </c>
      <c r="Z114">
        <v>0.001144938</v>
      </c>
      <c r="AA114" t="s">
        <v>107</v>
      </c>
      <c r="AB114" t="s">
        <v>53</v>
      </c>
      <c r="AC114" t="s">
        <v>54</v>
      </c>
      <c r="AD114" t="s">
        <v>55</v>
      </c>
      <c r="AE114" t="s">
        <v>24</v>
      </c>
      <c r="AF114" t="str">
        <f t="shared" si="4"/>
        <v>charge-altering-6kiu</v>
      </c>
      <c r="AG114" t="s">
        <v>92</v>
      </c>
      <c r="AH114" t="s">
        <v>38</v>
      </c>
      <c r="AI114" t="str">
        <f t="shared" si="3"/>
        <v>A-A47E</v>
      </c>
    </row>
    <row r="115" spans="1:35">
      <c r="A115" t="s">
        <v>365</v>
      </c>
      <c r="B115" t="s">
        <v>366</v>
      </c>
      <c r="C115" t="s">
        <v>231</v>
      </c>
      <c r="D115" t="s">
        <v>32</v>
      </c>
      <c r="E115" t="s">
        <v>232</v>
      </c>
      <c r="F115" t="s">
        <v>91</v>
      </c>
      <c r="G115" t="s">
        <v>38</v>
      </c>
      <c r="H115">
        <v>48</v>
      </c>
      <c r="I115">
        <v>138</v>
      </c>
      <c r="J115">
        <v>48</v>
      </c>
      <c r="K115">
        <v>47</v>
      </c>
      <c r="L115" t="s">
        <v>32</v>
      </c>
      <c r="M115" t="s">
        <v>366</v>
      </c>
      <c r="N115" t="s">
        <v>101</v>
      </c>
      <c r="O115" t="s">
        <v>93</v>
      </c>
      <c r="P115" t="s">
        <v>94</v>
      </c>
      <c r="Q115" t="s">
        <v>32</v>
      </c>
      <c r="R115" t="s">
        <v>95</v>
      </c>
      <c r="S115">
        <v>48</v>
      </c>
      <c r="T115" t="s">
        <v>32</v>
      </c>
      <c r="U115" t="s">
        <v>29</v>
      </c>
      <c r="V115" t="s">
        <v>363</v>
      </c>
      <c r="W115" t="s">
        <v>364</v>
      </c>
      <c r="X115" t="s">
        <v>364</v>
      </c>
      <c r="Y115">
        <v>0.605</v>
      </c>
      <c r="Z115">
        <v>0.001144938</v>
      </c>
      <c r="AA115" t="s">
        <v>107</v>
      </c>
      <c r="AB115" t="s">
        <v>53</v>
      </c>
      <c r="AC115" t="s">
        <v>54</v>
      </c>
      <c r="AD115" t="s">
        <v>55</v>
      </c>
      <c r="AE115" t="s">
        <v>24</v>
      </c>
      <c r="AF115" t="str">
        <f t="shared" si="4"/>
        <v>charge-altering-6kiw</v>
      </c>
      <c r="AG115" t="s">
        <v>101</v>
      </c>
      <c r="AH115" t="s">
        <v>38</v>
      </c>
      <c r="AI115" t="str">
        <f t="shared" si="3"/>
        <v>A-A47E</v>
      </c>
    </row>
    <row r="116" spans="1:35">
      <c r="A116" t="s">
        <v>367</v>
      </c>
      <c r="B116" t="s">
        <v>368</v>
      </c>
      <c r="C116" t="s">
        <v>231</v>
      </c>
      <c r="D116" t="s">
        <v>29</v>
      </c>
      <c r="E116" t="s">
        <v>232</v>
      </c>
      <c r="F116" t="s">
        <v>91</v>
      </c>
      <c r="G116" t="s">
        <v>38</v>
      </c>
      <c r="H116">
        <v>45</v>
      </c>
      <c r="I116">
        <v>135</v>
      </c>
      <c r="J116">
        <v>45</v>
      </c>
      <c r="K116">
        <v>44</v>
      </c>
      <c r="L116" t="s">
        <v>19</v>
      </c>
      <c r="M116" t="s">
        <v>368</v>
      </c>
      <c r="N116" t="s">
        <v>101</v>
      </c>
      <c r="O116" t="s">
        <v>93</v>
      </c>
      <c r="P116" t="s">
        <v>94</v>
      </c>
      <c r="Q116" t="s">
        <v>19</v>
      </c>
      <c r="R116" t="s">
        <v>95</v>
      </c>
      <c r="S116">
        <v>45</v>
      </c>
      <c r="T116" t="s">
        <v>19</v>
      </c>
      <c r="U116" t="s">
        <v>18</v>
      </c>
      <c r="V116" t="s">
        <v>357</v>
      </c>
      <c r="W116" t="s">
        <v>358</v>
      </c>
      <c r="X116" t="s">
        <v>358</v>
      </c>
      <c r="Y116">
        <v>0.716</v>
      </c>
      <c r="Z116">
        <v>0.040909642</v>
      </c>
      <c r="AA116" t="s">
        <v>107</v>
      </c>
      <c r="AB116" t="s">
        <v>53</v>
      </c>
      <c r="AC116" t="s">
        <v>54</v>
      </c>
      <c r="AD116" t="s">
        <v>55</v>
      </c>
      <c r="AE116" t="s">
        <v>24</v>
      </c>
      <c r="AF116" t="str">
        <f t="shared" si="4"/>
        <v>charge-altering-6kiw</v>
      </c>
      <c r="AG116" t="s">
        <v>101</v>
      </c>
      <c r="AH116" t="s">
        <v>38</v>
      </c>
      <c r="AI116" t="str">
        <f t="shared" si="3"/>
        <v>E-G44D</v>
      </c>
    </row>
    <row r="117" spans="1:35">
      <c r="A117" t="s">
        <v>369</v>
      </c>
      <c r="B117" t="s">
        <v>370</v>
      </c>
      <c r="C117" t="s">
        <v>231</v>
      </c>
      <c r="D117" t="s">
        <v>29</v>
      </c>
      <c r="E117" t="s">
        <v>232</v>
      </c>
      <c r="F117" t="s">
        <v>91</v>
      </c>
      <c r="G117" t="s">
        <v>38</v>
      </c>
      <c r="H117">
        <v>45</v>
      </c>
      <c r="I117">
        <v>135</v>
      </c>
      <c r="J117">
        <v>45</v>
      </c>
      <c r="K117">
        <v>44</v>
      </c>
      <c r="L117" t="s">
        <v>19</v>
      </c>
      <c r="M117" t="s">
        <v>370</v>
      </c>
      <c r="N117" t="s">
        <v>92</v>
      </c>
      <c r="O117" t="s">
        <v>93</v>
      </c>
      <c r="P117" t="s">
        <v>94</v>
      </c>
      <c r="Q117" t="s">
        <v>19</v>
      </c>
      <c r="R117" t="s">
        <v>95</v>
      </c>
      <c r="S117">
        <v>45</v>
      </c>
      <c r="T117" t="s">
        <v>19</v>
      </c>
      <c r="U117" t="s">
        <v>18</v>
      </c>
      <c r="V117" t="s">
        <v>357</v>
      </c>
      <c r="W117" t="s">
        <v>358</v>
      </c>
      <c r="X117" t="s">
        <v>358</v>
      </c>
      <c r="Y117">
        <v>0.812</v>
      </c>
      <c r="Z117">
        <v>0.040909642</v>
      </c>
      <c r="AA117" t="s">
        <v>107</v>
      </c>
      <c r="AB117" t="s">
        <v>53</v>
      </c>
      <c r="AC117" t="s">
        <v>54</v>
      </c>
      <c r="AD117" t="s">
        <v>55</v>
      </c>
      <c r="AE117" t="s">
        <v>24</v>
      </c>
      <c r="AF117" t="str">
        <f t="shared" si="4"/>
        <v>charge-altering-6kiu</v>
      </c>
      <c r="AG117" t="s">
        <v>92</v>
      </c>
      <c r="AH117" t="s">
        <v>38</v>
      </c>
      <c r="AI117" t="str">
        <f t="shared" si="3"/>
        <v>E-G44D</v>
      </c>
    </row>
    <row r="118" spans="1:35">
      <c r="A118" t="s">
        <v>371</v>
      </c>
      <c r="B118" t="s">
        <v>372</v>
      </c>
      <c r="C118" t="s">
        <v>231</v>
      </c>
      <c r="D118" t="s">
        <v>29</v>
      </c>
      <c r="E118" t="s">
        <v>232</v>
      </c>
      <c r="F118" t="s">
        <v>91</v>
      </c>
      <c r="G118" t="s">
        <v>38</v>
      </c>
      <c r="H118">
        <v>48</v>
      </c>
      <c r="I118">
        <v>138</v>
      </c>
      <c r="J118">
        <v>48</v>
      </c>
      <c r="K118">
        <v>47</v>
      </c>
      <c r="L118" t="s">
        <v>32</v>
      </c>
      <c r="M118" t="s">
        <v>372</v>
      </c>
      <c r="N118" t="s">
        <v>101</v>
      </c>
      <c r="O118" t="s">
        <v>93</v>
      </c>
      <c r="P118" t="s">
        <v>94</v>
      </c>
      <c r="Q118" t="s">
        <v>32</v>
      </c>
      <c r="R118" t="s">
        <v>95</v>
      </c>
      <c r="S118">
        <v>48</v>
      </c>
      <c r="T118" t="s">
        <v>32</v>
      </c>
      <c r="U118" t="s">
        <v>29</v>
      </c>
      <c r="V118" t="s">
        <v>363</v>
      </c>
      <c r="W118" t="s">
        <v>364</v>
      </c>
      <c r="X118" t="s">
        <v>364</v>
      </c>
      <c r="Y118">
        <v>0.605</v>
      </c>
      <c r="Z118">
        <v>0.001144938</v>
      </c>
      <c r="AA118" t="s">
        <v>107</v>
      </c>
      <c r="AB118" t="s">
        <v>53</v>
      </c>
      <c r="AC118" t="s">
        <v>54</v>
      </c>
      <c r="AD118" t="s">
        <v>55</v>
      </c>
      <c r="AE118" t="s">
        <v>24</v>
      </c>
      <c r="AF118" t="str">
        <f t="shared" si="4"/>
        <v>charge-altering-6kiw</v>
      </c>
      <c r="AG118" t="s">
        <v>101</v>
      </c>
      <c r="AH118" t="s">
        <v>38</v>
      </c>
      <c r="AI118" t="str">
        <f t="shared" si="3"/>
        <v>E-A47E</v>
      </c>
    </row>
    <row r="119" spans="1:35">
      <c r="A119" t="s">
        <v>373</v>
      </c>
      <c r="B119" t="s">
        <v>374</v>
      </c>
      <c r="C119" t="s">
        <v>231</v>
      </c>
      <c r="D119" t="s">
        <v>29</v>
      </c>
      <c r="E119" t="s">
        <v>232</v>
      </c>
      <c r="F119" t="s">
        <v>91</v>
      </c>
      <c r="G119" t="s">
        <v>38</v>
      </c>
      <c r="H119">
        <v>48</v>
      </c>
      <c r="I119">
        <v>138</v>
      </c>
      <c r="J119">
        <v>48</v>
      </c>
      <c r="K119">
        <v>47</v>
      </c>
      <c r="L119" t="s">
        <v>32</v>
      </c>
      <c r="M119" t="s">
        <v>374</v>
      </c>
      <c r="N119" t="s">
        <v>92</v>
      </c>
      <c r="O119" t="s">
        <v>93</v>
      </c>
      <c r="P119" t="s">
        <v>94</v>
      </c>
      <c r="Q119" t="s">
        <v>32</v>
      </c>
      <c r="R119" t="s">
        <v>95</v>
      </c>
      <c r="S119">
        <v>48</v>
      </c>
      <c r="T119" t="s">
        <v>32</v>
      </c>
      <c r="U119" t="s">
        <v>29</v>
      </c>
      <c r="V119" t="s">
        <v>363</v>
      </c>
      <c r="W119" t="s">
        <v>364</v>
      </c>
      <c r="X119" t="s">
        <v>364</v>
      </c>
      <c r="Y119">
        <v>0.681</v>
      </c>
      <c r="Z119">
        <v>0.001144938</v>
      </c>
      <c r="AA119" t="s">
        <v>107</v>
      </c>
      <c r="AB119" t="s">
        <v>53</v>
      </c>
      <c r="AC119" t="s">
        <v>54</v>
      </c>
      <c r="AD119" t="s">
        <v>55</v>
      </c>
      <c r="AE119" t="s">
        <v>24</v>
      </c>
      <c r="AF119" t="str">
        <f t="shared" si="4"/>
        <v>charge-altering-6kiu</v>
      </c>
      <c r="AG119" t="s">
        <v>92</v>
      </c>
      <c r="AH119" t="s">
        <v>38</v>
      </c>
      <c r="AI119" t="str">
        <f t="shared" si="3"/>
        <v>E-A47E</v>
      </c>
    </row>
    <row r="120" spans="1:35">
      <c r="A120" t="s">
        <v>375</v>
      </c>
      <c r="B120" t="s">
        <v>278</v>
      </c>
      <c r="C120" t="s">
        <v>231</v>
      </c>
      <c r="D120" t="s">
        <v>32</v>
      </c>
      <c r="E120" t="s">
        <v>232</v>
      </c>
      <c r="F120" t="s">
        <v>91</v>
      </c>
      <c r="G120" t="s">
        <v>38</v>
      </c>
      <c r="H120">
        <v>82</v>
      </c>
      <c r="I120">
        <v>175</v>
      </c>
      <c r="J120">
        <v>82</v>
      </c>
      <c r="K120">
        <v>81</v>
      </c>
      <c r="L120" t="s">
        <v>18</v>
      </c>
      <c r="M120" t="s">
        <v>278</v>
      </c>
      <c r="N120" t="s">
        <v>92</v>
      </c>
      <c r="O120" t="s">
        <v>93</v>
      </c>
      <c r="P120" t="s">
        <v>94</v>
      </c>
      <c r="Q120" t="s">
        <v>18</v>
      </c>
      <c r="R120" t="s">
        <v>95</v>
      </c>
      <c r="S120">
        <v>82</v>
      </c>
      <c r="T120" t="s">
        <v>18</v>
      </c>
      <c r="U120" t="s">
        <v>56</v>
      </c>
      <c r="V120" t="s">
        <v>376</v>
      </c>
      <c r="W120" t="s">
        <v>377</v>
      </c>
      <c r="X120" t="s">
        <v>377</v>
      </c>
      <c r="Y120">
        <v>0.067</v>
      </c>
      <c r="Z120">
        <v>0.424294857</v>
      </c>
      <c r="AA120" t="s">
        <v>95</v>
      </c>
      <c r="AB120" t="s">
        <v>50</v>
      </c>
      <c r="AC120" t="s">
        <v>51</v>
      </c>
      <c r="AD120" t="s">
        <v>52</v>
      </c>
      <c r="AE120" t="s">
        <v>24</v>
      </c>
      <c r="AF120" t="str">
        <f t="shared" si="4"/>
        <v>charge-altering-6kiu</v>
      </c>
      <c r="AG120" t="s">
        <v>92</v>
      </c>
      <c r="AH120" t="s">
        <v>38</v>
      </c>
      <c r="AI120" t="str">
        <f t="shared" si="3"/>
        <v>A-D81H</v>
      </c>
    </row>
    <row r="121" spans="1:35">
      <c r="A121" t="s">
        <v>378</v>
      </c>
      <c r="B121" t="s">
        <v>282</v>
      </c>
      <c r="C121" t="s">
        <v>231</v>
      </c>
      <c r="D121" t="s">
        <v>32</v>
      </c>
      <c r="E121" t="s">
        <v>232</v>
      </c>
      <c r="F121" t="s">
        <v>91</v>
      </c>
      <c r="G121" t="s">
        <v>38</v>
      </c>
      <c r="H121">
        <v>82</v>
      </c>
      <c r="I121">
        <v>175</v>
      </c>
      <c r="J121">
        <v>82</v>
      </c>
      <c r="K121">
        <v>81</v>
      </c>
      <c r="L121" t="s">
        <v>18</v>
      </c>
      <c r="M121" t="s">
        <v>282</v>
      </c>
      <c r="N121" t="s">
        <v>101</v>
      </c>
      <c r="O121" t="s">
        <v>93</v>
      </c>
      <c r="P121" t="s">
        <v>94</v>
      </c>
      <c r="Q121" t="s">
        <v>18</v>
      </c>
      <c r="R121" t="s">
        <v>95</v>
      </c>
      <c r="S121">
        <v>82</v>
      </c>
      <c r="T121" t="s">
        <v>18</v>
      </c>
      <c r="U121" t="s">
        <v>56</v>
      </c>
      <c r="V121" t="s">
        <v>376</v>
      </c>
      <c r="W121" t="s">
        <v>377</v>
      </c>
      <c r="X121" t="s">
        <v>377</v>
      </c>
      <c r="Y121">
        <v>0.014</v>
      </c>
      <c r="Z121">
        <v>0.424294857</v>
      </c>
      <c r="AA121" t="s">
        <v>95</v>
      </c>
      <c r="AB121" t="s">
        <v>50</v>
      </c>
      <c r="AC121" t="s">
        <v>51</v>
      </c>
      <c r="AD121" t="s">
        <v>52</v>
      </c>
      <c r="AE121" t="s">
        <v>24</v>
      </c>
      <c r="AF121" t="str">
        <f t="shared" si="4"/>
        <v>charge-altering-6kiw</v>
      </c>
      <c r="AG121" t="s">
        <v>101</v>
      </c>
      <c r="AH121" t="s">
        <v>38</v>
      </c>
      <c r="AI121" t="str">
        <f t="shared" si="3"/>
        <v>A-D81H</v>
      </c>
    </row>
    <row r="122" spans="1:35">
      <c r="A122" t="s">
        <v>379</v>
      </c>
      <c r="B122" t="s">
        <v>324</v>
      </c>
      <c r="C122" t="s">
        <v>231</v>
      </c>
      <c r="D122" t="s">
        <v>29</v>
      </c>
      <c r="E122" t="s">
        <v>232</v>
      </c>
      <c r="F122" t="s">
        <v>91</v>
      </c>
      <c r="G122" t="s">
        <v>38</v>
      </c>
      <c r="H122">
        <v>82</v>
      </c>
      <c r="I122">
        <v>175</v>
      </c>
      <c r="J122">
        <v>82</v>
      </c>
      <c r="K122">
        <v>81</v>
      </c>
      <c r="L122" t="s">
        <v>18</v>
      </c>
      <c r="M122" t="s">
        <v>324</v>
      </c>
      <c r="N122" t="s">
        <v>101</v>
      </c>
      <c r="O122" t="s">
        <v>93</v>
      </c>
      <c r="P122" t="s">
        <v>94</v>
      </c>
      <c r="Q122" t="s">
        <v>18</v>
      </c>
      <c r="R122" t="s">
        <v>95</v>
      </c>
      <c r="S122">
        <v>82</v>
      </c>
      <c r="T122" t="s">
        <v>18</v>
      </c>
      <c r="U122" t="s">
        <v>56</v>
      </c>
      <c r="V122" t="s">
        <v>376</v>
      </c>
      <c r="W122" t="s">
        <v>377</v>
      </c>
      <c r="X122" t="s">
        <v>377</v>
      </c>
      <c r="Y122">
        <v>0.059</v>
      </c>
      <c r="Z122">
        <v>0.424294857</v>
      </c>
      <c r="AA122" t="s">
        <v>95</v>
      </c>
      <c r="AB122" t="s">
        <v>50</v>
      </c>
      <c r="AC122" t="s">
        <v>51</v>
      </c>
      <c r="AD122" t="s">
        <v>52</v>
      </c>
      <c r="AE122" t="s">
        <v>24</v>
      </c>
      <c r="AF122" t="str">
        <f t="shared" si="4"/>
        <v>charge-altering-6kiw</v>
      </c>
      <c r="AG122" t="s">
        <v>101</v>
      </c>
      <c r="AH122" t="s">
        <v>38</v>
      </c>
      <c r="AI122" t="str">
        <f t="shared" si="3"/>
        <v>E-D81H</v>
      </c>
    </row>
    <row r="123" spans="1:35">
      <c r="A123" t="s">
        <v>380</v>
      </c>
      <c r="B123" t="s">
        <v>326</v>
      </c>
      <c r="C123" t="s">
        <v>231</v>
      </c>
      <c r="D123" t="s">
        <v>29</v>
      </c>
      <c r="E123" t="s">
        <v>232</v>
      </c>
      <c r="F123" t="s">
        <v>91</v>
      </c>
      <c r="G123" t="s">
        <v>38</v>
      </c>
      <c r="H123">
        <v>82</v>
      </c>
      <c r="I123">
        <v>175</v>
      </c>
      <c r="J123">
        <v>82</v>
      </c>
      <c r="K123">
        <v>81</v>
      </c>
      <c r="L123" t="s">
        <v>18</v>
      </c>
      <c r="M123" t="s">
        <v>326</v>
      </c>
      <c r="N123" t="s">
        <v>92</v>
      </c>
      <c r="O123" t="s">
        <v>93</v>
      </c>
      <c r="P123" t="s">
        <v>94</v>
      </c>
      <c r="Q123" t="s">
        <v>18</v>
      </c>
      <c r="R123" t="s">
        <v>95</v>
      </c>
      <c r="S123">
        <v>82</v>
      </c>
      <c r="T123" t="s">
        <v>18</v>
      </c>
      <c r="U123" t="s">
        <v>56</v>
      </c>
      <c r="V123" t="s">
        <v>376</v>
      </c>
      <c r="W123" t="s">
        <v>377</v>
      </c>
      <c r="X123" t="s">
        <v>377</v>
      </c>
      <c r="Y123">
        <v>0.14</v>
      </c>
      <c r="Z123">
        <v>0.424294857</v>
      </c>
      <c r="AA123" t="s">
        <v>95</v>
      </c>
      <c r="AB123" t="s">
        <v>50</v>
      </c>
      <c r="AC123" t="s">
        <v>51</v>
      </c>
      <c r="AD123" t="s">
        <v>52</v>
      </c>
      <c r="AE123" t="s">
        <v>24</v>
      </c>
      <c r="AF123" t="str">
        <f t="shared" si="4"/>
        <v>charge-altering-6kiu</v>
      </c>
      <c r="AG123" t="s">
        <v>92</v>
      </c>
      <c r="AH123" t="s">
        <v>38</v>
      </c>
      <c r="AI123" t="str">
        <f t="shared" si="3"/>
        <v>E-D81H</v>
      </c>
    </row>
    <row r="124" spans="1:35">
      <c r="A124" t="s">
        <v>381</v>
      </c>
      <c r="B124" t="s">
        <v>334</v>
      </c>
      <c r="C124" t="s">
        <v>89</v>
      </c>
      <c r="D124" t="s">
        <v>18</v>
      </c>
      <c r="E124" t="s">
        <v>90</v>
      </c>
      <c r="F124" t="s">
        <v>91</v>
      </c>
      <c r="G124" t="s">
        <v>45</v>
      </c>
      <c r="H124">
        <v>37</v>
      </c>
      <c r="I124">
        <v>42</v>
      </c>
      <c r="J124">
        <v>37</v>
      </c>
      <c r="K124">
        <v>33</v>
      </c>
      <c r="L124" t="s">
        <v>46</v>
      </c>
      <c r="M124" t="s">
        <v>334</v>
      </c>
      <c r="N124" t="s">
        <v>92</v>
      </c>
      <c r="O124" t="s">
        <v>93</v>
      </c>
      <c r="P124" t="s">
        <v>94</v>
      </c>
      <c r="Q124" t="s">
        <v>46</v>
      </c>
      <c r="R124" t="s">
        <v>95</v>
      </c>
      <c r="S124">
        <v>37</v>
      </c>
      <c r="T124" t="s">
        <v>46</v>
      </c>
      <c r="U124" t="s">
        <v>41</v>
      </c>
      <c r="V124" t="s">
        <v>382</v>
      </c>
      <c r="W124" t="s">
        <v>383</v>
      </c>
      <c r="X124" t="s">
        <v>384</v>
      </c>
      <c r="Y124">
        <v>0.087</v>
      </c>
      <c r="Z124">
        <v>0.124627129</v>
      </c>
      <c r="AA124" t="s">
        <v>107</v>
      </c>
      <c r="AB124" t="s">
        <v>34</v>
      </c>
      <c r="AC124" t="s">
        <v>35</v>
      </c>
      <c r="AD124" t="s">
        <v>36</v>
      </c>
      <c r="AE124" t="s">
        <v>37</v>
      </c>
      <c r="AF124" t="str">
        <f t="shared" si="4"/>
        <v>non-charge-altering-6kiu</v>
      </c>
      <c r="AG124" t="s">
        <v>92</v>
      </c>
      <c r="AH124" t="s">
        <v>45</v>
      </c>
      <c r="AI124" t="str">
        <f t="shared" si="3"/>
        <v>D-S33N</v>
      </c>
    </row>
    <row r="125" spans="1:35">
      <c r="A125" t="s">
        <v>385</v>
      </c>
      <c r="B125" t="s">
        <v>339</v>
      </c>
      <c r="C125" t="s">
        <v>89</v>
      </c>
      <c r="D125" t="s">
        <v>18</v>
      </c>
      <c r="E125" t="s">
        <v>90</v>
      </c>
      <c r="F125" t="s">
        <v>91</v>
      </c>
      <c r="G125" t="s">
        <v>45</v>
      </c>
      <c r="H125">
        <v>37</v>
      </c>
      <c r="I125">
        <v>42</v>
      </c>
      <c r="J125">
        <v>37</v>
      </c>
      <c r="K125">
        <v>33</v>
      </c>
      <c r="L125" t="s">
        <v>46</v>
      </c>
      <c r="M125" t="s">
        <v>339</v>
      </c>
      <c r="N125" t="s">
        <v>101</v>
      </c>
      <c r="O125" t="s">
        <v>93</v>
      </c>
      <c r="P125" t="s">
        <v>94</v>
      </c>
      <c r="Q125" t="s">
        <v>46</v>
      </c>
      <c r="R125" t="s">
        <v>95</v>
      </c>
      <c r="S125">
        <v>37</v>
      </c>
      <c r="T125" t="s">
        <v>46</v>
      </c>
      <c r="U125" t="s">
        <v>41</v>
      </c>
      <c r="V125" t="s">
        <v>382</v>
      </c>
      <c r="W125" t="s">
        <v>383</v>
      </c>
      <c r="X125" t="s">
        <v>384</v>
      </c>
      <c r="Y125">
        <v>0.064</v>
      </c>
      <c r="Z125">
        <v>0.124627129</v>
      </c>
      <c r="AA125" t="s">
        <v>107</v>
      </c>
      <c r="AB125" t="s">
        <v>34</v>
      </c>
      <c r="AC125" t="s">
        <v>35</v>
      </c>
      <c r="AD125" t="s">
        <v>36</v>
      </c>
      <c r="AE125" t="s">
        <v>37</v>
      </c>
      <c r="AF125" t="str">
        <f t="shared" si="4"/>
        <v>non-charge-altering-6kiw</v>
      </c>
      <c r="AG125" t="s">
        <v>101</v>
      </c>
      <c r="AH125" t="s">
        <v>45</v>
      </c>
      <c r="AI125" t="str">
        <f t="shared" si="3"/>
        <v>D-S33N</v>
      </c>
    </row>
    <row r="126" spans="1:35">
      <c r="A126" t="s">
        <v>386</v>
      </c>
      <c r="B126" t="s">
        <v>387</v>
      </c>
      <c r="C126" t="s">
        <v>89</v>
      </c>
      <c r="D126" t="s">
        <v>18</v>
      </c>
      <c r="E126" t="s">
        <v>90</v>
      </c>
      <c r="F126" t="s">
        <v>91</v>
      </c>
      <c r="G126" t="s">
        <v>45</v>
      </c>
      <c r="H126">
        <v>43</v>
      </c>
      <c r="I126">
        <v>48</v>
      </c>
      <c r="J126">
        <v>43</v>
      </c>
      <c r="K126">
        <v>39</v>
      </c>
      <c r="L126" t="s">
        <v>49</v>
      </c>
      <c r="M126" t="s">
        <v>387</v>
      </c>
      <c r="N126" t="s">
        <v>101</v>
      </c>
      <c r="O126" t="s">
        <v>93</v>
      </c>
      <c r="P126" t="s">
        <v>94</v>
      </c>
      <c r="Q126" t="s">
        <v>49</v>
      </c>
      <c r="R126" t="s">
        <v>95</v>
      </c>
      <c r="S126">
        <v>43</v>
      </c>
      <c r="T126" t="s">
        <v>49</v>
      </c>
      <c r="U126" t="s">
        <v>17</v>
      </c>
      <c r="V126" t="s">
        <v>388</v>
      </c>
      <c r="W126" t="s">
        <v>389</v>
      </c>
      <c r="X126" t="s">
        <v>390</v>
      </c>
      <c r="Y126">
        <v>0.744</v>
      </c>
      <c r="Z126">
        <v>0.137062257</v>
      </c>
      <c r="AA126" t="s">
        <v>107</v>
      </c>
      <c r="AB126" t="s">
        <v>34</v>
      </c>
      <c r="AC126" t="s">
        <v>35</v>
      </c>
      <c r="AD126" t="s">
        <v>36</v>
      </c>
      <c r="AE126" t="s">
        <v>37</v>
      </c>
      <c r="AF126" t="str">
        <f t="shared" si="4"/>
        <v>non-charge-altering-6kiw</v>
      </c>
      <c r="AG126" t="s">
        <v>101</v>
      </c>
      <c r="AH126" t="s">
        <v>45</v>
      </c>
      <c r="AI126" t="str">
        <f t="shared" si="3"/>
        <v>D-Y39C</v>
      </c>
    </row>
    <row r="127" spans="1:35">
      <c r="A127" t="s">
        <v>391</v>
      </c>
      <c r="B127" t="s">
        <v>392</v>
      </c>
      <c r="C127" t="s">
        <v>89</v>
      </c>
      <c r="D127" t="s">
        <v>18</v>
      </c>
      <c r="E127" t="s">
        <v>90</v>
      </c>
      <c r="F127" t="s">
        <v>91</v>
      </c>
      <c r="G127" t="s">
        <v>45</v>
      </c>
      <c r="H127">
        <v>43</v>
      </c>
      <c r="I127">
        <v>48</v>
      </c>
      <c r="J127">
        <v>43</v>
      </c>
      <c r="K127">
        <v>39</v>
      </c>
      <c r="L127" t="s">
        <v>49</v>
      </c>
      <c r="M127" t="s">
        <v>392</v>
      </c>
      <c r="N127" t="s">
        <v>92</v>
      </c>
      <c r="O127" t="s">
        <v>93</v>
      </c>
      <c r="P127" t="s">
        <v>94</v>
      </c>
      <c r="Q127" t="s">
        <v>49</v>
      </c>
      <c r="R127" t="s">
        <v>95</v>
      </c>
      <c r="S127">
        <v>43</v>
      </c>
      <c r="T127" t="s">
        <v>49</v>
      </c>
      <c r="U127" t="s">
        <v>17</v>
      </c>
      <c r="V127" t="s">
        <v>388</v>
      </c>
      <c r="W127" t="s">
        <v>389</v>
      </c>
      <c r="X127" t="s">
        <v>390</v>
      </c>
      <c r="Y127">
        <v>0.949</v>
      </c>
      <c r="Z127">
        <v>0.137062257</v>
      </c>
      <c r="AA127" t="s">
        <v>107</v>
      </c>
      <c r="AB127" t="s">
        <v>34</v>
      </c>
      <c r="AC127" t="s">
        <v>35</v>
      </c>
      <c r="AD127" t="s">
        <v>36</v>
      </c>
      <c r="AE127" t="s">
        <v>37</v>
      </c>
      <c r="AF127" t="str">
        <f t="shared" si="4"/>
        <v>non-charge-altering-6kiu</v>
      </c>
      <c r="AG127" t="s">
        <v>92</v>
      </c>
      <c r="AH127" t="s">
        <v>45</v>
      </c>
      <c r="AI127" t="str">
        <f t="shared" ref="AI127:AI157" si="5">D127&amp;"-"&amp;X127</f>
        <v>D-Y39C</v>
      </c>
    </row>
    <row r="128" spans="1:35">
      <c r="A128" t="s">
        <v>393</v>
      </c>
      <c r="B128" t="s">
        <v>341</v>
      </c>
      <c r="C128" t="s">
        <v>89</v>
      </c>
      <c r="D128" t="s">
        <v>18</v>
      </c>
      <c r="E128" t="s">
        <v>90</v>
      </c>
      <c r="F128" t="s">
        <v>91</v>
      </c>
      <c r="G128" t="s">
        <v>45</v>
      </c>
      <c r="H128">
        <v>54</v>
      </c>
      <c r="I128">
        <v>59</v>
      </c>
      <c r="J128">
        <v>54</v>
      </c>
      <c r="K128">
        <v>50</v>
      </c>
      <c r="L128" t="s">
        <v>19</v>
      </c>
      <c r="M128" t="s">
        <v>341</v>
      </c>
      <c r="N128" t="s">
        <v>101</v>
      </c>
      <c r="O128" t="s">
        <v>93</v>
      </c>
      <c r="P128" t="s">
        <v>94</v>
      </c>
      <c r="Q128" t="s">
        <v>19</v>
      </c>
      <c r="R128" t="s">
        <v>95</v>
      </c>
      <c r="S128">
        <v>54</v>
      </c>
      <c r="T128" t="s">
        <v>19</v>
      </c>
      <c r="U128" t="s">
        <v>32</v>
      </c>
      <c r="V128" t="s">
        <v>394</v>
      </c>
      <c r="W128" t="s">
        <v>395</v>
      </c>
      <c r="X128" t="s">
        <v>396</v>
      </c>
      <c r="Y128">
        <v>0.018</v>
      </c>
      <c r="Z128">
        <v>0.041758075</v>
      </c>
      <c r="AA128" t="s">
        <v>107</v>
      </c>
      <c r="AB128" t="s">
        <v>34</v>
      </c>
      <c r="AC128" t="s">
        <v>35</v>
      </c>
      <c r="AD128" t="s">
        <v>36</v>
      </c>
      <c r="AE128" t="s">
        <v>37</v>
      </c>
      <c r="AF128" t="str">
        <f t="shared" si="4"/>
        <v>non-charge-altering-6kiw</v>
      </c>
      <c r="AG128" t="s">
        <v>101</v>
      </c>
      <c r="AH128" t="s">
        <v>45</v>
      </c>
      <c r="AI128" t="str">
        <f t="shared" si="5"/>
        <v>D-G50A</v>
      </c>
    </row>
    <row r="129" spans="1:35">
      <c r="A129" t="s">
        <v>397</v>
      </c>
      <c r="B129" t="s">
        <v>341</v>
      </c>
      <c r="C129" t="s">
        <v>89</v>
      </c>
      <c r="D129" t="s">
        <v>18</v>
      </c>
      <c r="E129" t="s">
        <v>90</v>
      </c>
      <c r="F129" t="s">
        <v>91</v>
      </c>
      <c r="G129" t="s">
        <v>45</v>
      </c>
      <c r="H129">
        <v>54</v>
      </c>
      <c r="I129">
        <v>59</v>
      </c>
      <c r="J129">
        <v>54</v>
      </c>
      <c r="K129">
        <v>50</v>
      </c>
      <c r="L129" t="s">
        <v>19</v>
      </c>
      <c r="M129" t="s">
        <v>341</v>
      </c>
      <c r="N129" t="s">
        <v>101</v>
      </c>
      <c r="O129" t="s">
        <v>93</v>
      </c>
      <c r="P129" t="s">
        <v>94</v>
      </c>
      <c r="Q129" t="s">
        <v>19</v>
      </c>
      <c r="R129" t="s">
        <v>95</v>
      </c>
      <c r="S129">
        <v>54</v>
      </c>
      <c r="T129" t="s">
        <v>19</v>
      </c>
      <c r="U129" t="s">
        <v>17</v>
      </c>
      <c r="V129" t="s">
        <v>398</v>
      </c>
      <c r="W129" t="s">
        <v>399</v>
      </c>
      <c r="X129" t="s">
        <v>400</v>
      </c>
      <c r="Y129">
        <v>0.018</v>
      </c>
      <c r="Z129">
        <v>0.041758075</v>
      </c>
      <c r="AA129" t="s">
        <v>107</v>
      </c>
      <c r="AB129" t="s">
        <v>34</v>
      </c>
      <c r="AC129" t="s">
        <v>35</v>
      </c>
      <c r="AD129" t="s">
        <v>36</v>
      </c>
      <c r="AE129" t="s">
        <v>37</v>
      </c>
      <c r="AF129" t="str">
        <f t="shared" si="4"/>
        <v>non-charge-altering-6kiw</v>
      </c>
      <c r="AG129" t="s">
        <v>101</v>
      </c>
      <c r="AH129" t="s">
        <v>45</v>
      </c>
      <c r="AI129" t="str">
        <f t="shared" si="5"/>
        <v>D-G50C</v>
      </c>
    </row>
    <row r="130" spans="1:35">
      <c r="A130" t="s">
        <v>401</v>
      </c>
      <c r="B130" t="s">
        <v>346</v>
      </c>
      <c r="C130" t="s">
        <v>89</v>
      </c>
      <c r="D130" t="s">
        <v>18</v>
      </c>
      <c r="E130" t="s">
        <v>90</v>
      </c>
      <c r="F130" t="s">
        <v>91</v>
      </c>
      <c r="G130" t="s">
        <v>45</v>
      </c>
      <c r="H130">
        <v>54</v>
      </c>
      <c r="I130">
        <v>59</v>
      </c>
      <c r="J130">
        <v>54</v>
      </c>
      <c r="K130">
        <v>50</v>
      </c>
      <c r="L130" t="s">
        <v>19</v>
      </c>
      <c r="M130" t="s">
        <v>346</v>
      </c>
      <c r="N130" t="s">
        <v>92</v>
      </c>
      <c r="O130" t="s">
        <v>93</v>
      </c>
      <c r="P130" t="s">
        <v>94</v>
      </c>
      <c r="Q130" t="s">
        <v>19</v>
      </c>
      <c r="R130" t="s">
        <v>95</v>
      </c>
      <c r="S130">
        <v>54</v>
      </c>
      <c r="T130" t="s">
        <v>19</v>
      </c>
      <c r="U130" t="s">
        <v>32</v>
      </c>
      <c r="V130" t="s">
        <v>394</v>
      </c>
      <c r="W130" t="s">
        <v>395</v>
      </c>
      <c r="X130" t="s">
        <v>396</v>
      </c>
      <c r="Y130">
        <v>0.037</v>
      </c>
      <c r="Z130">
        <v>0.041758075</v>
      </c>
      <c r="AA130" t="s">
        <v>107</v>
      </c>
      <c r="AB130" t="s">
        <v>34</v>
      </c>
      <c r="AC130" t="s">
        <v>35</v>
      </c>
      <c r="AD130" t="s">
        <v>36</v>
      </c>
      <c r="AE130" t="s">
        <v>37</v>
      </c>
      <c r="AF130" t="str">
        <f t="shared" ref="AF130:AF193" si="6">AE130&amp;"-"&amp;N130</f>
        <v>non-charge-altering-6kiu</v>
      </c>
      <c r="AG130" t="s">
        <v>92</v>
      </c>
      <c r="AH130" t="s">
        <v>45</v>
      </c>
      <c r="AI130" t="str">
        <f t="shared" si="5"/>
        <v>D-G50A</v>
      </c>
    </row>
    <row r="131" spans="1:35">
      <c r="A131" t="s">
        <v>402</v>
      </c>
      <c r="B131" t="s">
        <v>346</v>
      </c>
      <c r="C131" t="s">
        <v>89</v>
      </c>
      <c r="D131" t="s">
        <v>18</v>
      </c>
      <c r="E131" t="s">
        <v>90</v>
      </c>
      <c r="F131" t="s">
        <v>91</v>
      </c>
      <c r="G131" t="s">
        <v>45</v>
      </c>
      <c r="H131">
        <v>54</v>
      </c>
      <c r="I131">
        <v>59</v>
      </c>
      <c r="J131">
        <v>54</v>
      </c>
      <c r="K131">
        <v>50</v>
      </c>
      <c r="L131" t="s">
        <v>19</v>
      </c>
      <c r="M131" t="s">
        <v>346</v>
      </c>
      <c r="N131" t="s">
        <v>92</v>
      </c>
      <c r="O131" t="s">
        <v>93</v>
      </c>
      <c r="P131" t="s">
        <v>94</v>
      </c>
      <c r="Q131" t="s">
        <v>19</v>
      </c>
      <c r="R131" t="s">
        <v>95</v>
      </c>
      <c r="S131">
        <v>54</v>
      </c>
      <c r="T131" t="s">
        <v>19</v>
      </c>
      <c r="U131" t="s">
        <v>17</v>
      </c>
      <c r="V131" t="s">
        <v>398</v>
      </c>
      <c r="W131" t="s">
        <v>399</v>
      </c>
      <c r="X131" t="s">
        <v>400</v>
      </c>
      <c r="Y131">
        <v>0.037</v>
      </c>
      <c r="Z131">
        <v>0.041758075</v>
      </c>
      <c r="AA131" t="s">
        <v>107</v>
      </c>
      <c r="AB131" t="s">
        <v>34</v>
      </c>
      <c r="AC131" t="s">
        <v>35</v>
      </c>
      <c r="AD131" t="s">
        <v>36</v>
      </c>
      <c r="AE131" t="s">
        <v>37</v>
      </c>
      <c r="AF131" t="str">
        <f t="shared" si="6"/>
        <v>non-charge-altering-6kiu</v>
      </c>
      <c r="AG131" t="s">
        <v>92</v>
      </c>
      <c r="AH131" t="s">
        <v>45</v>
      </c>
      <c r="AI131" t="str">
        <f t="shared" si="5"/>
        <v>D-G50C</v>
      </c>
    </row>
    <row r="132" spans="1:35">
      <c r="A132" t="s">
        <v>403</v>
      </c>
      <c r="B132" t="s">
        <v>404</v>
      </c>
      <c r="C132" t="s">
        <v>89</v>
      </c>
      <c r="D132" t="s">
        <v>18</v>
      </c>
      <c r="E132" t="s">
        <v>90</v>
      </c>
      <c r="F132" t="s">
        <v>91</v>
      </c>
      <c r="G132" t="s">
        <v>45</v>
      </c>
      <c r="H132">
        <v>56</v>
      </c>
      <c r="I132">
        <v>61</v>
      </c>
      <c r="J132">
        <v>56</v>
      </c>
      <c r="K132">
        <v>52</v>
      </c>
      <c r="L132" t="s">
        <v>46</v>
      </c>
      <c r="M132" t="s">
        <v>404</v>
      </c>
      <c r="N132" t="s">
        <v>101</v>
      </c>
      <c r="O132" t="s">
        <v>93</v>
      </c>
      <c r="P132" t="s">
        <v>94</v>
      </c>
      <c r="Q132" t="s">
        <v>46</v>
      </c>
      <c r="R132" t="s">
        <v>95</v>
      </c>
      <c r="S132">
        <v>56</v>
      </c>
      <c r="T132" t="s">
        <v>46</v>
      </c>
      <c r="U132" t="s">
        <v>39</v>
      </c>
      <c r="V132" t="s">
        <v>405</v>
      </c>
      <c r="W132" t="s">
        <v>406</v>
      </c>
      <c r="X132" t="s">
        <v>407</v>
      </c>
      <c r="Y132">
        <v>0.026</v>
      </c>
      <c r="Z132">
        <v>0.040959877</v>
      </c>
      <c r="AA132" t="s">
        <v>107</v>
      </c>
      <c r="AB132" t="s">
        <v>34</v>
      </c>
      <c r="AC132" t="s">
        <v>35</v>
      </c>
      <c r="AD132" t="s">
        <v>36</v>
      </c>
      <c r="AE132" t="s">
        <v>37</v>
      </c>
      <c r="AF132" t="str">
        <f t="shared" si="6"/>
        <v>non-charge-altering-6kiw</v>
      </c>
      <c r="AG132" t="s">
        <v>101</v>
      </c>
      <c r="AH132" t="s">
        <v>45</v>
      </c>
      <c r="AI132" t="str">
        <f t="shared" si="5"/>
        <v>D-S52L</v>
      </c>
    </row>
    <row r="133" spans="1:35">
      <c r="A133" t="s">
        <v>408</v>
      </c>
      <c r="B133" t="s">
        <v>409</v>
      </c>
      <c r="C133" t="s">
        <v>89</v>
      </c>
      <c r="D133" t="s">
        <v>18</v>
      </c>
      <c r="E133" t="s">
        <v>90</v>
      </c>
      <c r="F133" t="s">
        <v>91</v>
      </c>
      <c r="G133" t="s">
        <v>45</v>
      </c>
      <c r="H133">
        <v>56</v>
      </c>
      <c r="I133">
        <v>61</v>
      </c>
      <c r="J133">
        <v>56</v>
      </c>
      <c r="K133">
        <v>52</v>
      </c>
      <c r="L133" t="s">
        <v>46</v>
      </c>
      <c r="M133" t="s">
        <v>409</v>
      </c>
      <c r="N133" t="s">
        <v>92</v>
      </c>
      <c r="O133" t="s">
        <v>93</v>
      </c>
      <c r="P133" t="s">
        <v>94</v>
      </c>
      <c r="Q133" t="s">
        <v>46</v>
      </c>
      <c r="R133" t="s">
        <v>95</v>
      </c>
      <c r="S133">
        <v>56</v>
      </c>
      <c r="T133" t="s">
        <v>46</v>
      </c>
      <c r="U133" t="s">
        <v>39</v>
      </c>
      <c r="V133" t="s">
        <v>405</v>
      </c>
      <c r="W133" t="s">
        <v>406</v>
      </c>
      <c r="X133" t="s">
        <v>407</v>
      </c>
      <c r="Y133">
        <v>0.184</v>
      </c>
      <c r="Z133">
        <v>0.040959877</v>
      </c>
      <c r="AA133" t="s">
        <v>107</v>
      </c>
      <c r="AB133" t="s">
        <v>34</v>
      </c>
      <c r="AC133" t="s">
        <v>35</v>
      </c>
      <c r="AD133" t="s">
        <v>36</v>
      </c>
      <c r="AE133" t="s">
        <v>37</v>
      </c>
      <c r="AF133" t="str">
        <f t="shared" si="6"/>
        <v>non-charge-altering-6kiu</v>
      </c>
      <c r="AG133" t="s">
        <v>92</v>
      </c>
      <c r="AH133" t="s">
        <v>45</v>
      </c>
      <c r="AI133" t="str">
        <f t="shared" si="5"/>
        <v>D-S52L</v>
      </c>
    </row>
    <row r="134" spans="1:35">
      <c r="A134" t="s">
        <v>410</v>
      </c>
      <c r="B134" t="s">
        <v>411</v>
      </c>
      <c r="C134" t="s">
        <v>89</v>
      </c>
      <c r="D134" t="s">
        <v>18</v>
      </c>
      <c r="E134" t="s">
        <v>90</v>
      </c>
      <c r="F134" t="s">
        <v>91</v>
      </c>
      <c r="G134" t="s">
        <v>45</v>
      </c>
      <c r="H134">
        <v>88</v>
      </c>
      <c r="I134">
        <v>93</v>
      </c>
      <c r="J134">
        <v>88</v>
      </c>
      <c r="K134">
        <v>84</v>
      </c>
      <c r="L134" t="s">
        <v>46</v>
      </c>
      <c r="M134" t="s">
        <v>411</v>
      </c>
      <c r="N134" t="s">
        <v>101</v>
      </c>
      <c r="O134" t="s">
        <v>93</v>
      </c>
      <c r="P134" t="s">
        <v>94</v>
      </c>
      <c r="Q134" t="s">
        <v>46</v>
      </c>
      <c r="R134" t="s">
        <v>95</v>
      </c>
      <c r="S134">
        <v>88</v>
      </c>
      <c r="T134" t="s">
        <v>46</v>
      </c>
      <c r="U134" t="s">
        <v>64</v>
      </c>
      <c r="V134" t="s">
        <v>412</v>
      </c>
      <c r="W134" t="s">
        <v>413</v>
      </c>
      <c r="X134" t="s">
        <v>414</v>
      </c>
      <c r="Y134">
        <v>0.629</v>
      </c>
      <c r="Z134">
        <v>0.150063926</v>
      </c>
      <c r="AA134" t="s">
        <v>107</v>
      </c>
      <c r="AB134" t="s">
        <v>34</v>
      </c>
      <c r="AC134" t="s">
        <v>35</v>
      </c>
      <c r="AD134" t="s">
        <v>36</v>
      </c>
      <c r="AE134" t="s">
        <v>37</v>
      </c>
      <c r="AF134" t="str">
        <f t="shared" si="6"/>
        <v>non-charge-altering-6kiw</v>
      </c>
      <c r="AG134" t="s">
        <v>101</v>
      </c>
      <c r="AH134" t="s">
        <v>45</v>
      </c>
      <c r="AI134" t="str">
        <f t="shared" si="5"/>
        <v>D-S84W</v>
      </c>
    </row>
    <row r="135" spans="1:35">
      <c r="A135" t="s">
        <v>415</v>
      </c>
      <c r="B135" t="s">
        <v>416</v>
      </c>
      <c r="C135" t="s">
        <v>89</v>
      </c>
      <c r="D135" t="s">
        <v>18</v>
      </c>
      <c r="E135" t="s">
        <v>90</v>
      </c>
      <c r="F135" t="s">
        <v>91</v>
      </c>
      <c r="G135" t="s">
        <v>45</v>
      </c>
      <c r="H135">
        <v>88</v>
      </c>
      <c r="I135">
        <v>93</v>
      </c>
      <c r="J135">
        <v>88</v>
      </c>
      <c r="K135">
        <v>84</v>
      </c>
      <c r="L135" t="s">
        <v>46</v>
      </c>
      <c r="M135" t="s">
        <v>416</v>
      </c>
      <c r="N135" t="s">
        <v>92</v>
      </c>
      <c r="O135" t="s">
        <v>93</v>
      </c>
      <c r="P135" t="s">
        <v>94</v>
      </c>
      <c r="Q135" t="s">
        <v>46</v>
      </c>
      <c r="R135" t="s">
        <v>95</v>
      </c>
      <c r="S135">
        <v>88</v>
      </c>
      <c r="T135" t="s">
        <v>46</v>
      </c>
      <c r="U135" t="s">
        <v>64</v>
      </c>
      <c r="V135" t="s">
        <v>412</v>
      </c>
      <c r="W135" t="s">
        <v>413</v>
      </c>
      <c r="X135" t="s">
        <v>414</v>
      </c>
      <c r="Y135">
        <v>0.747</v>
      </c>
      <c r="Z135">
        <v>0.150063926</v>
      </c>
      <c r="AA135" t="s">
        <v>107</v>
      </c>
      <c r="AB135" t="s">
        <v>34</v>
      </c>
      <c r="AC135" t="s">
        <v>35</v>
      </c>
      <c r="AD135" t="s">
        <v>36</v>
      </c>
      <c r="AE135" t="s">
        <v>37</v>
      </c>
      <c r="AF135" t="str">
        <f t="shared" si="6"/>
        <v>non-charge-altering-6kiu</v>
      </c>
      <c r="AG135" t="s">
        <v>92</v>
      </c>
      <c r="AH135" t="s">
        <v>45</v>
      </c>
      <c r="AI135" t="str">
        <f t="shared" si="5"/>
        <v>D-S84W</v>
      </c>
    </row>
    <row r="136" spans="1:35">
      <c r="A136" t="s">
        <v>417</v>
      </c>
      <c r="B136" t="s">
        <v>418</v>
      </c>
      <c r="C136" t="s">
        <v>89</v>
      </c>
      <c r="D136" t="s">
        <v>18</v>
      </c>
      <c r="E136" t="s">
        <v>90</v>
      </c>
      <c r="F136" t="s">
        <v>91</v>
      </c>
      <c r="G136" t="s">
        <v>45</v>
      </c>
      <c r="H136">
        <v>89</v>
      </c>
      <c r="I136">
        <v>94</v>
      </c>
      <c r="J136">
        <v>89</v>
      </c>
      <c r="K136">
        <v>85</v>
      </c>
      <c r="L136" t="s">
        <v>47</v>
      </c>
      <c r="M136" t="s">
        <v>418</v>
      </c>
      <c r="N136" t="s">
        <v>101</v>
      </c>
      <c r="O136" t="s">
        <v>93</v>
      </c>
      <c r="P136" t="s">
        <v>94</v>
      </c>
      <c r="Q136" t="s">
        <v>47</v>
      </c>
      <c r="R136" t="s">
        <v>95</v>
      </c>
      <c r="S136">
        <v>89</v>
      </c>
      <c r="T136" t="s">
        <v>47</v>
      </c>
      <c r="U136" t="s">
        <v>48</v>
      </c>
      <c r="V136" t="s">
        <v>419</v>
      </c>
      <c r="W136" t="s">
        <v>420</v>
      </c>
      <c r="X136" t="s">
        <v>421</v>
      </c>
      <c r="Y136">
        <v>1.06</v>
      </c>
      <c r="Z136">
        <v>0.041508171</v>
      </c>
      <c r="AA136" t="s">
        <v>107</v>
      </c>
      <c r="AB136" t="s">
        <v>34</v>
      </c>
      <c r="AC136" t="s">
        <v>35</v>
      </c>
      <c r="AD136" t="s">
        <v>36</v>
      </c>
      <c r="AE136" t="s">
        <v>37</v>
      </c>
      <c r="AF136" t="str">
        <f t="shared" si="6"/>
        <v>non-charge-altering-6kiw</v>
      </c>
      <c r="AG136" t="s">
        <v>101</v>
      </c>
      <c r="AH136" t="s">
        <v>45</v>
      </c>
      <c r="AI136" t="str">
        <f t="shared" si="5"/>
        <v>D-T85I</v>
      </c>
    </row>
    <row r="137" spans="1:35">
      <c r="A137" t="s">
        <v>422</v>
      </c>
      <c r="B137" t="s">
        <v>423</v>
      </c>
      <c r="C137" t="s">
        <v>89</v>
      </c>
      <c r="D137" t="s">
        <v>18</v>
      </c>
      <c r="E137" t="s">
        <v>90</v>
      </c>
      <c r="F137" t="s">
        <v>91</v>
      </c>
      <c r="G137" t="s">
        <v>45</v>
      </c>
      <c r="H137">
        <v>89</v>
      </c>
      <c r="I137">
        <v>94</v>
      </c>
      <c r="J137">
        <v>89</v>
      </c>
      <c r="K137">
        <v>85</v>
      </c>
      <c r="L137" t="s">
        <v>47</v>
      </c>
      <c r="M137" t="s">
        <v>423</v>
      </c>
      <c r="N137" t="s">
        <v>92</v>
      </c>
      <c r="O137" t="s">
        <v>93</v>
      </c>
      <c r="P137" t="s">
        <v>94</v>
      </c>
      <c r="Q137" t="s">
        <v>47</v>
      </c>
      <c r="R137" t="s">
        <v>95</v>
      </c>
      <c r="S137">
        <v>89</v>
      </c>
      <c r="T137" t="s">
        <v>47</v>
      </c>
      <c r="U137" t="s">
        <v>48</v>
      </c>
      <c r="V137" t="s">
        <v>419</v>
      </c>
      <c r="W137" t="s">
        <v>420</v>
      </c>
      <c r="X137" t="s">
        <v>421</v>
      </c>
      <c r="Y137">
        <v>1.224</v>
      </c>
      <c r="Z137">
        <v>0.041508171</v>
      </c>
      <c r="AA137" t="s">
        <v>107</v>
      </c>
      <c r="AB137" t="s">
        <v>34</v>
      </c>
      <c r="AC137" t="s">
        <v>35</v>
      </c>
      <c r="AD137" t="s">
        <v>36</v>
      </c>
      <c r="AE137" t="s">
        <v>37</v>
      </c>
      <c r="AF137" t="str">
        <f t="shared" si="6"/>
        <v>non-charge-altering-6kiu</v>
      </c>
      <c r="AG137" t="s">
        <v>92</v>
      </c>
      <c r="AH137" t="s">
        <v>45</v>
      </c>
      <c r="AI137" t="str">
        <f t="shared" si="5"/>
        <v>D-T85I</v>
      </c>
    </row>
    <row r="138" spans="1:35">
      <c r="A138" t="s">
        <v>424</v>
      </c>
      <c r="B138" t="s">
        <v>348</v>
      </c>
      <c r="C138" t="s">
        <v>89</v>
      </c>
      <c r="D138" t="s">
        <v>56</v>
      </c>
      <c r="E138" t="s">
        <v>90</v>
      </c>
      <c r="F138" t="s">
        <v>91</v>
      </c>
      <c r="G138" t="s">
        <v>45</v>
      </c>
      <c r="H138">
        <v>37</v>
      </c>
      <c r="I138">
        <v>42</v>
      </c>
      <c r="J138">
        <v>37</v>
      </c>
      <c r="K138">
        <v>33</v>
      </c>
      <c r="L138" t="s">
        <v>46</v>
      </c>
      <c r="M138" t="s">
        <v>348</v>
      </c>
      <c r="N138" t="s">
        <v>101</v>
      </c>
      <c r="O138" t="s">
        <v>93</v>
      </c>
      <c r="P138" t="s">
        <v>94</v>
      </c>
      <c r="Q138" t="s">
        <v>46</v>
      </c>
      <c r="R138" t="s">
        <v>95</v>
      </c>
      <c r="S138">
        <v>37</v>
      </c>
      <c r="T138" t="s">
        <v>46</v>
      </c>
      <c r="U138" t="s">
        <v>41</v>
      </c>
      <c r="V138" t="s">
        <v>382</v>
      </c>
      <c r="W138" t="s">
        <v>383</v>
      </c>
      <c r="X138" t="s">
        <v>384</v>
      </c>
      <c r="Y138">
        <v>0.107</v>
      </c>
      <c r="Z138">
        <v>0.124627129</v>
      </c>
      <c r="AA138" t="s">
        <v>107</v>
      </c>
      <c r="AB138" t="s">
        <v>34</v>
      </c>
      <c r="AC138" t="s">
        <v>35</v>
      </c>
      <c r="AD138" t="s">
        <v>36</v>
      </c>
      <c r="AE138" t="s">
        <v>37</v>
      </c>
      <c r="AF138" t="str">
        <f t="shared" si="6"/>
        <v>non-charge-altering-6kiw</v>
      </c>
      <c r="AG138" t="s">
        <v>101</v>
      </c>
      <c r="AH138" t="s">
        <v>45</v>
      </c>
      <c r="AI138" t="str">
        <f t="shared" si="5"/>
        <v>H-S33N</v>
      </c>
    </row>
    <row r="139" spans="1:35">
      <c r="A139" t="s">
        <v>425</v>
      </c>
      <c r="B139" t="s">
        <v>350</v>
      </c>
      <c r="C139" t="s">
        <v>89</v>
      </c>
      <c r="D139" t="s">
        <v>56</v>
      </c>
      <c r="E139" t="s">
        <v>90</v>
      </c>
      <c r="F139" t="s">
        <v>91</v>
      </c>
      <c r="G139" t="s">
        <v>45</v>
      </c>
      <c r="H139">
        <v>37</v>
      </c>
      <c r="I139">
        <v>42</v>
      </c>
      <c r="J139">
        <v>37</v>
      </c>
      <c r="K139">
        <v>33</v>
      </c>
      <c r="L139" t="s">
        <v>46</v>
      </c>
      <c r="M139" t="s">
        <v>350</v>
      </c>
      <c r="N139" t="s">
        <v>92</v>
      </c>
      <c r="O139" t="s">
        <v>93</v>
      </c>
      <c r="P139" t="s">
        <v>94</v>
      </c>
      <c r="Q139" t="s">
        <v>46</v>
      </c>
      <c r="R139" t="s">
        <v>95</v>
      </c>
      <c r="S139">
        <v>37</v>
      </c>
      <c r="T139" t="s">
        <v>46</v>
      </c>
      <c r="U139" t="s">
        <v>41</v>
      </c>
      <c r="V139" t="s">
        <v>382</v>
      </c>
      <c r="W139" t="s">
        <v>383</v>
      </c>
      <c r="X139" t="s">
        <v>384</v>
      </c>
      <c r="Y139">
        <v>0.005</v>
      </c>
      <c r="Z139">
        <v>0.124627129</v>
      </c>
      <c r="AA139" t="s">
        <v>107</v>
      </c>
      <c r="AB139" t="s">
        <v>34</v>
      </c>
      <c r="AC139" t="s">
        <v>35</v>
      </c>
      <c r="AD139" t="s">
        <v>36</v>
      </c>
      <c r="AE139" t="s">
        <v>37</v>
      </c>
      <c r="AF139" t="str">
        <f t="shared" si="6"/>
        <v>non-charge-altering-6kiu</v>
      </c>
      <c r="AG139" t="s">
        <v>92</v>
      </c>
      <c r="AH139" t="s">
        <v>45</v>
      </c>
      <c r="AI139" t="str">
        <f t="shared" si="5"/>
        <v>H-S33N</v>
      </c>
    </row>
    <row r="140" spans="1:35">
      <c r="A140" t="s">
        <v>426</v>
      </c>
      <c r="B140" t="s">
        <v>427</v>
      </c>
      <c r="C140" t="s">
        <v>89</v>
      </c>
      <c r="D140" t="s">
        <v>56</v>
      </c>
      <c r="E140" t="s">
        <v>90</v>
      </c>
      <c r="F140" t="s">
        <v>91</v>
      </c>
      <c r="G140" t="s">
        <v>45</v>
      </c>
      <c r="H140">
        <v>43</v>
      </c>
      <c r="I140">
        <v>48</v>
      </c>
      <c r="J140">
        <v>43</v>
      </c>
      <c r="K140">
        <v>39</v>
      </c>
      <c r="L140" t="s">
        <v>49</v>
      </c>
      <c r="M140" t="s">
        <v>427</v>
      </c>
      <c r="N140" t="s">
        <v>92</v>
      </c>
      <c r="O140" t="s">
        <v>93</v>
      </c>
      <c r="P140" t="s">
        <v>94</v>
      </c>
      <c r="Q140" t="s">
        <v>49</v>
      </c>
      <c r="R140" t="s">
        <v>95</v>
      </c>
      <c r="S140">
        <v>43</v>
      </c>
      <c r="T140" t="s">
        <v>49</v>
      </c>
      <c r="U140" t="s">
        <v>17</v>
      </c>
      <c r="V140" t="s">
        <v>388</v>
      </c>
      <c r="W140" t="s">
        <v>389</v>
      </c>
      <c r="X140" t="s">
        <v>390</v>
      </c>
      <c r="Y140">
        <v>0.757</v>
      </c>
      <c r="Z140">
        <v>0.137062257</v>
      </c>
      <c r="AA140" t="s">
        <v>107</v>
      </c>
      <c r="AB140" t="s">
        <v>34</v>
      </c>
      <c r="AC140" t="s">
        <v>35</v>
      </c>
      <c r="AD140" t="s">
        <v>36</v>
      </c>
      <c r="AE140" t="s">
        <v>37</v>
      </c>
      <c r="AF140" t="str">
        <f t="shared" si="6"/>
        <v>non-charge-altering-6kiu</v>
      </c>
      <c r="AG140" t="s">
        <v>92</v>
      </c>
      <c r="AH140" t="s">
        <v>45</v>
      </c>
      <c r="AI140" t="str">
        <f t="shared" si="5"/>
        <v>H-Y39C</v>
      </c>
    </row>
    <row r="141" spans="1:35">
      <c r="A141" t="s">
        <v>428</v>
      </c>
      <c r="B141" t="s">
        <v>429</v>
      </c>
      <c r="C141" t="s">
        <v>89</v>
      </c>
      <c r="D141" t="s">
        <v>56</v>
      </c>
      <c r="E141" t="s">
        <v>90</v>
      </c>
      <c r="F141" t="s">
        <v>91</v>
      </c>
      <c r="G141" t="s">
        <v>45</v>
      </c>
      <c r="H141">
        <v>43</v>
      </c>
      <c r="I141">
        <v>48</v>
      </c>
      <c r="J141">
        <v>43</v>
      </c>
      <c r="K141">
        <v>39</v>
      </c>
      <c r="L141" t="s">
        <v>49</v>
      </c>
      <c r="M141" t="s">
        <v>429</v>
      </c>
      <c r="N141" t="s">
        <v>101</v>
      </c>
      <c r="O141" t="s">
        <v>93</v>
      </c>
      <c r="P141" t="s">
        <v>94</v>
      </c>
      <c r="Q141" t="s">
        <v>49</v>
      </c>
      <c r="R141" t="s">
        <v>95</v>
      </c>
      <c r="S141">
        <v>43</v>
      </c>
      <c r="T141" t="s">
        <v>49</v>
      </c>
      <c r="U141" t="s">
        <v>17</v>
      </c>
      <c r="V141" t="s">
        <v>388</v>
      </c>
      <c r="W141" t="s">
        <v>389</v>
      </c>
      <c r="X141" t="s">
        <v>390</v>
      </c>
      <c r="Y141">
        <v>0.744</v>
      </c>
      <c r="Z141">
        <v>0.137062257</v>
      </c>
      <c r="AA141" t="s">
        <v>107</v>
      </c>
      <c r="AB141" t="s">
        <v>34</v>
      </c>
      <c r="AC141" t="s">
        <v>35</v>
      </c>
      <c r="AD141" t="s">
        <v>36</v>
      </c>
      <c r="AE141" t="s">
        <v>37</v>
      </c>
      <c r="AF141" t="str">
        <f t="shared" si="6"/>
        <v>non-charge-altering-6kiw</v>
      </c>
      <c r="AG141" t="s">
        <v>101</v>
      </c>
      <c r="AH141" t="s">
        <v>45</v>
      </c>
      <c r="AI141" t="str">
        <f t="shared" si="5"/>
        <v>H-Y39C</v>
      </c>
    </row>
    <row r="142" spans="1:35">
      <c r="A142" t="s">
        <v>430</v>
      </c>
      <c r="B142" t="s">
        <v>352</v>
      </c>
      <c r="C142" t="s">
        <v>89</v>
      </c>
      <c r="D142" t="s">
        <v>56</v>
      </c>
      <c r="E142" t="s">
        <v>90</v>
      </c>
      <c r="F142" t="s">
        <v>91</v>
      </c>
      <c r="G142" t="s">
        <v>45</v>
      </c>
      <c r="H142">
        <v>54</v>
      </c>
      <c r="I142">
        <v>59</v>
      </c>
      <c r="J142">
        <v>54</v>
      </c>
      <c r="K142">
        <v>50</v>
      </c>
      <c r="L142" t="s">
        <v>19</v>
      </c>
      <c r="M142" t="s">
        <v>352</v>
      </c>
      <c r="N142" t="s">
        <v>92</v>
      </c>
      <c r="O142" t="s">
        <v>93</v>
      </c>
      <c r="P142" t="s">
        <v>94</v>
      </c>
      <c r="Q142" t="s">
        <v>19</v>
      </c>
      <c r="R142" t="s">
        <v>95</v>
      </c>
      <c r="S142">
        <v>54</v>
      </c>
      <c r="T142" t="s">
        <v>19</v>
      </c>
      <c r="U142" t="s">
        <v>32</v>
      </c>
      <c r="V142" t="s">
        <v>394</v>
      </c>
      <c r="W142" t="s">
        <v>395</v>
      </c>
      <c r="X142" t="s">
        <v>396</v>
      </c>
      <c r="Y142">
        <v>-0.034</v>
      </c>
      <c r="Z142">
        <v>0.041758075</v>
      </c>
      <c r="AA142" t="s">
        <v>107</v>
      </c>
      <c r="AB142" t="s">
        <v>34</v>
      </c>
      <c r="AC142" t="s">
        <v>35</v>
      </c>
      <c r="AD142" t="s">
        <v>36</v>
      </c>
      <c r="AE142" t="s">
        <v>37</v>
      </c>
      <c r="AF142" t="str">
        <f t="shared" si="6"/>
        <v>non-charge-altering-6kiu</v>
      </c>
      <c r="AG142" t="s">
        <v>92</v>
      </c>
      <c r="AH142" t="s">
        <v>45</v>
      </c>
      <c r="AI142" t="str">
        <f t="shared" si="5"/>
        <v>H-G50A</v>
      </c>
    </row>
    <row r="143" spans="1:35">
      <c r="A143" t="s">
        <v>431</v>
      </c>
      <c r="B143" t="s">
        <v>352</v>
      </c>
      <c r="C143" t="s">
        <v>89</v>
      </c>
      <c r="D143" t="s">
        <v>56</v>
      </c>
      <c r="E143" t="s">
        <v>90</v>
      </c>
      <c r="F143" t="s">
        <v>91</v>
      </c>
      <c r="G143" t="s">
        <v>45</v>
      </c>
      <c r="H143">
        <v>54</v>
      </c>
      <c r="I143">
        <v>59</v>
      </c>
      <c r="J143">
        <v>54</v>
      </c>
      <c r="K143">
        <v>50</v>
      </c>
      <c r="L143" t="s">
        <v>19</v>
      </c>
      <c r="M143" t="s">
        <v>352</v>
      </c>
      <c r="N143" t="s">
        <v>92</v>
      </c>
      <c r="O143" t="s">
        <v>93</v>
      </c>
      <c r="P143" t="s">
        <v>94</v>
      </c>
      <c r="Q143" t="s">
        <v>19</v>
      </c>
      <c r="R143" t="s">
        <v>95</v>
      </c>
      <c r="S143">
        <v>54</v>
      </c>
      <c r="T143" t="s">
        <v>19</v>
      </c>
      <c r="U143" t="s">
        <v>17</v>
      </c>
      <c r="V143" t="s">
        <v>398</v>
      </c>
      <c r="W143" t="s">
        <v>399</v>
      </c>
      <c r="X143" t="s">
        <v>400</v>
      </c>
      <c r="Y143">
        <v>-0.034</v>
      </c>
      <c r="Z143">
        <v>0.041758075</v>
      </c>
      <c r="AA143" t="s">
        <v>107</v>
      </c>
      <c r="AB143" t="s">
        <v>34</v>
      </c>
      <c r="AC143" t="s">
        <v>35</v>
      </c>
      <c r="AD143" t="s">
        <v>36</v>
      </c>
      <c r="AE143" t="s">
        <v>37</v>
      </c>
      <c r="AF143" t="str">
        <f t="shared" si="6"/>
        <v>non-charge-altering-6kiu</v>
      </c>
      <c r="AG143" t="s">
        <v>92</v>
      </c>
      <c r="AH143" t="s">
        <v>45</v>
      </c>
      <c r="AI143" t="str">
        <f t="shared" si="5"/>
        <v>H-G50C</v>
      </c>
    </row>
    <row r="144" spans="1:35">
      <c r="A144" t="s">
        <v>432</v>
      </c>
      <c r="B144" t="s">
        <v>354</v>
      </c>
      <c r="C144" t="s">
        <v>89</v>
      </c>
      <c r="D144" t="s">
        <v>56</v>
      </c>
      <c r="E144" t="s">
        <v>90</v>
      </c>
      <c r="F144" t="s">
        <v>91</v>
      </c>
      <c r="G144" t="s">
        <v>45</v>
      </c>
      <c r="H144">
        <v>54</v>
      </c>
      <c r="I144">
        <v>59</v>
      </c>
      <c r="J144">
        <v>54</v>
      </c>
      <c r="K144">
        <v>50</v>
      </c>
      <c r="L144" t="s">
        <v>19</v>
      </c>
      <c r="M144" t="s">
        <v>354</v>
      </c>
      <c r="N144" t="s">
        <v>101</v>
      </c>
      <c r="O144" t="s">
        <v>93</v>
      </c>
      <c r="P144" t="s">
        <v>94</v>
      </c>
      <c r="Q144" t="s">
        <v>19</v>
      </c>
      <c r="R144" t="s">
        <v>95</v>
      </c>
      <c r="S144">
        <v>54</v>
      </c>
      <c r="T144" t="s">
        <v>19</v>
      </c>
      <c r="U144" t="s">
        <v>32</v>
      </c>
      <c r="V144" t="s">
        <v>394</v>
      </c>
      <c r="W144" t="s">
        <v>395</v>
      </c>
      <c r="X144" t="s">
        <v>396</v>
      </c>
      <c r="Y144">
        <v>0.041</v>
      </c>
      <c r="Z144">
        <v>0.041758075</v>
      </c>
      <c r="AA144" t="s">
        <v>107</v>
      </c>
      <c r="AB144" t="s">
        <v>34</v>
      </c>
      <c r="AC144" t="s">
        <v>35</v>
      </c>
      <c r="AD144" t="s">
        <v>36</v>
      </c>
      <c r="AE144" t="s">
        <v>37</v>
      </c>
      <c r="AF144" t="str">
        <f t="shared" si="6"/>
        <v>non-charge-altering-6kiw</v>
      </c>
      <c r="AG144" t="s">
        <v>101</v>
      </c>
      <c r="AH144" t="s">
        <v>45</v>
      </c>
      <c r="AI144" t="str">
        <f t="shared" si="5"/>
        <v>H-G50A</v>
      </c>
    </row>
    <row r="145" spans="1:35">
      <c r="A145" t="s">
        <v>433</v>
      </c>
      <c r="B145" t="s">
        <v>354</v>
      </c>
      <c r="C145" t="s">
        <v>89</v>
      </c>
      <c r="D145" t="s">
        <v>56</v>
      </c>
      <c r="E145" t="s">
        <v>90</v>
      </c>
      <c r="F145" t="s">
        <v>91</v>
      </c>
      <c r="G145" t="s">
        <v>45</v>
      </c>
      <c r="H145">
        <v>54</v>
      </c>
      <c r="I145">
        <v>59</v>
      </c>
      <c r="J145">
        <v>54</v>
      </c>
      <c r="K145">
        <v>50</v>
      </c>
      <c r="L145" t="s">
        <v>19</v>
      </c>
      <c r="M145" t="s">
        <v>354</v>
      </c>
      <c r="N145" t="s">
        <v>101</v>
      </c>
      <c r="O145" t="s">
        <v>93</v>
      </c>
      <c r="P145" t="s">
        <v>94</v>
      </c>
      <c r="Q145" t="s">
        <v>19</v>
      </c>
      <c r="R145" t="s">
        <v>95</v>
      </c>
      <c r="S145">
        <v>54</v>
      </c>
      <c r="T145" t="s">
        <v>19</v>
      </c>
      <c r="U145" t="s">
        <v>17</v>
      </c>
      <c r="V145" t="s">
        <v>398</v>
      </c>
      <c r="W145" t="s">
        <v>399</v>
      </c>
      <c r="X145" t="s">
        <v>400</v>
      </c>
      <c r="Y145">
        <v>0.041</v>
      </c>
      <c r="Z145">
        <v>0.041758075</v>
      </c>
      <c r="AA145" t="s">
        <v>107</v>
      </c>
      <c r="AB145" t="s">
        <v>34</v>
      </c>
      <c r="AC145" t="s">
        <v>35</v>
      </c>
      <c r="AD145" t="s">
        <v>36</v>
      </c>
      <c r="AE145" t="s">
        <v>37</v>
      </c>
      <c r="AF145" t="str">
        <f t="shared" si="6"/>
        <v>non-charge-altering-6kiw</v>
      </c>
      <c r="AG145" t="s">
        <v>101</v>
      </c>
      <c r="AH145" t="s">
        <v>45</v>
      </c>
      <c r="AI145" t="str">
        <f t="shared" si="5"/>
        <v>H-G50C</v>
      </c>
    </row>
    <row r="146" spans="1:35">
      <c r="A146" t="s">
        <v>434</v>
      </c>
      <c r="B146" t="s">
        <v>435</v>
      </c>
      <c r="C146" t="s">
        <v>89</v>
      </c>
      <c r="D146" t="s">
        <v>56</v>
      </c>
      <c r="E146" t="s">
        <v>90</v>
      </c>
      <c r="F146" t="s">
        <v>91</v>
      </c>
      <c r="G146" t="s">
        <v>45</v>
      </c>
      <c r="H146">
        <v>56</v>
      </c>
      <c r="I146">
        <v>61</v>
      </c>
      <c r="J146">
        <v>56</v>
      </c>
      <c r="K146">
        <v>52</v>
      </c>
      <c r="L146" t="s">
        <v>46</v>
      </c>
      <c r="M146" t="s">
        <v>435</v>
      </c>
      <c r="N146" t="s">
        <v>92</v>
      </c>
      <c r="O146" t="s">
        <v>93</v>
      </c>
      <c r="P146" t="s">
        <v>94</v>
      </c>
      <c r="Q146" t="s">
        <v>46</v>
      </c>
      <c r="R146" t="s">
        <v>95</v>
      </c>
      <c r="S146">
        <v>56</v>
      </c>
      <c r="T146" t="s">
        <v>46</v>
      </c>
      <c r="U146" t="s">
        <v>39</v>
      </c>
      <c r="V146" t="s">
        <v>405</v>
      </c>
      <c r="W146" t="s">
        <v>406</v>
      </c>
      <c r="X146" t="s">
        <v>407</v>
      </c>
      <c r="Y146">
        <v>0.089</v>
      </c>
      <c r="Z146">
        <v>0.040959877</v>
      </c>
      <c r="AA146" t="s">
        <v>107</v>
      </c>
      <c r="AB146" t="s">
        <v>34</v>
      </c>
      <c r="AC146" t="s">
        <v>35</v>
      </c>
      <c r="AD146" t="s">
        <v>36</v>
      </c>
      <c r="AE146" t="s">
        <v>37</v>
      </c>
      <c r="AF146" t="str">
        <f t="shared" si="6"/>
        <v>non-charge-altering-6kiu</v>
      </c>
      <c r="AG146" t="s">
        <v>92</v>
      </c>
      <c r="AH146" t="s">
        <v>45</v>
      </c>
      <c r="AI146" t="str">
        <f t="shared" si="5"/>
        <v>H-S52L</v>
      </c>
    </row>
    <row r="147" spans="1:35">
      <c r="A147" t="s">
        <v>436</v>
      </c>
      <c r="B147" t="s">
        <v>437</v>
      </c>
      <c r="C147" t="s">
        <v>89</v>
      </c>
      <c r="D147" t="s">
        <v>56</v>
      </c>
      <c r="E147" t="s">
        <v>90</v>
      </c>
      <c r="F147" t="s">
        <v>91</v>
      </c>
      <c r="G147" t="s">
        <v>45</v>
      </c>
      <c r="H147">
        <v>56</v>
      </c>
      <c r="I147">
        <v>61</v>
      </c>
      <c r="J147">
        <v>56</v>
      </c>
      <c r="K147">
        <v>52</v>
      </c>
      <c r="L147" t="s">
        <v>46</v>
      </c>
      <c r="M147" t="s">
        <v>437</v>
      </c>
      <c r="N147" t="s">
        <v>101</v>
      </c>
      <c r="O147" t="s">
        <v>93</v>
      </c>
      <c r="P147" t="s">
        <v>94</v>
      </c>
      <c r="Q147" t="s">
        <v>46</v>
      </c>
      <c r="R147" t="s">
        <v>95</v>
      </c>
      <c r="S147">
        <v>56</v>
      </c>
      <c r="T147" t="s">
        <v>46</v>
      </c>
      <c r="U147" t="s">
        <v>39</v>
      </c>
      <c r="V147" t="s">
        <v>405</v>
      </c>
      <c r="W147" t="s">
        <v>406</v>
      </c>
      <c r="X147" t="s">
        <v>407</v>
      </c>
      <c r="Y147">
        <v>0.004</v>
      </c>
      <c r="Z147">
        <v>0.040959877</v>
      </c>
      <c r="AA147" t="s">
        <v>107</v>
      </c>
      <c r="AB147" t="s">
        <v>34</v>
      </c>
      <c r="AC147" t="s">
        <v>35</v>
      </c>
      <c r="AD147" t="s">
        <v>36</v>
      </c>
      <c r="AE147" t="s">
        <v>37</v>
      </c>
      <c r="AF147" t="str">
        <f t="shared" si="6"/>
        <v>non-charge-altering-6kiw</v>
      </c>
      <c r="AG147" t="s">
        <v>101</v>
      </c>
      <c r="AH147" t="s">
        <v>45</v>
      </c>
      <c r="AI147" t="str">
        <f t="shared" si="5"/>
        <v>H-S52L</v>
      </c>
    </row>
    <row r="148" spans="1:35">
      <c r="A148" t="s">
        <v>438</v>
      </c>
      <c r="B148" t="s">
        <v>439</v>
      </c>
      <c r="C148" t="s">
        <v>89</v>
      </c>
      <c r="D148" t="s">
        <v>56</v>
      </c>
      <c r="E148" t="s">
        <v>90</v>
      </c>
      <c r="F148" t="s">
        <v>91</v>
      </c>
      <c r="G148" t="s">
        <v>45</v>
      </c>
      <c r="H148">
        <v>88</v>
      </c>
      <c r="I148">
        <v>93</v>
      </c>
      <c r="J148">
        <v>88</v>
      </c>
      <c r="K148">
        <v>84</v>
      </c>
      <c r="L148" t="s">
        <v>46</v>
      </c>
      <c r="M148" t="s">
        <v>439</v>
      </c>
      <c r="N148" t="s">
        <v>92</v>
      </c>
      <c r="O148" t="s">
        <v>93</v>
      </c>
      <c r="P148" t="s">
        <v>94</v>
      </c>
      <c r="Q148" t="s">
        <v>46</v>
      </c>
      <c r="R148" t="s">
        <v>95</v>
      </c>
      <c r="S148">
        <v>88</v>
      </c>
      <c r="T148" t="s">
        <v>46</v>
      </c>
      <c r="U148" t="s">
        <v>64</v>
      </c>
      <c r="V148" t="s">
        <v>412</v>
      </c>
      <c r="W148" t="s">
        <v>413</v>
      </c>
      <c r="X148" t="s">
        <v>414</v>
      </c>
      <c r="Y148">
        <v>0.656</v>
      </c>
      <c r="Z148">
        <v>0.150063926</v>
      </c>
      <c r="AA148" t="s">
        <v>107</v>
      </c>
      <c r="AB148" t="s">
        <v>34</v>
      </c>
      <c r="AC148" t="s">
        <v>35</v>
      </c>
      <c r="AD148" t="s">
        <v>36</v>
      </c>
      <c r="AE148" t="s">
        <v>37</v>
      </c>
      <c r="AF148" t="str">
        <f t="shared" si="6"/>
        <v>non-charge-altering-6kiu</v>
      </c>
      <c r="AG148" t="s">
        <v>92</v>
      </c>
      <c r="AH148" t="s">
        <v>45</v>
      </c>
      <c r="AI148" t="str">
        <f t="shared" si="5"/>
        <v>H-S84W</v>
      </c>
    </row>
    <row r="149" spans="1:35">
      <c r="A149" t="s">
        <v>440</v>
      </c>
      <c r="B149" t="s">
        <v>441</v>
      </c>
      <c r="C149" t="s">
        <v>89</v>
      </c>
      <c r="D149" t="s">
        <v>56</v>
      </c>
      <c r="E149" t="s">
        <v>90</v>
      </c>
      <c r="F149" t="s">
        <v>91</v>
      </c>
      <c r="G149" t="s">
        <v>45</v>
      </c>
      <c r="H149">
        <v>88</v>
      </c>
      <c r="I149">
        <v>93</v>
      </c>
      <c r="J149">
        <v>88</v>
      </c>
      <c r="K149">
        <v>84</v>
      </c>
      <c r="L149" t="s">
        <v>46</v>
      </c>
      <c r="M149" t="s">
        <v>441</v>
      </c>
      <c r="N149" t="s">
        <v>101</v>
      </c>
      <c r="O149" t="s">
        <v>93</v>
      </c>
      <c r="P149" t="s">
        <v>94</v>
      </c>
      <c r="Q149" t="s">
        <v>46</v>
      </c>
      <c r="R149" t="s">
        <v>95</v>
      </c>
      <c r="S149">
        <v>88</v>
      </c>
      <c r="T149" t="s">
        <v>46</v>
      </c>
      <c r="U149" t="s">
        <v>64</v>
      </c>
      <c r="V149" t="s">
        <v>412</v>
      </c>
      <c r="W149" t="s">
        <v>413</v>
      </c>
      <c r="X149" t="s">
        <v>414</v>
      </c>
      <c r="Y149">
        <v>0.633</v>
      </c>
      <c r="Z149">
        <v>0.150063926</v>
      </c>
      <c r="AA149" t="s">
        <v>107</v>
      </c>
      <c r="AB149" t="s">
        <v>34</v>
      </c>
      <c r="AC149" t="s">
        <v>35</v>
      </c>
      <c r="AD149" t="s">
        <v>36</v>
      </c>
      <c r="AE149" t="s">
        <v>37</v>
      </c>
      <c r="AF149" t="str">
        <f t="shared" si="6"/>
        <v>non-charge-altering-6kiw</v>
      </c>
      <c r="AG149" t="s">
        <v>101</v>
      </c>
      <c r="AH149" t="s">
        <v>45</v>
      </c>
      <c r="AI149" t="str">
        <f t="shared" si="5"/>
        <v>H-S84W</v>
      </c>
    </row>
    <row r="150" spans="1:35">
      <c r="A150" t="s">
        <v>442</v>
      </c>
      <c r="B150" t="s">
        <v>443</v>
      </c>
      <c r="C150" t="s">
        <v>89</v>
      </c>
      <c r="D150" t="s">
        <v>56</v>
      </c>
      <c r="E150" t="s">
        <v>90</v>
      </c>
      <c r="F150" t="s">
        <v>91</v>
      </c>
      <c r="G150" t="s">
        <v>45</v>
      </c>
      <c r="H150">
        <v>89</v>
      </c>
      <c r="I150">
        <v>94</v>
      </c>
      <c r="J150">
        <v>89</v>
      </c>
      <c r="K150">
        <v>85</v>
      </c>
      <c r="L150" t="s">
        <v>47</v>
      </c>
      <c r="M150" t="s">
        <v>443</v>
      </c>
      <c r="N150" t="s">
        <v>92</v>
      </c>
      <c r="O150" t="s">
        <v>93</v>
      </c>
      <c r="P150" t="s">
        <v>94</v>
      </c>
      <c r="Q150" t="s">
        <v>47</v>
      </c>
      <c r="R150" t="s">
        <v>95</v>
      </c>
      <c r="S150">
        <v>89</v>
      </c>
      <c r="T150" t="s">
        <v>47</v>
      </c>
      <c r="U150" t="s">
        <v>48</v>
      </c>
      <c r="V150" t="s">
        <v>419</v>
      </c>
      <c r="W150" t="s">
        <v>420</v>
      </c>
      <c r="X150" t="s">
        <v>421</v>
      </c>
      <c r="Y150">
        <v>1.142</v>
      </c>
      <c r="Z150">
        <v>0.041508171</v>
      </c>
      <c r="AA150" t="s">
        <v>107</v>
      </c>
      <c r="AB150" t="s">
        <v>34</v>
      </c>
      <c r="AC150" t="s">
        <v>35</v>
      </c>
      <c r="AD150" t="s">
        <v>36</v>
      </c>
      <c r="AE150" t="s">
        <v>37</v>
      </c>
      <c r="AF150" t="str">
        <f t="shared" si="6"/>
        <v>non-charge-altering-6kiu</v>
      </c>
      <c r="AG150" t="s">
        <v>92</v>
      </c>
      <c r="AH150" t="s">
        <v>45</v>
      </c>
      <c r="AI150" t="str">
        <f t="shared" si="5"/>
        <v>H-T85I</v>
      </c>
    </row>
    <row r="151" spans="1:35">
      <c r="A151" t="s">
        <v>444</v>
      </c>
      <c r="B151" t="s">
        <v>445</v>
      </c>
      <c r="C151" t="s">
        <v>89</v>
      </c>
      <c r="D151" t="s">
        <v>56</v>
      </c>
      <c r="E151" t="s">
        <v>90</v>
      </c>
      <c r="F151" t="s">
        <v>91</v>
      </c>
      <c r="G151" t="s">
        <v>45</v>
      </c>
      <c r="H151">
        <v>89</v>
      </c>
      <c r="I151">
        <v>94</v>
      </c>
      <c r="J151">
        <v>89</v>
      </c>
      <c r="K151">
        <v>85</v>
      </c>
      <c r="L151" t="s">
        <v>47</v>
      </c>
      <c r="M151" t="s">
        <v>445</v>
      </c>
      <c r="N151" t="s">
        <v>101</v>
      </c>
      <c r="O151" t="s">
        <v>93</v>
      </c>
      <c r="P151" t="s">
        <v>94</v>
      </c>
      <c r="Q151" t="s">
        <v>47</v>
      </c>
      <c r="R151" t="s">
        <v>95</v>
      </c>
      <c r="S151">
        <v>89</v>
      </c>
      <c r="T151" t="s">
        <v>47</v>
      </c>
      <c r="U151" t="s">
        <v>48</v>
      </c>
      <c r="V151" t="s">
        <v>419</v>
      </c>
      <c r="W151" t="s">
        <v>420</v>
      </c>
      <c r="X151" t="s">
        <v>421</v>
      </c>
      <c r="Y151">
        <v>1.256</v>
      </c>
      <c r="Z151">
        <v>0.041508171</v>
      </c>
      <c r="AA151" t="s">
        <v>107</v>
      </c>
      <c r="AB151" t="s">
        <v>34</v>
      </c>
      <c r="AC151" t="s">
        <v>35</v>
      </c>
      <c r="AD151" t="s">
        <v>36</v>
      </c>
      <c r="AE151" t="s">
        <v>37</v>
      </c>
      <c r="AF151" t="str">
        <f t="shared" si="6"/>
        <v>non-charge-altering-6kiw</v>
      </c>
      <c r="AG151" t="s">
        <v>101</v>
      </c>
      <c r="AH151" t="s">
        <v>45</v>
      </c>
      <c r="AI151" t="str">
        <f t="shared" si="5"/>
        <v>H-T85I</v>
      </c>
    </row>
    <row r="152" spans="1:35">
      <c r="A152" t="s">
        <v>446</v>
      </c>
      <c r="B152" t="s">
        <v>447</v>
      </c>
      <c r="C152" t="s">
        <v>116</v>
      </c>
      <c r="D152" t="s">
        <v>17</v>
      </c>
      <c r="E152" t="s">
        <v>117</v>
      </c>
      <c r="F152" t="s">
        <v>91</v>
      </c>
      <c r="G152" t="s">
        <v>25</v>
      </c>
      <c r="H152">
        <v>13</v>
      </c>
      <c r="I152">
        <v>14</v>
      </c>
      <c r="J152">
        <v>13</v>
      </c>
      <c r="K152">
        <v>12</v>
      </c>
      <c r="L152" t="s">
        <v>32</v>
      </c>
      <c r="M152" t="s">
        <v>447</v>
      </c>
      <c r="N152" t="s">
        <v>101</v>
      </c>
      <c r="O152" t="s">
        <v>93</v>
      </c>
      <c r="P152" t="s">
        <v>94</v>
      </c>
      <c r="Q152" t="s">
        <v>32</v>
      </c>
      <c r="R152" t="s">
        <v>95</v>
      </c>
      <c r="S152">
        <v>13</v>
      </c>
      <c r="T152" t="s">
        <v>32</v>
      </c>
      <c r="U152" t="s">
        <v>47</v>
      </c>
      <c r="V152" t="s">
        <v>448</v>
      </c>
      <c r="W152" t="s">
        <v>449</v>
      </c>
      <c r="X152" t="s">
        <v>449</v>
      </c>
      <c r="Y152">
        <v>0.455</v>
      </c>
      <c r="Z152">
        <v>0.323832089</v>
      </c>
      <c r="AA152" t="s">
        <v>95</v>
      </c>
      <c r="AB152" t="s">
        <v>34</v>
      </c>
      <c r="AC152" t="s">
        <v>35</v>
      </c>
      <c r="AD152" t="s">
        <v>36</v>
      </c>
      <c r="AE152" t="s">
        <v>37</v>
      </c>
      <c r="AF152" t="str">
        <f t="shared" si="6"/>
        <v>non-charge-altering-6kiw</v>
      </c>
      <c r="AG152" t="s">
        <v>101</v>
      </c>
      <c r="AH152" t="s">
        <v>25</v>
      </c>
      <c r="AI152" t="str">
        <f t="shared" si="5"/>
        <v>C-A12T</v>
      </c>
    </row>
    <row r="153" spans="1:35">
      <c r="A153" t="s">
        <v>450</v>
      </c>
      <c r="B153" t="s">
        <v>451</v>
      </c>
      <c r="C153" t="s">
        <v>116</v>
      </c>
      <c r="D153" t="s">
        <v>17</v>
      </c>
      <c r="E153" t="s">
        <v>117</v>
      </c>
      <c r="F153" t="s">
        <v>91</v>
      </c>
      <c r="G153" t="s">
        <v>25</v>
      </c>
      <c r="H153">
        <v>13</v>
      </c>
      <c r="I153">
        <v>14</v>
      </c>
      <c r="J153">
        <v>13</v>
      </c>
      <c r="K153">
        <v>12</v>
      </c>
      <c r="L153" t="s">
        <v>32</v>
      </c>
      <c r="M153" t="s">
        <v>451</v>
      </c>
      <c r="N153" t="s">
        <v>92</v>
      </c>
      <c r="O153" t="s">
        <v>93</v>
      </c>
      <c r="P153" t="s">
        <v>94</v>
      </c>
      <c r="Q153" t="s">
        <v>32</v>
      </c>
      <c r="R153" t="s">
        <v>95</v>
      </c>
      <c r="S153">
        <v>13</v>
      </c>
      <c r="T153" t="s">
        <v>32</v>
      </c>
      <c r="U153" t="s">
        <v>47</v>
      </c>
      <c r="V153" t="s">
        <v>448</v>
      </c>
      <c r="W153" t="s">
        <v>449</v>
      </c>
      <c r="X153" t="s">
        <v>449</v>
      </c>
      <c r="Y153">
        <v>0.245</v>
      </c>
      <c r="Z153">
        <v>0.323832089</v>
      </c>
      <c r="AA153" t="s">
        <v>95</v>
      </c>
      <c r="AB153" t="s">
        <v>34</v>
      </c>
      <c r="AC153" t="s">
        <v>35</v>
      </c>
      <c r="AD153" t="s">
        <v>36</v>
      </c>
      <c r="AE153" t="s">
        <v>37</v>
      </c>
      <c r="AF153" t="str">
        <f t="shared" si="6"/>
        <v>non-charge-altering-6kiu</v>
      </c>
      <c r="AG153" t="s">
        <v>92</v>
      </c>
      <c r="AH153" t="s">
        <v>25</v>
      </c>
      <c r="AI153" t="str">
        <f t="shared" si="5"/>
        <v>C-A12T</v>
      </c>
    </row>
    <row r="154" spans="1:35">
      <c r="A154" t="s">
        <v>452</v>
      </c>
      <c r="B154" t="s">
        <v>453</v>
      </c>
      <c r="C154" t="s">
        <v>116</v>
      </c>
      <c r="D154" t="s">
        <v>17</v>
      </c>
      <c r="E154" t="s">
        <v>117</v>
      </c>
      <c r="F154" t="s">
        <v>91</v>
      </c>
      <c r="G154" t="s">
        <v>25</v>
      </c>
      <c r="H154">
        <v>29</v>
      </c>
      <c r="I154">
        <v>30</v>
      </c>
      <c r="J154">
        <v>29</v>
      </c>
      <c r="K154">
        <v>28</v>
      </c>
      <c r="L154" t="s">
        <v>19</v>
      </c>
      <c r="M154" t="s">
        <v>453</v>
      </c>
      <c r="N154" t="s">
        <v>101</v>
      </c>
      <c r="O154" t="s">
        <v>93</v>
      </c>
      <c r="P154" t="s">
        <v>94</v>
      </c>
      <c r="Q154" t="s">
        <v>19</v>
      </c>
      <c r="R154" t="s">
        <v>95</v>
      </c>
      <c r="S154">
        <v>29</v>
      </c>
      <c r="T154" t="s">
        <v>19</v>
      </c>
      <c r="U154" t="s">
        <v>46</v>
      </c>
      <c r="V154" t="s">
        <v>454</v>
      </c>
      <c r="W154" t="s">
        <v>455</v>
      </c>
      <c r="X154" t="s">
        <v>455</v>
      </c>
      <c r="Y154">
        <v>0.114</v>
      </c>
      <c r="Z154">
        <v>0.036266613</v>
      </c>
      <c r="AA154" t="s">
        <v>107</v>
      </c>
      <c r="AB154" t="s">
        <v>34</v>
      </c>
      <c r="AC154" t="s">
        <v>35</v>
      </c>
      <c r="AD154" t="s">
        <v>36</v>
      </c>
      <c r="AE154" t="s">
        <v>37</v>
      </c>
      <c r="AF154" t="str">
        <f t="shared" si="6"/>
        <v>non-charge-altering-6kiw</v>
      </c>
      <c r="AG154" t="s">
        <v>101</v>
      </c>
      <c r="AH154" t="s">
        <v>25</v>
      </c>
      <c r="AI154" t="str">
        <f t="shared" si="5"/>
        <v>C-G28S</v>
      </c>
    </row>
    <row r="155" spans="1:35">
      <c r="A155" t="s">
        <v>456</v>
      </c>
      <c r="B155" t="s">
        <v>457</v>
      </c>
      <c r="C155" t="s">
        <v>116</v>
      </c>
      <c r="D155" t="s">
        <v>17</v>
      </c>
      <c r="E155" t="s">
        <v>117</v>
      </c>
      <c r="F155" t="s">
        <v>91</v>
      </c>
      <c r="G155" t="s">
        <v>25</v>
      </c>
      <c r="H155">
        <v>29</v>
      </c>
      <c r="I155">
        <v>30</v>
      </c>
      <c r="J155">
        <v>29</v>
      </c>
      <c r="K155">
        <v>28</v>
      </c>
      <c r="L155" t="s">
        <v>19</v>
      </c>
      <c r="M155" t="s">
        <v>457</v>
      </c>
      <c r="N155" t="s">
        <v>92</v>
      </c>
      <c r="O155" t="s">
        <v>93</v>
      </c>
      <c r="P155" t="s">
        <v>94</v>
      </c>
      <c r="Q155" t="s">
        <v>19</v>
      </c>
      <c r="R155" t="s">
        <v>95</v>
      </c>
      <c r="S155">
        <v>29</v>
      </c>
      <c r="T155" t="s">
        <v>19</v>
      </c>
      <c r="U155" t="s">
        <v>46</v>
      </c>
      <c r="V155" t="s">
        <v>454</v>
      </c>
      <c r="W155" t="s">
        <v>455</v>
      </c>
      <c r="X155" t="s">
        <v>455</v>
      </c>
      <c r="Y155">
        <v>0.093</v>
      </c>
      <c r="Z155">
        <v>0.036266613</v>
      </c>
      <c r="AA155" t="s">
        <v>107</v>
      </c>
      <c r="AB155" t="s">
        <v>34</v>
      </c>
      <c r="AC155" t="s">
        <v>35</v>
      </c>
      <c r="AD155" t="s">
        <v>36</v>
      </c>
      <c r="AE155" t="s">
        <v>37</v>
      </c>
      <c r="AF155" t="str">
        <f t="shared" si="6"/>
        <v>non-charge-altering-6kiu</v>
      </c>
      <c r="AG155" t="s">
        <v>92</v>
      </c>
      <c r="AH155" t="s">
        <v>25</v>
      </c>
      <c r="AI155" t="str">
        <f t="shared" si="5"/>
        <v>C-G28S</v>
      </c>
    </row>
    <row r="156" spans="1:35">
      <c r="A156" t="s">
        <v>458</v>
      </c>
      <c r="B156" t="s">
        <v>459</v>
      </c>
      <c r="C156" t="s">
        <v>116</v>
      </c>
      <c r="D156" t="s">
        <v>17</v>
      </c>
      <c r="E156" t="s">
        <v>117</v>
      </c>
      <c r="F156" t="s">
        <v>91</v>
      </c>
      <c r="G156" t="s">
        <v>25</v>
      </c>
      <c r="H156">
        <v>44</v>
      </c>
      <c r="I156">
        <v>45</v>
      </c>
      <c r="J156">
        <v>44</v>
      </c>
      <c r="K156">
        <v>43</v>
      </c>
      <c r="L156" t="s">
        <v>61</v>
      </c>
      <c r="M156" t="s">
        <v>459</v>
      </c>
      <c r="N156" t="s">
        <v>92</v>
      </c>
      <c r="O156" t="s">
        <v>93</v>
      </c>
      <c r="P156" t="s">
        <v>94</v>
      </c>
      <c r="Q156" t="s">
        <v>61</v>
      </c>
      <c r="R156" t="s">
        <v>95</v>
      </c>
      <c r="S156">
        <v>44</v>
      </c>
      <c r="T156" t="s">
        <v>61</v>
      </c>
      <c r="U156" t="s">
        <v>39</v>
      </c>
      <c r="V156" t="s">
        <v>460</v>
      </c>
      <c r="W156" t="s">
        <v>461</v>
      </c>
      <c r="X156" t="s">
        <v>461</v>
      </c>
      <c r="Y156">
        <v>0.632</v>
      </c>
      <c r="Z156">
        <v>0.015210614</v>
      </c>
      <c r="AA156" t="s">
        <v>107</v>
      </c>
      <c r="AB156" t="s">
        <v>34</v>
      </c>
      <c r="AC156" t="s">
        <v>35</v>
      </c>
      <c r="AD156" t="s">
        <v>36</v>
      </c>
      <c r="AE156" t="s">
        <v>37</v>
      </c>
      <c r="AF156" t="str">
        <f t="shared" si="6"/>
        <v>non-charge-altering-6kiu</v>
      </c>
      <c r="AG156" t="s">
        <v>92</v>
      </c>
      <c r="AH156" t="s">
        <v>25</v>
      </c>
      <c r="AI156" t="str">
        <f t="shared" si="5"/>
        <v>C-V43L</v>
      </c>
    </row>
    <row r="157" spans="1:35">
      <c r="A157" t="s">
        <v>462</v>
      </c>
      <c r="B157" t="s">
        <v>463</v>
      </c>
      <c r="C157" t="s">
        <v>116</v>
      </c>
      <c r="D157" t="s">
        <v>17</v>
      </c>
      <c r="E157" t="s">
        <v>117</v>
      </c>
      <c r="F157" t="s">
        <v>91</v>
      </c>
      <c r="G157" t="s">
        <v>25</v>
      </c>
      <c r="H157">
        <v>44</v>
      </c>
      <c r="I157">
        <v>45</v>
      </c>
      <c r="J157">
        <v>44</v>
      </c>
      <c r="K157">
        <v>43</v>
      </c>
      <c r="L157" t="s">
        <v>61</v>
      </c>
      <c r="M157" t="s">
        <v>463</v>
      </c>
      <c r="N157" t="s">
        <v>101</v>
      </c>
      <c r="O157" t="s">
        <v>93</v>
      </c>
      <c r="P157" t="s">
        <v>94</v>
      </c>
      <c r="Q157" t="s">
        <v>61</v>
      </c>
      <c r="R157" t="s">
        <v>95</v>
      </c>
      <c r="S157">
        <v>44</v>
      </c>
      <c r="T157" t="s">
        <v>61</v>
      </c>
      <c r="U157" t="s">
        <v>39</v>
      </c>
      <c r="V157" t="s">
        <v>460</v>
      </c>
      <c r="W157" t="s">
        <v>461</v>
      </c>
      <c r="X157" t="s">
        <v>461</v>
      </c>
      <c r="Y157">
        <v>0.696</v>
      </c>
      <c r="Z157">
        <v>0.015210614</v>
      </c>
      <c r="AA157" t="s">
        <v>107</v>
      </c>
      <c r="AB157" t="s">
        <v>34</v>
      </c>
      <c r="AC157" t="s">
        <v>35</v>
      </c>
      <c r="AD157" t="s">
        <v>36</v>
      </c>
      <c r="AE157" t="s">
        <v>37</v>
      </c>
      <c r="AF157" t="str">
        <f t="shared" si="6"/>
        <v>non-charge-altering-6kiw</v>
      </c>
      <c r="AG157" t="s">
        <v>101</v>
      </c>
      <c r="AH157" t="s">
        <v>25</v>
      </c>
      <c r="AI157" t="str">
        <f t="shared" si="5"/>
        <v>C-V43L</v>
      </c>
    </row>
    <row r="158" spans="1:35">
      <c r="A158" t="s">
        <v>464</v>
      </c>
      <c r="B158" t="s">
        <v>465</v>
      </c>
      <c r="C158" t="s">
        <v>116</v>
      </c>
      <c r="D158" t="s">
        <v>19</v>
      </c>
      <c r="E158" t="s">
        <v>117</v>
      </c>
      <c r="F158" t="s">
        <v>91</v>
      </c>
      <c r="G158" t="s">
        <v>25</v>
      </c>
      <c r="H158">
        <v>29</v>
      </c>
      <c r="I158">
        <v>30</v>
      </c>
      <c r="J158">
        <v>29</v>
      </c>
      <c r="K158">
        <v>28</v>
      </c>
      <c r="L158" t="s">
        <v>19</v>
      </c>
      <c r="M158" t="s">
        <v>465</v>
      </c>
      <c r="N158" t="s">
        <v>92</v>
      </c>
      <c r="O158" t="s">
        <v>93</v>
      </c>
      <c r="P158" t="s">
        <v>94</v>
      </c>
      <c r="Q158" t="s">
        <v>19</v>
      </c>
      <c r="R158" t="s">
        <v>95</v>
      </c>
      <c r="S158">
        <v>29</v>
      </c>
      <c r="T158" t="s">
        <v>19</v>
      </c>
      <c r="U158" t="s">
        <v>46</v>
      </c>
      <c r="V158" t="s">
        <v>454</v>
      </c>
      <c r="W158" t="s">
        <v>455</v>
      </c>
      <c r="X158" t="s">
        <v>455</v>
      </c>
      <c r="Y158">
        <v>0.077</v>
      </c>
      <c r="Z158">
        <v>0.036266613</v>
      </c>
      <c r="AA158" t="s">
        <v>107</v>
      </c>
      <c r="AB158" t="s">
        <v>34</v>
      </c>
      <c r="AC158" t="s">
        <v>35</v>
      </c>
      <c r="AD158" t="s">
        <v>36</v>
      </c>
      <c r="AE158" t="s">
        <v>37</v>
      </c>
      <c r="AF158" t="str">
        <f t="shared" si="6"/>
        <v>non-charge-altering-6kiu</v>
      </c>
      <c r="AG158" t="s">
        <v>92</v>
      </c>
      <c r="AH158" t="s">
        <v>25</v>
      </c>
      <c r="AI158" t="str">
        <f t="shared" ref="AI158:AI186" si="7">D158&amp;"-"&amp;X158</f>
        <v>G-G28S</v>
      </c>
    </row>
    <row r="159" spans="1:35">
      <c r="A159" t="s">
        <v>466</v>
      </c>
      <c r="B159" t="s">
        <v>467</v>
      </c>
      <c r="C159" t="s">
        <v>116</v>
      </c>
      <c r="D159" t="s">
        <v>19</v>
      </c>
      <c r="E159" t="s">
        <v>117</v>
      </c>
      <c r="F159" t="s">
        <v>91</v>
      </c>
      <c r="G159" t="s">
        <v>25</v>
      </c>
      <c r="H159">
        <v>29</v>
      </c>
      <c r="I159">
        <v>30</v>
      </c>
      <c r="J159">
        <v>29</v>
      </c>
      <c r="K159">
        <v>28</v>
      </c>
      <c r="L159" t="s">
        <v>19</v>
      </c>
      <c r="M159" t="s">
        <v>467</v>
      </c>
      <c r="N159" t="s">
        <v>101</v>
      </c>
      <c r="O159" t="s">
        <v>93</v>
      </c>
      <c r="P159" t="s">
        <v>94</v>
      </c>
      <c r="Q159" t="s">
        <v>19</v>
      </c>
      <c r="R159" t="s">
        <v>95</v>
      </c>
      <c r="S159">
        <v>29</v>
      </c>
      <c r="T159" t="s">
        <v>19</v>
      </c>
      <c r="U159" t="s">
        <v>46</v>
      </c>
      <c r="V159" t="s">
        <v>454</v>
      </c>
      <c r="W159" t="s">
        <v>455</v>
      </c>
      <c r="X159" t="s">
        <v>455</v>
      </c>
      <c r="Y159">
        <v>0.115</v>
      </c>
      <c r="Z159">
        <v>0.036266613</v>
      </c>
      <c r="AA159" t="s">
        <v>107</v>
      </c>
      <c r="AB159" t="s">
        <v>34</v>
      </c>
      <c r="AC159" t="s">
        <v>35</v>
      </c>
      <c r="AD159" t="s">
        <v>36</v>
      </c>
      <c r="AE159" t="s">
        <v>37</v>
      </c>
      <c r="AF159" t="str">
        <f t="shared" si="6"/>
        <v>non-charge-altering-6kiw</v>
      </c>
      <c r="AG159" t="s">
        <v>101</v>
      </c>
      <c r="AH159" t="s">
        <v>25</v>
      </c>
      <c r="AI159" t="str">
        <f t="shared" si="7"/>
        <v>G-G28S</v>
      </c>
    </row>
    <row r="160" spans="1:35">
      <c r="A160" t="s">
        <v>468</v>
      </c>
      <c r="B160" t="s">
        <v>469</v>
      </c>
      <c r="C160" t="s">
        <v>116</v>
      </c>
      <c r="D160" t="s">
        <v>19</v>
      </c>
      <c r="E160" t="s">
        <v>117</v>
      </c>
      <c r="F160" t="s">
        <v>91</v>
      </c>
      <c r="G160" t="s">
        <v>25</v>
      </c>
      <c r="H160">
        <v>44</v>
      </c>
      <c r="I160">
        <v>45</v>
      </c>
      <c r="J160">
        <v>44</v>
      </c>
      <c r="K160">
        <v>43</v>
      </c>
      <c r="L160" t="s">
        <v>61</v>
      </c>
      <c r="M160" t="s">
        <v>469</v>
      </c>
      <c r="N160" t="s">
        <v>101</v>
      </c>
      <c r="O160" t="s">
        <v>93</v>
      </c>
      <c r="P160" t="s">
        <v>94</v>
      </c>
      <c r="Q160" t="s">
        <v>61</v>
      </c>
      <c r="R160" t="s">
        <v>95</v>
      </c>
      <c r="S160">
        <v>44</v>
      </c>
      <c r="T160" t="s">
        <v>61</v>
      </c>
      <c r="U160" t="s">
        <v>39</v>
      </c>
      <c r="V160" t="s">
        <v>460</v>
      </c>
      <c r="W160" t="s">
        <v>461</v>
      </c>
      <c r="X160" t="s">
        <v>461</v>
      </c>
      <c r="Y160">
        <v>0.636</v>
      </c>
      <c r="Z160">
        <v>0.015210614</v>
      </c>
      <c r="AA160" t="s">
        <v>107</v>
      </c>
      <c r="AB160" t="s">
        <v>34</v>
      </c>
      <c r="AC160" t="s">
        <v>35</v>
      </c>
      <c r="AD160" t="s">
        <v>36</v>
      </c>
      <c r="AE160" t="s">
        <v>37</v>
      </c>
      <c r="AF160" t="str">
        <f t="shared" si="6"/>
        <v>non-charge-altering-6kiw</v>
      </c>
      <c r="AG160" t="s">
        <v>101</v>
      </c>
      <c r="AH160" t="s">
        <v>25</v>
      </c>
      <c r="AI160" t="str">
        <f t="shared" si="7"/>
        <v>G-V43L</v>
      </c>
    </row>
    <row r="161" spans="1:35">
      <c r="A161" t="s">
        <v>470</v>
      </c>
      <c r="B161" t="s">
        <v>471</v>
      </c>
      <c r="C161" t="s">
        <v>116</v>
      </c>
      <c r="D161" t="s">
        <v>19</v>
      </c>
      <c r="E161" t="s">
        <v>117</v>
      </c>
      <c r="F161" t="s">
        <v>91</v>
      </c>
      <c r="G161" t="s">
        <v>25</v>
      </c>
      <c r="H161">
        <v>44</v>
      </c>
      <c r="I161">
        <v>45</v>
      </c>
      <c r="J161">
        <v>44</v>
      </c>
      <c r="K161">
        <v>43</v>
      </c>
      <c r="L161" t="s">
        <v>61</v>
      </c>
      <c r="M161" t="s">
        <v>471</v>
      </c>
      <c r="N161" t="s">
        <v>92</v>
      </c>
      <c r="O161" t="s">
        <v>93</v>
      </c>
      <c r="P161" t="s">
        <v>94</v>
      </c>
      <c r="Q161" t="s">
        <v>61</v>
      </c>
      <c r="R161" t="s">
        <v>95</v>
      </c>
      <c r="S161">
        <v>44</v>
      </c>
      <c r="T161" t="s">
        <v>61</v>
      </c>
      <c r="U161" t="s">
        <v>39</v>
      </c>
      <c r="V161" t="s">
        <v>460</v>
      </c>
      <c r="W161" t="s">
        <v>461</v>
      </c>
      <c r="X161" t="s">
        <v>461</v>
      </c>
      <c r="Y161">
        <v>0.627</v>
      </c>
      <c r="Z161">
        <v>0.015210614</v>
      </c>
      <c r="AA161" t="s">
        <v>107</v>
      </c>
      <c r="AB161" t="s">
        <v>34</v>
      </c>
      <c r="AC161" t="s">
        <v>35</v>
      </c>
      <c r="AD161" t="s">
        <v>36</v>
      </c>
      <c r="AE161" t="s">
        <v>37</v>
      </c>
      <c r="AF161" t="str">
        <f t="shared" si="6"/>
        <v>non-charge-altering-6kiu</v>
      </c>
      <c r="AG161" t="s">
        <v>92</v>
      </c>
      <c r="AH161" t="s">
        <v>25</v>
      </c>
      <c r="AI161" t="str">
        <f t="shared" si="7"/>
        <v>G-V43L</v>
      </c>
    </row>
    <row r="162" spans="1:35">
      <c r="A162" t="s">
        <v>472</v>
      </c>
      <c r="B162" t="s">
        <v>473</v>
      </c>
      <c r="C162" t="s">
        <v>184</v>
      </c>
      <c r="D162" t="s">
        <v>28</v>
      </c>
      <c r="E162" t="s">
        <v>185</v>
      </c>
      <c r="F162" t="s">
        <v>91</v>
      </c>
      <c r="G162" t="s">
        <v>31</v>
      </c>
      <c r="H162">
        <v>49</v>
      </c>
      <c r="I162">
        <v>49</v>
      </c>
      <c r="J162">
        <v>49</v>
      </c>
      <c r="K162">
        <v>48</v>
      </c>
      <c r="L162" t="s">
        <v>19</v>
      </c>
      <c r="M162" t="s">
        <v>473</v>
      </c>
      <c r="N162" t="s">
        <v>92</v>
      </c>
      <c r="O162" t="s">
        <v>93</v>
      </c>
      <c r="P162" t="s">
        <v>94</v>
      </c>
      <c r="Q162" t="s">
        <v>19</v>
      </c>
      <c r="R162" t="s">
        <v>95</v>
      </c>
      <c r="S162">
        <v>49</v>
      </c>
      <c r="T162" t="s">
        <v>19</v>
      </c>
      <c r="U162" t="s">
        <v>32</v>
      </c>
      <c r="V162" t="s">
        <v>474</v>
      </c>
      <c r="W162" t="s">
        <v>475</v>
      </c>
      <c r="X162" t="s">
        <v>475</v>
      </c>
      <c r="Y162">
        <v>0.156</v>
      </c>
      <c r="Z162">
        <v>0.223359806</v>
      </c>
      <c r="AA162" t="s">
        <v>95</v>
      </c>
      <c r="AB162" t="s">
        <v>34</v>
      </c>
      <c r="AC162" t="s">
        <v>35</v>
      </c>
      <c r="AD162" t="s">
        <v>36</v>
      </c>
      <c r="AE162" t="s">
        <v>37</v>
      </c>
      <c r="AF162" t="str">
        <f t="shared" si="6"/>
        <v>non-charge-altering-6kiu</v>
      </c>
      <c r="AG162" t="s">
        <v>92</v>
      </c>
      <c r="AH162" t="s">
        <v>31</v>
      </c>
      <c r="AI162" t="str">
        <f t="shared" si="7"/>
        <v>B-G48A</v>
      </c>
    </row>
    <row r="163" spans="1:35">
      <c r="A163" t="s">
        <v>476</v>
      </c>
      <c r="B163" t="s">
        <v>477</v>
      </c>
      <c r="C163" t="s">
        <v>184</v>
      </c>
      <c r="D163" t="s">
        <v>28</v>
      </c>
      <c r="E163" t="s">
        <v>185</v>
      </c>
      <c r="F163" t="s">
        <v>91</v>
      </c>
      <c r="G163" t="s">
        <v>31</v>
      </c>
      <c r="H163">
        <v>49</v>
      </c>
      <c r="I163">
        <v>49</v>
      </c>
      <c r="J163">
        <v>49</v>
      </c>
      <c r="K163">
        <v>48</v>
      </c>
      <c r="L163" t="s">
        <v>19</v>
      </c>
      <c r="M163" t="s">
        <v>477</v>
      </c>
      <c r="N163" t="s">
        <v>101</v>
      </c>
      <c r="O163" t="s">
        <v>93</v>
      </c>
      <c r="P163" t="s">
        <v>94</v>
      </c>
      <c r="Q163" t="s">
        <v>19</v>
      </c>
      <c r="R163" t="s">
        <v>95</v>
      </c>
      <c r="S163">
        <v>49</v>
      </c>
      <c r="T163" t="s">
        <v>19</v>
      </c>
      <c r="U163" t="s">
        <v>32</v>
      </c>
      <c r="V163" t="s">
        <v>474</v>
      </c>
      <c r="W163" t="s">
        <v>475</v>
      </c>
      <c r="X163" t="s">
        <v>475</v>
      </c>
      <c r="Y163">
        <v>0.151</v>
      </c>
      <c r="Z163">
        <v>0.223359806</v>
      </c>
      <c r="AA163" t="s">
        <v>95</v>
      </c>
      <c r="AB163" t="s">
        <v>34</v>
      </c>
      <c r="AC163" t="s">
        <v>35</v>
      </c>
      <c r="AD163" t="s">
        <v>36</v>
      </c>
      <c r="AE163" t="s">
        <v>37</v>
      </c>
      <c r="AF163" t="str">
        <f t="shared" si="6"/>
        <v>non-charge-altering-6kiw</v>
      </c>
      <c r="AG163" t="s">
        <v>101</v>
      </c>
      <c r="AH163" t="s">
        <v>31</v>
      </c>
      <c r="AI163" t="str">
        <f t="shared" si="7"/>
        <v>B-G48A</v>
      </c>
    </row>
    <row r="164" spans="1:35">
      <c r="A164" t="s">
        <v>478</v>
      </c>
      <c r="B164" t="s">
        <v>479</v>
      </c>
      <c r="C164" t="s">
        <v>184</v>
      </c>
      <c r="D164" t="s">
        <v>28</v>
      </c>
      <c r="E164" t="s">
        <v>185</v>
      </c>
      <c r="F164" t="s">
        <v>91</v>
      </c>
      <c r="G164" t="s">
        <v>31</v>
      </c>
      <c r="H164">
        <v>81</v>
      </c>
      <c r="I164">
        <v>81</v>
      </c>
      <c r="J164">
        <v>81</v>
      </c>
      <c r="K164">
        <v>80</v>
      </c>
      <c r="L164" t="s">
        <v>47</v>
      </c>
      <c r="M164" t="s">
        <v>479</v>
      </c>
      <c r="N164" t="s">
        <v>92</v>
      </c>
      <c r="O164" t="s">
        <v>93</v>
      </c>
      <c r="P164" t="s">
        <v>94</v>
      </c>
      <c r="Q164" t="s">
        <v>47</v>
      </c>
      <c r="R164" t="s">
        <v>95</v>
      </c>
      <c r="S164">
        <v>81</v>
      </c>
      <c r="T164" t="s">
        <v>47</v>
      </c>
      <c r="U164" t="s">
        <v>32</v>
      </c>
      <c r="V164" t="s">
        <v>480</v>
      </c>
      <c r="W164" t="s">
        <v>481</v>
      </c>
      <c r="X164" t="s">
        <v>481</v>
      </c>
      <c r="Y164">
        <v>1.924</v>
      </c>
      <c r="Z164">
        <v>0.060814775</v>
      </c>
      <c r="AA164" t="s">
        <v>107</v>
      </c>
      <c r="AB164" t="s">
        <v>34</v>
      </c>
      <c r="AC164" t="s">
        <v>35</v>
      </c>
      <c r="AD164" t="s">
        <v>36</v>
      </c>
      <c r="AE164" t="s">
        <v>37</v>
      </c>
      <c r="AF164" t="str">
        <f t="shared" si="6"/>
        <v>non-charge-altering-6kiu</v>
      </c>
      <c r="AG164" t="s">
        <v>92</v>
      </c>
      <c r="AH164" t="s">
        <v>31</v>
      </c>
      <c r="AI164" t="str">
        <f t="shared" si="7"/>
        <v>B-T80A</v>
      </c>
    </row>
    <row r="165" spans="1:35">
      <c r="A165" t="s">
        <v>482</v>
      </c>
      <c r="B165" t="s">
        <v>483</v>
      </c>
      <c r="C165" t="s">
        <v>184</v>
      </c>
      <c r="D165" t="s">
        <v>28</v>
      </c>
      <c r="E165" t="s">
        <v>185</v>
      </c>
      <c r="F165" t="s">
        <v>91</v>
      </c>
      <c r="G165" t="s">
        <v>31</v>
      </c>
      <c r="H165">
        <v>81</v>
      </c>
      <c r="I165">
        <v>81</v>
      </c>
      <c r="J165">
        <v>81</v>
      </c>
      <c r="K165">
        <v>80</v>
      </c>
      <c r="L165" t="s">
        <v>47</v>
      </c>
      <c r="M165" t="s">
        <v>483</v>
      </c>
      <c r="N165" t="s">
        <v>101</v>
      </c>
      <c r="O165" t="s">
        <v>93</v>
      </c>
      <c r="P165" t="s">
        <v>94</v>
      </c>
      <c r="Q165" t="s">
        <v>47</v>
      </c>
      <c r="R165" t="s">
        <v>95</v>
      </c>
      <c r="S165">
        <v>81</v>
      </c>
      <c r="T165" t="s">
        <v>47</v>
      </c>
      <c r="U165" t="s">
        <v>32</v>
      </c>
      <c r="V165" t="s">
        <v>480</v>
      </c>
      <c r="W165" t="s">
        <v>481</v>
      </c>
      <c r="X165" t="s">
        <v>481</v>
      </c>
      <c r="Y165">
        <v>1.812</v>
      </c>
      <c r="Z165">
        <v>0.060814775</v>
      </c>
      <c r="AA165" t="s">
        <v>107</v>
      </c>
      <c r="AB165" t="s">
        <v>34</v>
      </c>
      <c r="AC165" t="s">
        <v>35</v>
      </c>
      <c r="AD165" t="s">
        <v>36</v>
      </c>
      <c r="AE165" t="s">
        <v>37</v>
      </c>
      <c r="AF165" t="str">
        <f t="shared" si="6"/>
        <v>non-charge-altering-6kiw</v>
      </c>
      <c r="AG165" t="s">
        <v>101</v>
      </c>
      <c r="AH165" t="s">
        <v>31</v>
      </c>
      <c r="AI165" t="str">
        <f t="shared" si="7"/>
        <v>B-T80A</v>
      </c>
    </row>
    <row r="166" spans="1:35">
      <c r="A166" t="s">
        <v>484</v>
      </c>
      <c r="B166" t="s">
        <v>485</v>
      </c>
      <c r="C166" t="s">
        <v>184</v>
      </c>
      <c r="D166" t="s">
        <v>33</v>
      </c>
      <c r="E166" t="s">
        <v>185</v>
      </c>
      <c r="F166" t="s">
        <v>91</v>
      </c>
      <c r="G166" t="s">
        <v>31</v>
      </c>
      <c r="H166">
        <v>49</v>
      </c>
      <c r="I166">
        <v>49</v>
      </c>
      <c r="J166">
        <v>49</v>
      </c>
      <c r="K166">
        <v>48</v>
      </c>
      <c r="L166" t="s">
        <v>19</v>
      </c>
      <c r="M166" t="s">
        <v>485</v>
      </c>
      <c r="N166" t="s">
        <v>101</v>
      </c>
      <c r="O166" t="s">
        <v>93</v>
      </c>
      <c r="P166" t="s">
        <v>94</v>
      </c>
      <c r="Q166" t="s">
        <v>19</v>
      </c>
      <c r="R166" t="s">
        <v>95</v>
      </c>
      <c r="S166">
        <v>49</v>
      </c>
      <c r="T166" t="s">
        <v>19</v>
      </c>
      <c r="U166" t="s">
        <v>32</v>
      </c>
      <c r="V166" t="s">
        <v>474</v>
      </c>
      <c r="W166" t="s">
        <v>475</v>
      </c>
      <c r="X166" t="s">
        <v>475</v>
      </c>
      <c r="Y166">
        <v>0.146</v>
      </c>
      <c r="Z166">
        <v>0.223359806</v>
      </c>
      <c r="AA166" t="s">
        <v>95</v>
      </c>
      <c r="AB166" t="s">
        <v>34</v>
      </c>
      <c r="AC166" t="s">
        <v>35</v>
      </c>
      <c r="AD166" t="s">
        <v>36</v>
      </c>
      <c r="AE166" t="s">
        <v>37</v>
      </c>
      <c r="AF166" t="str">
        <f t="shared" si="6"/>
        <v>non-charge-altering-6kiw</v>
      </c>
      <c r="AG166" t="s">
        <v>101</v>
      </c>
      <c r="AH166" t="s">
        <v>31</v>
      </c>
      <c r="AI166" t="str">
        <f t="shared" si="7"/>
        <v>F-G48A</v>
      </c>
    </row>
    <row r="167" spans="1:35">
      <c r="A167" t="s">
        <v>486</v>
      </c>
      <c r="B167" t="s">
        <v>487</v>
      </c>
      <c r="C167" t="s">
        <v>184</v>
      </c>
      <c r="D167" t="s">
        <v>33</v>
      </c>
      <c r="E167" t="s">
        <v>185</v>
      </c>
      <c r="F167" t="s">
        <v>91</v>
      </c>
      <c r="G167" t="s">
        <v>31</v>
      </c>
      <c r="H167">
        <v>49</v>
      </c>
      <c r="I167">
        <v>49</v>
      </c>
      <c r="J167">
        <v>49</v>
      </c>
      <c r="K167">
        <v>48</v>
      </c>
      <c r="L167" t="s">
        <v>19</v>
      </c>
      <c r="M167" t="s">
        <v>487</v>
      </c>
      <c r="N167" t="s">
        <v>92</v>
      </c>
      <c r="O167" t="s">
        <v>93</v>
      </c>
      <c r="P167" t="s">
        <v>94</v>
      </c>
      <c r="Q167" t="s">
        <v>19</v>
      </c>
      <c r="R167" t="s">
        <v>95</v>
      </c>
      <c r="S167">
        <v>49</v>
      </c>
      <c r="T167" t="s">
        <v>19</v>
      </c>
      <c r="U167" t="s">
        <v>32</v>
      </c>
      <c r="V167" t="s">
        <v>474</v>
      </c>
      <c r="W167" t="s">
        <v>475</v>
      </c>
      <c r="X167" t="s">
        <v>475</v>
      </c>
      <c r="Y167">
        <v>0.139</v>
      </c>
      <c r="Z167">
        <v>0.223359806</v>
      </c>
      <c r="AA167" t="s">
        <v>95</v>
      </c>
      <c r="AB167" t="s">
        <v>34</v>
      </c>
      <c r="AC167" t="s">
        <v>35</v>
      </c>
      <c r="AD167" t="s">
        <v>36</v>
      </c>
      <c r="AE167" t="s">
        <v>37</v>
      </c>
      <c r="AF167" t="str">
        <f t="shared" si="6"/>
        <v>non-charge-altering-6kiu</v>
      </c>
      <c r="AG167" t="s">
        <v>92</v>
      </c>
      <c r="AH167" t="s">
        <v>31</v>
      </c>
      <c r="AI167" t="str">
        <f t="shared" si="7"/>
        <v>F-G48A</v>
      </c>
    </row>
    <row r="168" spans="1:35">
      <c r="A168" t="s">
        <v>488</v>
      </c>
      <c r="B168" t="s">
        <v>489</v>
      </c>
      <c r="C168" t="s">
        <v>184</v>
      </c>
      <c r="D168" t="s">
        <v>33</v>
      </c>
      <c r="E168" t="s">
        <v>185</v>
      </c>
      <c r="F168" t="s">
        <v>91</v>
      </c>
      <c r="G168" t="s">
        <v>31</v>
      </c>
      <c r="H168">
        <v>81</v>
      </c>
      <c r="I168">
        <v>81</v>
      </c>
      <c r="J168">
        <v>81</v>
      </c>
      <c r="K168">
        <v>80</v>
      </c>
      <c r="L168" t="s">
        <v>47</v>
      </c>
      <c r="M168" t="s">
        <v>489</v>
      </c>
      <c r="N168" t="s">
        <v>101</v>
      </c>
      <c r="O168" t="s">
        <v>93</v>
      </c>
      <c r="P168" t="s">
        <v>94</v>
      </c>
      <c r="Q168" t="s">
        <v>47</v>
      </c>
      <c r="R168" t="s">
        <v>95</v>
      </c>
      <c r="S168">
        <v>81</v>
      </c>
      <c r="T168" t="s">
        <v>47</v>
      </c>
      <c r="U168" t="s">
        <v>32</v>
      </c>
      <c r="V168" t="s">
        <v>480</v>
      </c>
      <c r="W168" t="s">
        <v>481</v>
      </c>
      <c r="X168" t="s">
        <v>481</v>
      </c>
      <c r="Y168">
        <v>2.081</v>
      </c>
      <c r="Z168">
        <v>0.060814775</v>
      </c>
      <c r="AA168" t="s">
        <v>107</v>
      </c>
      <c r="AB168" t="s">
        <v>34</v>
      </c>
      <c r="AC168" t="s">
        <v>35</v>
      </c>
      <c r="AD168" t="s">
        <v>36</v>
      </c>
      <c r="AE168" t="s">
        <v>37</v>
      </c>
      <c r="AF168" t="str">
        <f t="shared" si="6"/>
        <v>non-charge-altering-6kiw</v>
      </c>
      <c r="AG168" t="s">
        <v>101</v>
      </c>
      <c r="AH168" t="s">
        <v>31</v>
      </c>
      <c r="AI168" t="str">
        <f t="shared" si="7"/>
        <v>F-T80A</v>
      </c>
    </row>
    <row r="169" spans="1:35">
      <c r="A169" t="s">
        <v>490</v>
      </c>
      <c r="B169" t="s">
        <v>491</v>
      </c>
      <c r="C169" t="s">
        <v>184</v>
      </c>
      <c r="D169" t="s">
        <v>33</v>
      </c>
      <c r="E169" t="s">
        <v>185</v>
      </c>
      <c r="F169" t="s">
        <v>91</v>
      </c>
      <c r="G169" t="s">
        <v>31</v>
      </c>
      <c r="H169">
        <v>81</v>
      </c>
      <c r="I169">
        <v>81</v>
      </c>
      <c r="J169">
        <v>81</v>
      </c>
      <c r="K169">
        <v>80</v>
      </c>
      <c r="L169" t="s">
        <v>47</v>
      </c>
      <c r="M169" t="s">
        <v>491</v>
      </c>
      <c r="N169" t="s">
        <v>92</v>
      </c>
      <c r="O169" t="s">
        <v>93</v>
      </c>
      <c r="P169" t="s">
        <v>94</v>
      </c>
      <c r="Q169" t="s">
        <v>47</v>
      </c>
      <c r="R169" t="s">
        <v>95</v>
      </c>
      <c r="S169">
        <v>81</v>
      </c>
      <c r="T169" t="s">
        <v>47</v>
      </c>
      <c r="U169" t="s">
        <v>32</v>
      </c>
      <c r="V169" t="s">
        <v>480</v>
      </c>
      <c r="W169" t="s">
        <v>481</v>
      </c>
      <c r="X169" t="s">
        <v>481</v>
      </c>
      <c r="Y169">
        <v>2.164</v>
      </c>
      <c r="Z169">
        <v>0.060814775</v>
      </c>
      <c r="AA169" t="s">
        <v>107</v>
      </c>
      <c r="AB169" t="s">
        <v>34</v>
      </c>
      <c r="AC169" t="s">
        <v>35</v>
      </c>
      <c r="AD169" t="s">
        <v>36</v>
      </c>
      <c r="AE169" t="s">
        <v>37</v>
      </c>
      <c r="AF169" t="str">
        <f t="shared" si="6"/>
        <v>non-charge-altering-6kiu</v>
      </c>
      <c r="AG169" t="s">
        <v>92</v>
      </c>
      <c r="AH169" t="s">
        <v>31</v>
      </c>
      <c r="AI169" t="str">
        <f t="shared" si="7"/>
        <v>F-T80A</v>
      </c>
    </row>
    <row r="170" spans="1:35">
      <c r="A170" t="s">
        <v>492</v>
      </c>
      <c r="B170" t="s">
        <v>493</v>
      </c>
      <c r="C170" t="s">
        <v>231</v>
      </c>
      <c r="D170" t="s">
        <v>32</v>
      </c>
      <c r="E170" t="s">
        <v>232</v>
      </c>
      <c r="F170" t="s">
        <v>91</v>
      </c>
      <c r="G170" t="s">
        <v>38</v>
      </c>
      <c r="H170">
        <v>118</v>
      </c>
      <c r="I170">
        <v>211</v>
      </c>
      <c r="J170">
        <v>118</v>
      </c>
      <c r="K170">
        <v>117</v>
      </c>
      <c r="L170" t="s">
        <v>61</v>
      </c>
      <c r="M170" t="s">
        <v>493</v>
      </c>
      <c r="N170" t="s">
        <v>101</v>
      </c>
      <c r="O170" t="s">
        <v>93</v>
      </c>
      <c r="P170" t="s">
        <v>94</v>
      </c>
      <c r="Q170" t="s">
        <v>61</v>
      </c>
      <c r="R170" t="s">
        <v>95</v>
      </c>
      <c r="S170">
        <v>118</v>
      </c>
      <c r="T170" t="s">
        <v>61</v>
      </c>
      <c r="U170" t="s">
        <v>63</v>
      </c>
      <c r="V170" t="s">
        <v>494</v>
      </c>
      <c r="W170" t="s">
        <v>495</v>
      </c>
      <c r="X170" t="s">
        <v>495</v>
      </c>
      <c r="Y170">
        <v>1.685</v>
      </c>
      <c r="Z170">
        <v>0.115138765</v>
      </c>
      <c r="AA170" t="s">
        <v>107</v>
      </c>
      <c r="AB170" t="s">
        <v>34</v>
      </c>
      <c r="AC170" t="s">
        <v>35</v>
      </c>
      <c r="AD170" t="s">
        <v>36</v>
      </c>
      <c r="AE170" t="s">
        <v>37</v>
      </c>
      <c r="AF170" t="str">
        <f t="shared" si="6"/>
        <v>non-charge-altering-6kiw</v>
      </c>
      <c r="AG170" t="s">
        <v>101</v>
      </c>
      <c r="AH170" t="s">
        <v>38</v>
      </c>
      <c r="AI170" t="str">
        <f t="shared" si="7"/>
        <v>A-V117M</v>
      </c>
    </row>
    <row r="171" spans="1:35">
      <c r="A171" t="s">
        <v>496</v>
      </c>
      <c r="B171" t="s">
        <v>493</v>
      </c>
      <c r="C171" t="s">
        <v>231</v>
      </c>
      <c r="D171" t="s">
        <v>32</v>
      </c>
      <c r="E171" t="s">
        <v>232</v>
      </c>
      <c r="F171" t="s">
        <v>91</v>
      </c>
      <c r="G171" t="s">
        <v>38</v>
      </c>
      <c r="H171">
        <v>118</v>
      </c>
      <c r="I171">
        <v>211</v>
      </c>
      <c r="J171">
        <v>118</v>
      </c>
      <c r="K171">
        <v>117</v>
      </c>
      <c r="L171" t="s">
        <v>61</v>
      </c>
      <c r="M171" t="s">
        <v>493</v>
      </c>
      <c r="N171" t="s">
        <v>101</v>
      </c>
      <c r="O171" t="s">
        <v>93</v>
      </c>
      <c r="P171" t="s">
        <v>94</v>
      </c>
      <c r="Q171" t="s">
        <v>61</v>
      </c>
      <c r="R171" t="s">
        <v>95</v>
      </c>
      <c r="S171">
        <v>118</v>
      </c>
      <c r="T171" t="s">
        <v>61</v>
      </c>
      <c r="U171" t="s">
        <v>19</v>
      </c>
      <c r="V171" t="s">
        <v>497</v>
      </c>
      <c r="W171" t="s">
        <v>498</v>
      </c>
      <c r="X171" t="s">
        <v>498</v>
      </c>
      <c r="Y171">
        <v>1.84</v>
      </c>
      <c r="Z171">
        <v>0.115138765</v>
      </c>
      <c r="AA171" t="s">
        <v>107</v>
      </c>
      <c r="AB171" t="s">
        <v>34</v>
      </c>
      <c r="AC171" t="s">
        <v>35</v>
      </c>
      <c r="AD171" t="s">
        <v>36</v>
      </c>
      <c r="AE171" t="s">
        <v>37</v>
      </c>
      <c r="AF171" t="str">
        <f t="shared" si="6"/>
        <v>non-charge-altering-6kiw</v>
      </c>
      <c r="AG171" t="s">
        <v>101</v>
      </c>
      <c r="AH171" t="s">
        <v>38</v>
      </c>
      <c r="AI171" t="str">
        <f t="shared" si="7"/>
        <v>A-V117G</v>
      </c>
    </row>
    <row r="172" spans="1:35">
      <c r="A172" t="s">
        <v>499</v>
      </c>
      <c r="B172" t="s">
        <v>500</v>
      </c>
      <c r="C172" t="s">
        <v>231</v>
      </c>
      <c r="D172" t="s">
        <v>32</v>
      </c>
      <c r="E172" t="s">
        <v>232</v>
      </c>
      <c r="F172" t="s">
        <v>91</v>
      </c>
      <c r="G172" t="s">
        <v>38</v>
      </c>
      <c r="H172">
        <v>118</v>
      </c>
      <c r="I172">
        <v>211</v>
      </c>
      <c r="J172">
        <v>118</v>
      </c>
      <c r="K172">
        <v>117</v>
      </c>
      <c r="L172" t="s">
        <v>61</v>
      </c>
      <c r="M172" t="s">
        <v>500</v>
      </c>
      <c r="N172" t="s">
        <v>92</v>
      </c>
      <c r="O172" t="s">
        <v>93</v>
      </c>
      <c r="P172" t="s">
        <v>94</v>
      </c>
      <c r="Q172" t="s">
        <v>61</v>
      </c>
      <c r="R172" t="s">
        <v>95</v>
      </c>
      <c r="S172">
        <v>118</v>
      </c>
      <c r="T172" t="s">
        <v>61</v>
      </c>
      <c r="U172" t="s">
        <v>63</v>
      </c>
      <c r="V172" t="s">
        <v>494</v>
      </c>
      <c r="W172" t="s">
        <v>495</v>
      </c>
      <c r="X172" t="s">
        <v>495</v>
      </c>
      <c r="Y172">
        <v>1.841</v>
      </c>
      <c r="Z172">
        <v>0.115138765</v>
      </c>
      <c r="AA172" t="s">
        <v>107</v>
      </c>
      <c r="AB172" t="s">
        <v>34</v>
      </c>
      <c r="AC172" t="s">
        <v>35</v>
      </c>
      <c r="AD172" t="s">
        <v>36</v>
      </c>
      <c r="AE172" t="s">
        <v>37</v>
      </c>
      <c r="AF172" t="str">
        <f t="shared" si="6"/>
        <v>non-charge-altering-6kiu</v>
      </c>
      <c r="AG172" t="s">
        <v>92</v>
      </c>
      <c r="AH172" t="s">
        <v>38</v>
      </c>
      <c r="AI172" t="str">
        <f t="shared" si="7"/>
        <v>A-V117M</v>
      </c>
    </row>
    <row r="173" spans="1:35">
      <c r="A173" t="s">
        <v>501</v>
      </c>
      <c r="B173" t="s">
        <v>500</v>
      </c>
      <c r="C173" t="s">
        <v>231</v>
      </c>
      <c r="D173" t="s">
        <v>32</v>
      </c>
      <c r="E173" t="s">
        <v>232</v>
      </c>
      <c r="F173" t="s">
        <v>91</v>
      </c>
      <c r="G173" t="s">
        <v>38</v>
      </c>
      <c r="H173">
        <v>118</v>
      </c>
      <c r="I173">
        <v>211</v>
      </c>
      <c r="J173">
        <v>118</v>
      </c>
      <c r="K173">
        <v>117</v>
      </c>
      <c r="L173" t="s">
        <v>61</v>
      </c>
      <c r="M173" t="s">
        <v>500</v>
      </c>
      <c r="N173" t="s">
        <v>92</v>
      </c>
      <c r="O173" t="s">
        <v>93</v>
      </c>
      <c r="P173" t="s">
        <v>94</v>
      </c>
      <c r="Q173" t="s">
        <v>61</v>
      </c>
      <c r="R173" t="s">
        <v>95</v>
      </c>
      <c r="S173">
        <v>118</v>
      </c>
      <c r="T173" t="s">
        <v>61</v>
      </c>
      <c r="U173" t="s">
        <v>19</v>
      </c>
      <c r="V173" t="s">
        <v>497</v>
      </c>
      <c r="W173" t="s">
        <v>498</v>
      </c>
      <c r="X173" t="s">
        <v>498</v>
      </c>
      <c r="Y173">
        <v>1.939</v>
      </c>
      <c r="Z173">
        <v>0.115138765</v>
      </c>
      <c r="AA173" t="s">
        <v>107</v>
      </c>
      <c r="AB173" t="s">
        <v>34</v>
      </c>
      <c r="AC173" t="s">
        <v>35</v>
      </c>
      <c r="AD173" t="s">
        <v>36</v>
      </c>
      <c r="AE173" t="s">
        <v>37</v>
      </c>
      <c r="AF173" t="str">
        <f t="shared" si="6"/>
        <v>non-charge-altering-6kiu</v>
      </c>
      <c r="AG173" t="s">
        <v>92</v>
      </c>
      <c r="AH173" t="s">
        <v>38</v>
      </c>
      <c r="AI173" t="str">
        <f t="shared" si="7"/>
        <v>A-V117G</v>
      </c>
    </row>
    <row r="174" spans="1:35">
      <c r="A174" t="s">
        <v>502</v>
      </c>
      <c r="B174" t="s">
        <v>503</v>
      </c>
      <c r="C174" t="s">
        <v>231</v>
      </c>
      <c r="D174" t="s">
        <v>32</v>
      </c>
      <c r="E174" t="s">
        <v>232</v>
      </c>
      <c r="F174" t="s">
        <v>91</v>
      </c>
      <c r="G174" t="s">
        <v>38</v>
      </c>
      <c r="H174">
        <v>121</v>
      </c>
      <c r="I174">
        <v>214</v>
      </c>
      <c r="J174">
        <v>121</v>
      </c>
      <c r="K174">
        <v>120</v>
      </c>
      <c r="L174" t="s">
        <v>63</v>
      </c>
      <c r="M174" t="s">
        <v>503</v>
      </c>
      <c r="N174" t="s">
        <v>101</v>
      </c>
      <c r="O174" t="s">
        <v>93</v>
      </c>
      <c r="P174" t="s">
        <v>94</v>
      </c>
      <c r="Q174" t="s">
        <v>63</v>
      </c>
      <c r="R174" t="s">
        <v>95</v>
      </c>
      <c r="S174">
        <v>121</v>
      </c>
      <c r="T174" t="s">
        <v>63</v>
      </c>
      <c r="U174" t="s">
        <v>48</v>
      </c>
      <c r="V174" t="s">
        <v>504</v>
      </c>
      <c r="W174" t="s">
        <v>505</v>
      </c>
      <c r="X174" t="s">
        <v>505</v>
      </c>
      <c r="Y174">
        <v>1.075</v>
      </c>
      <c r="Z174">
        <v>0.081093912</v>
      </c>
      <c r="AA174" t="s">
        <v>107</v>
      </c>
      <c r="AB174" t="s">
        <v>34</v>
      </c>
      <c r="AC174" t="s">
        <v>35</v>
      </c>
      <c r="AD174" t="s">
        <v>36</v>
      </c>
      <c r="AE174" t="s">
        <v>37</v>
      </c>
      <c r="AF174" t="str">
        <f t="shared" si="6"/>
        <v>non-charge-altering-6kiw</v>
      </c>
      <c r="AG174" t="s">
        <v>101</v>
      </c>
      <c r="AH174" t="s">
        <v>38</v>
      </c>
      <c r="AI174" t="str">
        <f t="shared" si="7"/>
        <v>A-M120I</v>
      </c>
    </row>
    <row r="175" spans="1:35">
      <c r="A175" t="s">
        <v>506</v>
      </c>
      <c r="B175" t="s">
        <v>507</v>
      </c>
      <c r="C175" t="s">
        <v>231</v>
      </c>
      <c r="D175" t="s">
        <v>32</v>
      </c>
      <c r="E175" t="s">
        <v>232</v>
      </c>
      <c r="F175" t="s">
        <v>91</v>
      </c>
      <c r="G175" t="s">
        <v>38</v>
      </c>
      <c r="H175">
        <v>121</v>
      </c>
      <c r="I175">
        <v>214</v>
      </c>
      <c r="J175">
        <v>121</v>
      </c>
      <c r="K175">
        <v>120</v>
      </c>
      <c r="L175" t="s">
        <v>63</v>
      </c>
      <c r="M175" t="s">
        <v>507</v>
      </c>
      <c r="N175" t="s">
        <v>92</v>
      </c>
      <c r="O175" t="s">
        <v>93</v>
      </c>
      <c r="P175" t="s">
        <v>94</v>
      </c>
      <c r="Q175" t="s">
        <v>63</v>
      </c>
      <c r="R175" t="s">
        <v>95</v>
      </c>
      <c r="S175">
        <v>121</v>
      </c>
      <c r="T175" t="s">
        <v>63</v>
      </c>
      <c r="U175" t="s">
        <v>48</v>
      </c>
      <c r="V175" t="s">
        <v>504</v>
      </c>
      <c r="W175" t="s">
        <v>505</v>
      </c>
      <c r="X175" t="s">
        <v>505</v>
      </c>
      <c r="Y175">
        <v>1.129</v>
      </c>
      <c r="Z175">
        <v>0.081093912</v>
      </c>
      <c r="AA175" t="s">
        <v>107</v>
      </c>
      <c r="AB175" t="s">
        <v>34</v>
      </c>
      <c r="AC175" t="s">
        <v>35</v>
      </c>
      <c r="AD175" t="s">
        <v>36</v>
      </c>
      <c r="AE175" t="s">
        <v>37</v>
      </c>
      <c r="AF175" t="str">
        <f t="shared" si="6"/>
        <v>non-charge-altering-6kiu</v>
      </c>
      <c r="AG175" t="s">
        <v>92</v>
      </c>
      <c r="AH175" t="s">
        <v>38</v>
      </c>
      <c r="AI175" t="str">
        <f t="shared" si="7"/>
        <v>A-M120I</v>
      </c>
    </row>
    <row r="176" spans="1:35">
      <c r="A176" t="s">
        <v>508</v>
      </c>
      <c r="B176" t="s">
        <v>356</v>
      </c>
      <c r="C176" t="s">
        <v>231</v>
      </c>
      <c r="D176" t="s">
        <v>32</v>
      </c>
      <c r="E176" t="s">
        <v>232</v>
      </c>
      <c r="F176" t="s">
        <v>91</v>
      </c>
      <c r="G176" t="s">
        <v>38</v>
      </c>
      <c r="H176">
        <v>45</v>
      </c>
      <c r="I176">
        <v>135</v>
      </c>
      <c r="J176">
        <v>45</v>
      </c>
      <c r="K176">
        <v>44</v>
      </c>
      <c r="L176" t="s">
        <v>19</v>
      </c>
      <c r="M176" t="s">
        <v>356</v>
      </c>
      <c r="N176" t="s">
        <v>92</v>
      </c>
      <c r="O176" t="s">
        <v>93</v>
      </c>
      <c r="P176" t="s">
        <v>94</v>
      </c>
      <c r="Q176" t="s">
        <v>19</v>
      </c>
      <c r="R176" t="s">
        <v>95</v>
      </c>
      <c r="S176">
        <v>45</v>
      </c>
      <c r="T176" t="s">
        <v>19</v>
      </c>
      <c r="U176" t="s">
        <v>61</v>
      </c>
      <c r="V176" t="s">
        <v>509</v>
      </c>
      <c r="W176" t="s">
        <v>510</v>
      </c>
      <c r="X176" t="s">
        <v>510</v>
      </c>
      <c r="Y176">
        <v>0.814</v>
      </c>
      <c r="Z176">
        <v>0.040909642</v>
      </c>
      <c r="AA176" t="s">
        <v>107</v>
      </c>
      <c r="AB176" t="s">
        <v>34</v>
      </c>
      <c r="AC176" t="s">
        <v>35</v>
      </c>
      <c r="AD176" t="s">
        <v>36</v>
      </c>
      <c r="AE176" t="s">
        <v>37</v>
      </c>
      <c r="AF176" t="str">
        <f t="shared" si="6"/>
        <v>non-charge-altering-6kiu</v>
      </c>
      <c r="AG176" t="s">
        <v>92</v>
      </c>
      <c r="AH176" t="s">
        <v>38</v>
      </c>
      <c r="AI176" t="str">
        <f t="shared" si="7"/>
        <v>A-G44V</v>
      </c>
    </row>
    <row r="177" spans="1:35">
      <c r="A177" t="s">
        <v>511</v>
      </c>
      <c r="B177" t="s">
        <v>360</v>
      </c>
      <c r="C177" t="s">
        <v>231</v>
      </c>
      <c r="D177" t="s">
        <v>32</v>
      </c>
      <c r="E177" t="s">
        <v>232</v>
      </c>
      <c r="F177" t="s">
        <v>91</v>
      </c>
      <c r="G177" t="s">
        <v>38</v>
      </c>
      <c r="H177">
        <v>45</v>
      </c>
      <c r="I177">
        <v>135</v>
      </c>
      <c r="J177">
        <v>45</v>
      </c>
      <c r="K177">
        <v>44</v>
      </c>
      <c r="L177" t="s">
        <v>19</v>
      </c>
      <c r="M177" t="s">
        <v>360</v>
      </c>
      <c r="N177" t="s">
        <v>101</v>
      </c>
      <c r="O177" t="s">
        <v>93</v>
      </c>
      <c r="P177" t="s">
        <v>94</v>
      </c>
      <c r="Q177" t="s">
        <v>19</v>
      </c>
      <c r="R177" t="s">
        <v>95</v>
      </c>
      <c r="S177">
        <v>45</v>
      </c>
      <c r="T177" t="s">
        <v>19</v>
      </c>
      <c r="U177" t="s">
        <v>61</v>
      </c>
      <c r="V177" t="s">
        <v>509</v>
      </c>
      <c r="W177" t="s">
        <v>510</v>
      </c>
      <c r="X177" t="s">
        <v>510</v>
      </c>
      <c r="Y177">
        <v>0.729</v>
      </c>
      <c r="Z177">
        <v>0.040909642</v>
      </c>
      <c r="AA177" t="s">
        <v>107</v>
      </c>
      <c r="AB177" t="s">
        <v>34</v>
      </c>
      <c r="AC177" t="s">
        <v>35</v>
      </c>
      <c r="AD177" t="s">
        <v>36</v>
      </c>
      <c r="AE177" t="s">
        <v>37</v>
      </c>
      <c r="AF177" t="str">
        <f t="shared" si="6"/>
        <v>non-charge-altering-6kiw</v>
      </c>
      <c r="AG177" t="s">
        <v>101</v>
      </c>
      <c r="AH177" t="s">
        <v>38</v>
      </c>
      <c r="AI177" t="str">
        <f t="shared" si="7"/>
        <v>A-G44V</v>
      </c>
    </row>
    <row r="178" spans="1:35">
      <c r="A178" t="s">
        <v>512</v>
      </c>
      <c r="B178" t="s">
        <v>513</v>
      </c>
      <c r="C178" t="s">
        <v>231</v>
      </c>
      <c r="D178" t="s">
        <v>32</v>
      </c>
      <c r="E178" t="s">
        <v>232</v>
      </c>
      <c r="F178" t="s">
        <v>91</v>
      </c>
      <c r="G178" t="s">
        <v>38</v>
      </c>
      <c r="H178">
        <v>47</v>
      </c>
      <c r="I178">
        <v>137</v>
      </c>
      <c r="J178">
        <v>47</v>
      </c>
      <c r="K178">
        <v>46</v>
      </c>
      <c r="L178" t="s">
        <v>61</v>
      </c>
      <c r="M178" t="s">
        <v>513</v>
      </c>
      <c r="N178" t="s">
        <v>92</v>
      </c>
      <c r="O178" t="s">
        <v>93</v>
      </c>
      <c r="P178" t="s">
        <v>94</v>
      </c>
      <c r="Q178" t="s">
        <v>61</v>
      </c>
      <c r="R178" t="s">
        <v>95</v>
      </c>
      <c r="S178">
        <v>47</v>
      </c>
      <c r="T178" t="s">
        <v>61</v>
      </c>
      <c r="U178" t="s">
        <v>63</v>
      </c>
      <c r="V178" t="s">
        <v>514</v>
      </c>
      <c r="W178" t="s">
        <v>515</v>
      </c>
      <c r="X178" t="s">
        <v>515</v>
      </c>
      <c r="Y178">
        <v>-0.094</v>
      </c>
      <c r="Z178">
        <v>0.078139651</v>
      </c>
      <c r="AA178" t="s">
        <v>107</v>
      </c>
      <c r="AB178" t="s">
        <v>34</v>
      </c>
      <c r="AC178" t="s">
        <v>35</v>
      </c>
      <c r="AD178" t="s">
        <v>36</v>
      </c>
      <c r="AE178" t="s">
        <v>37</v>
      </c>
      <c r="AF178" t="str">
        <f t="shared" si="6"/>
        <v>non-charge-altering-6kiu</v>
      </c>
      <c r="AG178" t="s">
        <v>92</v>
      </c>
      <c r="AH178" t="s">
        <v>38</v>
      </c>
      <c r="AI178" t="str">
        <f t="shared" si="7"/>
        <v>A-V46M</v>
      </c>
    </row>
    <row r="179" spans="1:35">
      <c r="A179" t="s">
        <v>516</v>
      </c>
      <c r="B179" t="s">
        <v>517</v>
      </c>
      <c r="C179" t="s">
        <v>231</v>
      </c>
      <c r="D179" t="s">
        <v>32</v>
      </c>
      <c r="E179" t="s">
        <v>232</v>
      </c>
      <c r="F179" t="s">
        <v>91</v>
      </c>
      <c r="G179" t="s">
        <v>38</v>
      </c>
      <c r="H179">
        <v>47</v>
      </c>
      <c r="I179">
        <v>137</v>
      </c>
      <c r="J179">
        <v>47</v>
      </c>
      <c r="K179">
        <v>46</v>
      </c>
      <c r="L179" t="s">
        <v>61</v>
      </c>
      <c r="M179" t="s">
        <v>517</v>
      </c>
      <c r="N179" t="s">
        <v>101</v>
      </c>
      <c r="O179" t="s">
        <v>93</v>
      </c>
      <c r="P179" t="s">
        <v>94</v>
      </c>
      <c r="Q179" t="s">
        <v>61</v>
      </c>
      <c r="R179" t="s">
        <v>95</v>
      </c>
      <c r="S179">
        <v>47</v>
      </c>
      <c r="T179" t="s">
        <v>61</v>
      </c>
      <c r="U179" t="s">
        <v>63</v>
      </c>
      <c r="V179" t="s">
        <v>514</v>
      </c>
      <c r="W179" t="s">
        <v>515</v>
      </c>
      <c r="X179" t="s">
        <v>515</v>
      </c>
      <c r="Y179">
        <v>-0.197</v>
      </c>
      <c r="Z179">
        <v>0.078139651</v>
      </c>
      <c r="AA179" t="s">
        <v>107</v>
      </c>
      <c r="AB179" t="s">
        <v>34</v>
      </c>
      <c r="AC179" t="s">
        <v>35</v>
      </c>
      <c r="AD179" t="s">
        <v>36</v>
      </c>
      <c r="AE179" t="s">
        <v>37</v>
      </c>
      <c r="AF179" t="str">
        <f t="shared" si="6"/>
        <v>non-charge-altering-6kiw</v>
      </c>
      <c r="AG179" t="s">
        <v>101</v>
      </c>
      <c r="AH179" t="s">
        <v>38</v>
      </c>
      <c r="AI179" t="str">
        <f t="shared" si="7"/>
        <v>A-V46M</v>
      </c>
    </row>
    <row r="180" spans="1:35">
      <c r="A180" t="s">
        <v>518</v>
      </c>
      <c r="B180" t="s">
        <v>362</v>
      </c>
      <c r="C180" t="s">
        <v>231</v>
      </c>
      <c r="D180" t="s">
        <v>32</v>
      </c>
      <c r="E180" t="s">
        <v>232</v>
      </c>
      <c r="F180" t="s">
        <v>91</v>
      </c>
      <c r="G180" t="s">
        <v>38</v>
      </c>
      <c r="H180">
        <v>48</v>
      </c>
      <c r="I180">
        <v>138</v>
      </c>
      <c r="J180">
        <v>48</v>
      </c>
      <c r="K180">
        <v>47</v>
      </c>
      <c r="L180" t="s">
        <v>32</v>
      </c>
      <c r="M180" t="s">
        <v>362</v>
      </c>
      <c r="N180" t="s">
        <v>92</v>
      </c>
      <c r="O180" t="s">
        <v>93</v>
      </c>
      <c r="P180" t="s">
        <v>94</v>
      </c>
      <c r="Q180" t="s">
        <v>32</v>
      </c>
      <c r="R180" t="s">
        <v>95</v>
      </c>
      <c r="S180">
        <v>48</v>
      </c>
      <c r="T180" t="s">
        <v>32</v>
      </c>
      <c r="U180" t="s">
        <v>46</v>
      </c>
      <c r="V180" t="s">
        <v>519</v>
      </c>
      <c r="W180" t="s">
        <v>520</v>
      </c>
      <c r="X180" t="s">
        <v>520</v>
      </c>
      <c r="Y180">
        <v>0.681</v>
      </c>
      <c r="Z180">
        <v>0.001144938</v>
      </c>
      <c r="AA180" t="s">
        <v>107</v>
      </c>
      <c r="AB180" t="s">
        <v>34</v>
      </c>
      <c r="AC180" t="s">
        <v>35</v>
      </c>
      <c r="AD180" t="s">
        <v>36</v>
      </c>
      <c r="AE180" t="s">
        <v>37</v>
      </c>
      <c r="AF180" t="str">
        <f t="shared" si="6"/>
        <v>non-charge-altering-6kiu</v>
      </c>
      <c r="AG180" t="s">
        <v>92</v>
      </c>
      <c r="AH180" t="s">
        <v>38</v>
      </c>
      <c r="AI180" t="str">
        <f t="shared" si="7"/>
        <v>A-A47S</v>
      </c>
    </row>
    <row r="181" spans="1:35">
      <c r="A181" t="s">
        <v>521</v>
      </c>
      <c r="B181" t="s">
        <v>362</v>
      </c>
      <c r="C181" t="s">
        <v>231</v>
      </c>
      <c r="D181" t="s">
        <v>32</v>
      </c>
      <c r="E181" t="s">
        <v>232</v>
      </c>
      <c r="F181" t="s">
        <v>91</v>
      </c>
      <c r="G181" t="s">
        <v>38</v>
      </c>
      <c r="H181">
        <v>48</v>
      </c>
      <c r="I181">
        <v>138</v>
      </c>
      <c r="J181">
        <v>48</v>
      </c>
      <c r="K181">
        <v>47</v>
      </c>
      <c r="L181" t="s">
        <v>32</v>
      </c>
      <c r="M181" t="s">
        <v>362</v>
      </c>
      <c r="N181" t="s">
        <v>92</v>
      </c>
      <c r="O181" t="s">
        <v>93</v>
      </c>
      <c r="P181" t="s">
        <v>94</v>
      </c>
      <c r="Q181" t="s">
        <v>32</v>
      </c>
      <c r="R181" t="s">
        <v>95</v>
      </c>
      <c r="S181">
        <v>48</v>
      </c>
      <c r="T181" t="s">
        <v>32</v>
      </c>
      <c r="U181" t="s">
        <v>47</v>
      </c>
      <c r="V181" t="s">
        <v>522</v>
      </c>
      <c r="W181" t="s">
        <v>523</v>
      </c>
      <c r="X181" t="s">
        <v>523</v>
      </c>
      <c r="Y181">
        <v>0.681</v>
      </c>
      <c r="Z181">
        <v>0.001144938</v>
      </c>
      <c r="AA181" t="s">
        <v>107</v>
      </c>
      <c r="AB181" t="s">
        <v>34</v>
      </c>
      <c r="AC181" t="s">
        <v>35</v>
      </c>
      <c r="AD181" t="s">
        <v>36</v>
      </c>
      <c r="AE181" t="s">
        <v>37</v>
      </c>
      <c r="AF181" t="str">
        <f t="shared" si="6"/>
        <v>non-charge-altering-6kiu</v>
      </c>
      <c r="AG181" t="s">
        <v>92</v>
      </c>
      <c r="AH181" t="s">
        <v>38</v>
      </c>
      <c r="AI181" t="str">
        <f t="shared" si="7"/>
        <v>A-A47T</v>
      </c>
    </row>
    <row r="182" spans="1:35">
      <c r="A182" t="s">
        <v>524</v>
      </c>
      <c r="B182" t="s">
        <v>366</v>
      </c>
      <c r="C182" t="s">
        <v>231</v>
      </c>
      <c r="D182" t="s">
        <v>32</v>
      </c>
      <c r="E182" t="s">
        <v>232</v>
      </c>
      <c r="F182" t="s">
        <v>91</v>
      </c>
      <c r="G182" t="s">
        <v>38</v>
      </c>
      <c r="H182">
        <v>48</v>
      </c>
      <c r="I182">
        <v>138</v>
      </c>
      <c r="J182">
        <v>48</v>
      </c>
      <c r="K182">
        <v>47</v>
      </c>
      <c r="L182" t="s">
        <v>32</v>
      </c>
      <c r="M182" t="s">
        <v>366</v>
      </c>
      <c r="N182" t="s">
        <v>101</v>
      </c>
      <c r="O182" t="s">
        <v>93</v>
      </c>
      <c r="P182" t="s">
        <v>94</v>
      </c>
      <c r="Q182" t="s">
        <v>32</v>
      </c>
      <c r="R182" t="s">
        <v>95</v>
      </c>
      <c r="S182">
        <v>48</v>
      </c>
      <c r="T182" t="s">
        <v>32</v>
      </c>
      <c r="U182" t="s">
        <v>46</v>
      </c>
      <c r="V182" t="s">
        <v>519</v>
      </c>
      <c r="W182" t="s">
        <v>520</v>
      </c>
      <c r="X182" t="s">
        <v>520</v>
      </c>
      <c r="Y182">
        <v>0.605</v>
      </c>
      <c r="Z182">
        <v>0.001144938</v>
      </c>
      <c r="AA182" t="s">
        <v>107</v>
      </c>
      <c r="AB182" t="s">
        <v>34</v>
      </c>
      <c r="AC182" t="s">
        <v>35</v>
      </c>
      <c r="AD182" t="s">
        <v>36</v>
      </c>
      <c r="AE182" t="s">
        <v>37</v>
      </c>
      <c r="AF182" t="str">
        <f t="shared" si="6"/>
        <v>non-charge-altering-6kiw</v>
      </c>
      <c r="AG182" t="s">
        <v>101</v>
      </c>
      <c r="AH182" t="s">
        <v>38</v>
      </c>
      <c r="AI182" t="str">
        <f t="shared" si="7"/>
        <v>A-A47S</v>
      </c>
    </row>
    <row r="183" spans="1:35">
      <c r="A183" t="s">
        <v>525</v>
      </c>
      <c r="B183" t="s">
        <v>366</v>
      </c>
      <c r="C183" t="s">
        <v>231</v>
      </c>
      <c r="D183" t="s">
        <v>32</v>
      </c>
      <c r="E183" t="s">
        <v>232</v>
      </c>
      <c r="F183" t="s">
        <v>91</v>
      </c>
      <c r="G183" t="s">
        <v>38</v>
      </c>
      <c r="H183">
        <v>48</v>
      </c>
      <c r="I183">
        <v>138</v>
      </c>
      <c r="J183">
        <v>48</v>
      </c>
      <c r="K183">
        <v>47</v>
      </c>
      <c r="L183" t="s">
        <v>32</v>
      </c>
      <c r="M183" t="s">
        <v>366</v>
      </c>
      <c r="N183" t="s">
        <v>101</v>
      </c>
      <c r="O183" t="s">
        <v>93</v>
      </c>
      <c r="P183" t="s">
        <v>94</v>
      </c>
      <c r="Q183" t="s">
        <v>32</v>
      </c>
      <c r="R183" t="s">
        <v>95</v>
      </c>
      <c r="S183">
        <v>48</v>
      </c>
      <c r="T183" t="s">
        <v>32</v>
      </c>
      <c r="U183" t="s">
        <v>47</v>
      </c>
      <c r="V183" t="s">
        <v>522</v>
      </c>
      <c r="W183" t="s">
        <v>523</v>
      </c>
      <c r="X183" t="s">
        <v>523</v>
      </c>
      <c r="Y183">
        <v>0.605</v>
      </c>
      <c r="Z183">
        <v>0.001144938</v>
      </c>
      <c r="AA183" t="s">
        <v>107</v>
      </c>
      <c r="AB183" t="s">
        <v>34</v>
      </c>
      <c r="AC183" t="s">
        <v>35</v>
      </c>
      <c r="AD183" t="s">
        <v>36</v>
      </c>
      <c r="AE183" t="s">
        <v>37</v>
      </c>
      <c r="AF183" t="str">
        <f t="shared" si="6"/>
        <v>non-charge-altering-6kiw</v>
      </c>
      <c r="AG183" t="s">
        <v>101</v>
      </c>
      <c r="AH183" t="s">
        <v>38</v>
      </c>
      <c r="AI183" t="str">
        <f t="shared" si="7"/>
        <v>A-A47T</v>
      </c>
    </row>
    <row r="184" spans="1:35">
      <c r="A184" t="s">
        <v>526</v>
      </c>
      <c r="B184" t="s">
        <v>527</v>
      </c>
      <c r="C184" t="s">
        <v>231</v>
      </c>
      <c r="D184" t="s">
        <v>32</v>
      </c>
      <c r="E184" t="s">
        <v>232</v>
      </c>
      <c r="F184" t="s">
        <v>91</v>
      </c>
      <c r="G184" t="s">
        <v>38</v>
      </c>
      <c r="H184">
        <v>50</v>
      </c>
      <c r="I184">
        <v>140</v>
      </c>
      <c r="J184">
        <v>50</v>
      </c>
      <c r="K184">
        <v>49</v>
      </c>
      <c r="L184" t="s">
        <v>43</v>
      </c>
      <c r="M184" t="s">
        <v>527</v>
      </c>
      <c r="N184" t="s">
        <v>92</v>
      </c>
      <c r="O184" t="s">
        <v>93</v>
      </c>
      <c r="P184" t="s">
        <v>94</v>
      </c>
      <c r="Q184" t="s">
        <v>43</v>
      </c>
      <c r="R184" t="s">
        <v>95</v>
      </c>
      <c r="S184">
        <v>50</v>
      </c>
      <c r="T184" t="s">
        <v>43</v>
      </c>
      <c r="U184" t="s">
        <v>56</v>
      </c>
      <c r="V184" t="s">
        <v>528</v>
      </c>
      <c r="W184" t="s">
        <v>529</v>
      </c>
      <c r="X184" t="s">
        <v>529</v>
      </c>
      <c r="Y184">
        <v>2.421</v>
      </c>
      <c r="Z184">
        <v>0.097801167</v>
      </c>
      <c r="AA184" t="s">
        <v>107</v>
      </c>
      <c r="AB184" t="s">
        <v>44</v>
      </c>
      <c r="AC184" t="s">
        <v>35</v>
      </c>
      <c r="AD184" t="s">
        <v>36</v>
      </c>
      <c r="AE184" t="s">
        <v>37</v>
      </c>
      <c r="AF184" t="str">
        <f t="shared" si="6"/>
        <v>non-charge-altering-6kiu</v>
      </c>
      <c r="AG184" t="s">
        <v>92</v>
      </c>
      <c r="AH184" t="s">
        <v>38</v>
      </c>
      <c r="AI184" t="str">
        <f t="shared" si="7"/>
        <v>A-R49H</v>
      </c>
    </row>
    <row r="185" spans="1:35">
      <c r="A185" t="s">
        <v>530</v>
      </c>
      <c r="B185" t="s">
        <v>531</v>
      </c>
      <c r="C185" t="s">
        <v>231</v>
      </c>
      <c r="D185" t="s">
        <v>32</v>
      </c>
      <c r="E185" t="s">
        <v>232</v>
      </c>
      <c r="F185" t="s">
        <v>91</v>
      </c>
      <c r="G185" t="s">
        <v>38</v>
      </c>
      <c r="H185">
        <v>50</v>
      </c>
      <c r="I185">
        <v>140</v>
      </c>
      <c r="J185">
        <v>50</v>
      </c>
      <c r="K185">
        <v>49</v>
      </c>
      <c r="L185" t="s">
        <v>43</v>
      </c>
      <c r="M185" t="s">
        <v>531</v>
      </c>
      <c r="N185" t="s">
        <v>101</v>
      </c>
      <c r="O185" t="s">
        <v>93</v>
      </c>
      <c r="P185" t="s">
        <v>94</v>
      </c>
      <c r="Q185" t="s">
        <v>43</v>
      </c>
      <c r="R185" t="s">
        <v>95</v>
      </c>
      <c r="S185">
        <v>50</v>
      </c>
      <c r="T185" t="s">
        <v>43</v>
      </c>
      <c r="U185" t="s">
        <v>56</v>
      </c>
      <c r="V185" t="s">
        <v>528</v>
      </c>
      <c r="W185" t="s">
        <v>529</v>
      </c>
      <c r="X185" t="s">
        <v>529</v>
      </c>
      <c r="Y185">
        <v>2.183</v>
      </c>
      <c r="Z185">
        <v>0.097801167</v>
      </c>
      <c r="AA185" t="s">
        <v>107</v>
      </c>
      <c r="AB185" t="s">
        <v>44</v>
      </c>
      <c r="AC185" t="s">
        <v>35</v>
      </c>
      <c r="AD185" t="s">
        <v>36</v>
      </c>
      <c r="AE185" t="s">
        <v>37</v>
      </c>
      <c r="AF185" t="str">
        <f t="shared" si="6"/>
        <v>non-charge-altering-6kiw</v>
      </c>
      <c r="AG185" t="s">
        <v>101</v>
      </c>
      <c r="AH185" t="s">
        <v>38</v>
      </c>
      <c r="AI185" t="str">
        <f t="shared" si="7"/>
        <v>A-R49H</v>
      </c>
    </row>
    <row r="186" spans="1:35">
      <c r="A186" t="s">
        <v>532</v>
      </c>
      <c r="B186" t="s">
        <v>533</v>
      </c>
      <c r="C186" t="s">
        <v>231</v>
      </c>
      <c r="D186" t="s">
        <v>32</v>
      </c>
      <c r="E186" t="s">
        <v>232</v>
      </c>
      <c r="F186" t="s">
        <v>91</v>
      </c>
      <c r="G186" t="s">
        <v>38</v>
      </c>
      <c r="H186">
        <v>64</v>
      </c>
      <c r="I186">
        <v>154</v>
      </c>
      <c r="J186">
        <v>64</v>
      </c>
      <c r="K186">
        <v>63</v>
      </c>
      <c r="L186" t="s">
        <v>43</v>
      </c>
      <c r="M186" t="s">
        <v>533</v>
      </c>
      <c r="N186" t="s">
        <v>101</v>
      </c>
      <c r="O186" t="s">
        <v>93</v>
      </c>
      <c r="P186" t="s">
        <v>94</v>
      </c>
      <c r="Q186" t="s">
        <v>43</v>
      </c>
      <c r="R186" t="s">
        <v>95</v>
      </c>
      <c r="S186">
        <v>64</v>
      </c>
      <c r="T186" t="s">
        <v>43</v>
      </c>
      <c r="U186" t="s">
        <v>56</v>
      </c>
      <c r="V186" t="s">
        <v>534</v>
      </c>
      <c r="W186" t="s">
        <v>535</v>
      </c>
      <c r="X186" t="s">
        <v>535</v>
      </c>
      <c r="Y186">
        <v>0.463</v>
      </c>
      <c r="Z186">
        <v>0.088170444</v>
      </c>
      <c r="AA186" t="s">
        <v>107</v>
      </c>
      <c r="AB186" t="s">
        <v>44</v>
      </c>
      <c r="AC186" t="s">
        <v>35</v>
      </c>
      <c r="AD186" t="s">
        <v>36</v>
      </c>
      <c r="AE186" t="s">
        <v>37</v>
      </c>
      <c r="AF186" t="str">
        <f t="shared" si="6"/>
        <v>non-charge-altering-6kiw</v>
      </c>
      <c r="AG186" t="s">
        <v>101</v>
      </c>
      <c r="AH186" t="s">
        <v>38</v>
      </c>
      <c r="AI186" t="str">
        <f t="shared" si="7"/>
        <v>A-R63H</v>
      </c>
    </row>
    <row r="187" spans="1:35">
      <c r="A187" t="s">
        <v>536</v>
      </c>
      <c r="B187" t="s">
        <v>537</v>
      </c>
      <c r="C187" t="s">
        <v>231</v>
      </c>
      <c r="D187" t="s">
        <v>32</v>
      </c>
      <c r="E187" t="s">
        <v>232</v>
      </c>
      <c r="F187" t="s">
        <v>91</v>
      </c>
      <c r="G187" t="s">
        <v>38</v>
      </c>
      <c r="H187">
        <v>64</v>
      </c>
      <c r="I187">
        <v>154</v>
      </c>
      <c r="J187">
        <v>64</v>
      </c>
      <c r="K187">
        <v>63</v>
      </c>
      <c r="L187" t="s">
        <v>43</v>
      </c>
      <c r="M187" t="s">
        <v>537</v>
      </c>
      <c r="N187" t="s">
        <v>92</v>
      </c>
      <c r="O187" t="s">
        <v>93</v>
      </c>
      <c r="P187" t="s">
        <v>94</v>
      </c>
      <c r="Q187" t="s">
        <v>43</v>
      </c>
      <c r="R187" t="s">
        <v>95</v>
      </c>
      <c r="S187">
        <v>64</v>
      </c>
      <c r="T187" t="s">
        <v>43</v>
      </c>
      <c r="U187" t="s">
        <v>56</v>
      </c>
      <c r="V187" t="s">
        <v>534</v>
      </c>
      <c r="W187" t="s">
        <v>535</v>
      </c>
      <c r="X187" t="s">
        <v>535</v>
      </c>
      <c r="Y187">
        <v>0.496</v>
      </c>
      <c r="Z187">
        <v>0.088170444</v>
      </c>
      <c r="AA187" t="s">
        <v>107</v>
      </c>
      <c r="AB187" t="s">
        <v>44</v>
      </c>
      <c r="AC187" t="s">
        <v>35</v>
      </c>
      <c r="AD187" t="s">
        <v>36</v>
      </c>
      <c r="AE187" t="s">
        <v>37</v>
      </c>
      <c r="AF187" t="str">
        <f t="shared" si="6"/>
        <v>non-charge-altering-6kiu</v>
      </c>
      <c r="AG187" t="s">
        <v>92</v>
      </c>
      <c r="AH187" t="s">
        <v>38</v>
      </c>
      <c r="AI187" t="str">
        <f t="shared" ref="AI187:AI227" si="8">D187&amp;"-"&amp;X187</f>
        <v>A-R63H</v>
      </c>
    </row>
    <row r="188" spans="1:35">
      <c r="A188" t="s">
        <v>538</v>
      </c>
      <c r="B188" t="s">
        <v>539</v>
      </c>
      <c r="C188" t="s">
        <v>231</v>
      </c>
      <c r="D188" t="s">
        <v>32</v>
      </c>
      <c r="E188" t="s">
        <v>232</v>
      </c>
      <c r="F188" t="s">
        <v>91</v>
      </c>
      <c r="G188" t="s">
        <v>38</v>
      </c>
      <c r="H188">
        <v>67</v>
      </c>
      <c r="I188">
        <v>157</v>
      </c>
      <c r="J188">
        <v>67</v>
      </c>
      <c r="K188">
        <v>66</v>
      </c>
      <c r="L188" t="s">
        <v>58</v>
      </c>
      <c r="M188" t="s">
        <v>539</v>
      </c>
      <c r="N188" t="s">
        <v>92</v>
      </c>
      <c r="O188" t="s">
        <v>93</v>
      </c>
      <c r="P188" t="s">
        <v>94</v>
      </c>
      <c r="Q188" t="s">
        <v>58</v>
      </c>
      <c r="R188" t="s">
        <v>95</v>
      </c>
      <c r="S188">
        <v>67</v>
      </c>
      <c r="T188" t="s">
        <v>58</v>
      </c>
      <c r="U188" t="s">
        <v>46</v>
      </c>
      <c r="V188" t="s">
        <v>540</v>
      </c>
      <c r="W188" t="s">
        <v>541</v>
      </c>
      <c r="X188" t="s">
        <v>541</v>
      </c>
      <c r="Y188">
        <v>1.537</v>
      </c>
      <c r="Z188">
        <v>0.004073705</v>
      </c>
      <c r="AA188" t="s">
        <v>107</v>
      </c>
      <c r="AB188" t="s">
        <v>34</v>
      </c>
      <c r="AC188" t="s">
        <v>35</v>
      </c>
      <c r="AD188" t="s">
        <v>36</v>
      </c>
      <c r="AE188" t="s">
        <v>37</v>
      </c>
      <c r="AF188" t="str">
        <f t="shared" si="6"/>
        <v>non-charge-altering-6kiu</v>
      </c>
      <c r="AG188" t="s">
        <v>92</v>
      </c>
      <c r="AH188" t="s">
        <v>38</v>
      </c>
      <c r="AI188" t="str">
        <f t="shared" si="8"/>
        <v>A-P66S</v>
      </c>
    </row>
    <row r="189" spans="1:35">
      <c r="A189" t="s">
        <v>542</v>
      </c>
      <c r="B189" t="s">
        <v>543</v>
      </c>
      <c r="C189" t="s">
        <v>231</v>
      </c>
      <c r="D189" t="s">
        <v>32</v>
      </c>
      <c r="E189" t="s">
        <v>232</v>
      </c>
      <c r="F189" t="s">
        <v>91</v>
      </c>
      <c r="G189" t="s">
        <v>38</v>
      </c>
      <c r="H189">
        <v>67</v>
      </c>
      <c r="I189">
        <v>157</v>
      </c>
      <c r="J189">
        <v>67</v>
      </c>
      <c r="K189">
        <v>66</v>
      </c>
      <c r="L189" t="s">
        <v>58</v>
      </c>
      <c r="M189" t="s">
        <v>543</v>
      </c>
      <c r="N189" t="s">
        <v>101</v>
      </c>
      <c r="O189" t="s">
        <v>93</v>
      </c>
      <c r="P189" t="s">
        <v>94</v>
      </c>
      <c r="Q189" t="s">
        <v>58</v>
      </c>
      <c r="R189" t="s">
        <v>95</v>
      </c>
      <c r="S189">
        <v>67</v>
      </c>
      <c r="T189" t="s">
        <v>58</v>
      </c>
      <c r="U189" t="s">
        <v>46</v>
      </c>
      <c r="V189" t="s">
        <v>540</v>
      </c>
      <c r="W189" t="s">
        <v>541</v>
      </c>
      <c r="X189" t="s">
        <v>541</v>
      </c>
      <c r="Y189">
        <v>1.404</v>
      </c>
      <c r="Z189">
        <v>0.004073705</v>
      </c>
      <c r="AA189" t="s">
        <v>107</v>
      </c>
      <c r="AB189" t="s">
        <v>34</v>
      </c>
      <c r="AC189" t="s">
        <v>35</v>
      </c>
      <c r="AD189" t="s">
        <v>36</v>
      </c>
      <c r="AE189" t="s">
        <v>37</v>
      </c>
      <c r="AF189" t="str">
        <f t="shared" si="6"/>
        <v>non-charge-altering-6kiw</v>
      </c>
      <c r="AG189" t="s">
        <v>101</v>
      </c>
      <c r="AH189" t="s">
        <v>38</v>
      </c>
      <c r="AI189" t="str">
        <f t="shared" si="8"/>
        <v>A-P66S</v>
      </c>
    </row>
    <row r="190" spans="1:35">
      <c r="A190" t="s">
        <v>544</v>
      </c>
      <c r="B190" t="s">
        <v>545</v>
      </c>
      <c r="C190" t="s">
        <v>231</v>
      </c>
      <c r="D190" t="s">
        <v>32</v>
      </c>
      <c r="E190" t="s">
        <v>232</v>
      </c>
      <c r="F190" t="s">
        <v>91</v>
      </c>
      <c r="G190" t="s">
        <v>38</v>
      </c>
      <c r="H190">
        <v>69</v>
      </c>
      <c r="I190">
        <v>159</v>
      </c>
      <c r="J190">
        <v>69</v>
      </c>
      <c r="K190">
        <v>68</v>
      </c>
      <c r="L190" t="s">
        <v>30</v>
      </c>
      <c r="M190" t="s">
        <v>545</v>
      </c>
      <c r="N190" t="s">
        <v>101</v>
      </c>
      <c r="O190" t="s">
        <v>93</v>
      </c>
      <c r="P190" t="s">
        <v>94</v>
      </c>
      <c r="Q190" t="s">
        <v>30</v>
      </c>
      <c r="R190" t="s">
        <v>95</v>
      </c>
      <c r="S190">
        <v>69</v>
      </c>
      <c r="T190" t="s">
        <v>30</v>
      </c>
      <c r="U190" t="s">
        <v>39</v>
      </c>
      <c r="V190" t="s">
        <v>546</v>
      </c>
      <c r="W190" t="s">
        <v>547</v>
      </c>
      <c r="X190" t="s">
        <v>547</v>
      </c>
      <c r="Y190">
        <v>0.134</v>
      </c>
      <c r="Z190">
        <v>0.192454226</v>
      </c>
      <c r="AA190" t="s">
        <v>107</v>
      </c>
      <c r="AB190" t="s">
        <v>34</v>
      </c>
      <c r="AC190" t="s">
        <v>35</v>
      </c>
      <c r="AD190" t="s">
        <v>36</v>
      </c>
      <c r="AE190" t="s">
        <v>37</v>
      </c>
      <c r="AF190" t="str">
        <f t="shared" si="6"/>
        <v>non-charge-altering-6kiw</v>
      </c>
      <c r="AG190" t="s">
        <v>101</v>
      </c>
      <c r="AH190" t="s">
        <v>38</v>
      </c>
      <c r="AI190" t="str">
        <f t="shared" si="8"/>
        <v>A-Q68L</v>
      </c>
    </row>
    <row r="191" spans="1:35">
      <c r="A191" t="s">
        <v>548</v>
      </c>
      <c r="B191" t="s">
        <v>549</v>
      </c>
      <c r="C191" t="s">
        <v>231</v>
      </c>
      <c r="D191" t="s">
        <v>32</v>
      </c>
      <c r="E191" t="s">
        <v>232</v>
      </c>
      <c r="F191" t="s">
        <v>91</v>
      </c>
      <c r="G191" t="s">
        <v>38</v>
      </c>
      <c r="H191">
        <v>69</v>
      </c>
      <c r="I191">
        <v>159</v>
      </c>
      <c r="J191">
        <v>69</v>
      </c>
      <c r="K191">
        <v>68</v>
      </c>
      <c r="L191" t="s">
        <v>30</v>
      </c>
      <c r="M191" t="s">
        <v>549</v>
      </c>
      <c r="N191" t="s">
        <v>92</v>
      </c>
      <c r="O191" t="s">
        <v>93</v>
      </c>
      <c r="P191" t="s">
        <v>94</v>
      </c>
      <c r="Q191" t="s">
        <v>30</v>
      </c>
      <c r="R191" t="s">
        <v>95</v>
      </c>
      <c r="S191">
        <v>69</v>
      </c>
      <c r="T191" t="s">
        <v>30</v>
      </c>
      <c r="U191" t="s">
        <v>39</v>
      </c>
      <c r="V191" t="s">
        <v>546</v>
      </c>
      <c r="W191" t="s">
        <v>547</v>
      </c>
      <c r="X191" t="s">
        <v>547</v>
      </c>
      <c r="Y191">
        <v>0.12</v>
      </c>
      <c r="Z191">
        <v>0.192454226</v>
      </c>
      <c r="AA191" t="s">
        <v>107</v>
      </c>
      <c r="AB191" t="s">
        <v>34</v>
      </c>
      <c r="AC191" t="s">
        <v>35</v>
      </c>
      <c r="AD191" t="s">
        <v>36</v>
      </c>
      <c r="AE191" t="s">
        <v>37</v>
      </c>
      <c r="AF191" t="str">
        <f t="shared" si="6"/>
        <v>non-charge-altering-6kiu</v>
      </c>
      <c r="AG191" t="s">
        <v>92</v>
      </c>
      <c r="AH191" t="s">
        <v>38</v>
      </c>
      <c r="AI191" t="str">
        <f t="shared" si="8"/>
        <v>A-Q68L</v>
      </c>
    </row>
    <row r="192" spans="1:35">
      <c r="A192" t="s">
        <v>550</v>
      </c>
      <c r="B192" t="s">
        <v>551</v>
      </c>
      <c r="C192" t="s">
        <v>231</v>
      </c>
      <c r="D192" t="s">
        <v>32</v>
      </c>
      <c r="E192" t="s">
        <v>232</v>
      </c>
      <c r="F192" t="s">
        <v>91</v>
      </c>
      <c r="G192" t="s">
        <v>38</v>
      </c>
      <c r="H192">
        <v>83</v>
      </c>
      <c r="I192">
        <v>176</v>
      </c>
      <c r="J192">
        <v>83</v>
      </c>
      <c r="K192">
        <v>82</v>
      </c>
      <c r="L192" t="s">
        <v>39</v>
      </c>
      <c r="M192" t="s">
        <v>551</v>
      </c>
      <c r="N192" t="s">
        <v>101</v>
      </c>
      <c r="O192" t="s">
        <v>93</v>
      </c>
      <c r="P192" t="s">
        <v>94</v>
      </c>
      <c r="Q192" t="s">
        <v>39</v>
      </c>
      <c r="R192" t="s">
        <v>95</v>
      </c>
      <c r="S192">
        <v>83</v>
      </c>
      <c r="T192" t="s">
        <v>39</v>
      </c>
      <c r="U192" t="s">
        <v>33</v>
      </c>
      <c r="V192" t="s">
        <v>552</v>
      </c>
      <c r="W192" t="s">
        <v>553</v>
      </c>
      <c r="X192" t="s">
        <v>553</v>
      </c>
      <c r="Y192">
        <v>-0.068</v>
      </c>
      <c r="Z192">
        <v>0.10482045</v>
      </c>
      <c r="AA192" t="s">
        <v>107</v>
      </c>
      <c r="AB192" t="s">
        <v>34</v>
      </c>
      <c r="AC192" t="s">
        <v>35</v>
      </c>
      <c r="AD192" t="s">
        <v>36</v>
      </c>
      <c r="AE192" t="s">
        <v>37</v>
      </c>
      <c r="AF192" t="str">
        <f t="shared" si="6"/>
        <v>non-charge-altering-6kiw</v>
      </c>
      <c r="AG192" t="s">
        <v>101</v>
      </c>
      <c r="AH192" t="s">
        <v>38</v>
      </c>
      <c r="AI192" t="str">
        <f t="shared" si="8"/>
        <v>A-L82F</v>
      </c>
    </row>
    <row r="193" spans="1:35">
      <c r="A193" t="s">
        <v>554</v>
      </c>
      <c r="B193" t="s">
        <v>555</v>
      </c>
      <c r="C193" t="s">
        <v>231</v>
      </c>
      <c r="D193" t="s">
        <v>32</v>
      </c>
      <c r="E193" t="s">
        <v>232</v>
      </c>
      <c r="F193" t="s">
        <v>91</v>
      </c>
      <c r="G193" t="s">
        <v>38</v>
      </c>
      <c r="H193">
        <v>83</v>
      </c>
      <c r="I193">
        <v>176</v>
      </c>
      <c r="J193">
        <v>83</v>
      </c>
      <c r="K193">
        <v>82</v>
      </c>
      <c r="L193" t="s">
        <v>39</v>
      </c>
      <c r="M193" t="s">
        <v>555</v>
      </c>
      <c r="N193" t="s">
        <v>92</v>
      </c>
      <c r="O193" t="s">
        <v>93</v>
      </c>
      <c r="P193" t="s">
        <v>94</v>
      </c>
      <c r="Q193" t="s">
        <v>39</v>
      </c>
      <c r="R193" t="s">
        <v>95</v>
      </c>
      <c r="S193">
        <v>83</v>
      </c>
      <c r="T193" t="s">
        <v>39</v>
      </c>
      <c r="U193" t="s">
        <v>33</v>
      </c>
      <c r="V193" t="s">
        <v>552</v>
      </c>
      <c r="W193" t="s">
        <v>553</v>
      </c>
      <c r="X193" t="s">
        <v>553</v>
      </c>
      <c r="Y193">
        <v>-0.08</v>
      </c>
      <c r="Z193">
        <v>0.10482045</v>
      </c>
      <c r="AA193" t="s">
        <v>107</v>
      </c>
      <c r="AB193" t="s">
        <v>34</v>
      </c>
      <c r="AC193" t="s">
        <v>35</v>
      </c>
      <c r="AD193" t="s">
        <v>36</v>
      </c>
      <c r="AE193" t="s">
        <v>37</v>
      </c>
      <c r="AF193" t="str">
        <f t="shared" si="6"/>
        <v>non-charge-altering-6kiu</v>
      </c>
      <c r="AG193" t="s">
        <v>92</v>
      </c>
      <c r="AH193" t="s">
        <v>38</v>
      </c>
      <c r="AI193" t="str">
        <f t="shared" si="8"/>
        <v>A-L82F</v>
      </c>
    </row>
    <row r="194" spans="1:35">
      <c r="A194" t="s">
        <v>556</v>
      </c>
      <c r="B194" t="s">
        <v>557</v>
      </c>
      <c r="C194" t="s">
        <v>231</v>
      </c>
      <c r="D194" t="s">
        <v>32</v>
      </c>
      <c r="E194" t="s">
        <v>232</v>
      </c>
      <c r="F194" t="s">
        <v>91</v>
      </c>
      <c r="G194" t="s">
        <v>38</v>
      </c>
      <c r="H194">
        <v>85</v>
      </c>
      <c r="I194">
        <v>178</v>
      </c>
      <c r="J194">
        <v>85</v>
      </c>
      <c r="K194">
        <v>84</v>
      </c>
      <c r="L194" t="s">
        <v>33</v>
      </c>
      <c r="M194" t="s">
        <v>557</v>
      </c>
      <c r="N194" t="s">
        <v>101</v>
      </c>
      <c r="O194" t="s">
        <v>93</v>
      </c>
      <c r="P194" t="s">
        <v>94</v>
      </c>
      <c r="Q194" t="s">
        <v>33</v>
      </c>
      <c r="R194" t="s">
        <v>95</v>
      </c>
      <c r="S194">
        <v>85</v>
      </c>
      <c r="T194" t="s">
        <v>33</v>
      </c>
      <c r="U194" t="s">
        <v>39</v>
      </c>
      <c r="V194" t="s">
        <v>558</v>
      </c>
      <c r="W194" t="s">
        <v>559</v>
      </c>
      <c r="X194" t="s">
        <v>559</v>
      </c>
      <c r="Y194">
        <v>-0.217</v>
      </c>
      <c r="Z194">
        <v>0.021271206</v>
      </c>
      <c r="AA194" t="s">
        <v>107</v>
      </c>
      <c r="AB194" t="s">
        <v>34</v>
      </c>
      <c r="AC194" t="s">
        <v>35</v>
      </c>
      <c r="AD194" t="s">
        <v>36</v>
      </c>
      <c r="AE194" t="s">
        <v>37</v>
      </c>
      <c r="AF194" t="str">
        <f t="shared" ref="AF194:AF227" si="9">AE194&amp;"-"&amp;N194</f>
        <v>non-charge-altering-6kiw</v>
      </c>
      <c r="AG194" t="s">
        <v>101</v>
      </c>
      <c r="AH194" t="s">
        <v>38</v>
      </c>
      <c r="AI194" t="str">
        <f t="shared" si="8"/>
        <v>A-F84L</v>
      </c>
    </row>
    <row r="195" spans="1:35">
      <c r="A195" t="s">
        <v>560</v>
      </c>
      <c r="B195" t="s">
        <v>561</v>
      </c>
      <c r="C195" t="s">
        <v>231</v>
      </c>
      <c r="D195" t="s">
        <v>32</v>
      </c>
      <c r="E195" t="s">
        <v>232</v>
      </c>
      <c r="F195" t="s">
        <v>91</v>
      </c>
      <c r="G195" t="s">
        <v>38</v>
      </c>
      <c r="H195">
        <v>85</v>
      </c>
      <c r="I195">
        <v>178</v>
      </c>
      <c r="J195">
        <v>85</v>
      </c>
      <c r="K195">
        <v>84</v>
      </c>
      <c r="L195" t="s">
        <v>33</v>
      </c>
      <c r="M195" t="s">
        <v>561</v>
      </c>
      <c r="N195" t="s">
        <v>92</v>
      </c>
      <c r="O195" t="s">
        <v>93</v>
      </c>
      <c r="P195" t="s">
        <v>94</v>
      </c>
      <c r="Q195" t="s">
        <v>33</v>
      </c>
      <c r="R195" t="s">
        <v>95</v>
      </c>
      <c r="S195">
        <v>85</v>
      </c>
      <c r="T195" t="s">
        <v>33</v>
      </c>
      <c r="U195" t="s">
        <v>39</v>
      </c>
      <c r="V195" t="s">
        <v>558</v>
      </c>
      <c r="W195" t="s">
        <v>559</v>
      </c>
      <c r="X195" t="s">
        <v>559</v>
      </c>
      <c r="Y195">
        <v>-0.186</v>
      </c>
      <c r="Z195">
        <v>0.021271206</v>
      </c>
      <c r="AA195" t="s">
        <v>107</v>
      </c>
      <c r="AB195" t="s">
        <v>34</v>
      </c>
      <c r="AC195" t="s">
        <v>35</v>
      </c>
      <c r="AD195" t="s">
        <v>36</v>
      </c>
      <c r="AE195" t="s">
        <v>37</v>
      </c>
      <c r="AF195" t="str">
        <f t="shared" si="9"/>
        <v>non-charge-altering-6kiu</v>
      </c>
      <c r="AG195" t="s">
        <v>92</v>
      </c>
      <c r="AH195" t="s">
        <v>38</v>
      </c>
      <c r="AI195" t="str">
        <f t="shared" si="8"/>
        <v>A-F84L</v>
      </c>
    </row>
    <row r="196" spans="1:35">
      <c r="A196" t="s">
        <v>562</v>
      </c>
      <c r="B196" t="s">
        <v>563</v>
      </c>
      <c r="C196" t="s">
        <v>231</v>
      </c>
      <c r="D196" t="s">
        <v>32</v>
      </c>
      <c r="E196" t="s">
        <v>232</v>
      </c>
      <c r="F196" t="s">
        <v>91</v>
      </c>
      <c r="G196" t="s">
        <v>38</v>
      </c>
      <c r="H196">
        <v>87</v>
      </c>
      <c r="I196">
        <v>180</v>
      </c>
      <c r="J196">
        <v>87</v>
      </c>
      <c r="K196">
        <v>86</v>
      </c>
      <c r="L196" t="s">
        <v>46</v>
      </c>
      <c r="M196" t="s">
        <v>563</v>
      </c>
      <c r="N196" t="s">
        <v>101</v>
      </c>
      <c r="O196" t="s">
        <v>93</v>
      </c>
      <c r="P196" t="s">
        <v>94</v>
      </c>
      <c r="Q196" t="s">
        <v>46</v>
      </c>
      <c r="R196" t="s">
        <v>95</v>
      </c>
      <c r="S196">
        <v>87</v>
      </c>
      <c r="T196" t="s">
        <v>46</v>
      </c>
      <c r="U196" t="s">
        <v>41</v>
      </c>
      <c r="V196" t="s">
        <v>564</v>
      </c>
      <c r="W196" t="s">
        <v>565</v>
      </c>
      <c r="X196" t="s">
        <v>565</v>
      </c>
      <c r="Y196">
        <v>0.337</v>
      </c>
      <c r="Z196">
        <v>0.336820728</v>
      </c>
      <c r="AA196" t="s">
        <v>95</v>
      </c>
      <c r="AB196" t="s">
        <v>34</v>
      </c>
      <c r="AC196" t="s">
        <v>35</v>
      </c>
      <c r="AD196" t="s">
        <v>36</v>
      </c>
      <c r="AE196" t="s">
        <v>37</v>
      </c>
      <c r="AF196" t="str">
        <f t="shared" si="9"/>
        <v>non-charge-altering-6kiw</v>
      </c>
      <c r="AG196" t="s">
        <v>101</v>
      </c>
      <c r="AH196" t="s">
        <v>38</v>
      </c>
      <c r="AI196" t="str">
        <f t="shared" si="8"/>
        <v>A-S86N</v>
      </c>
    </row>
    <row r="197" spans="1:35">
      <c r="A197" t="s">
        <v>566</v>
      </c>
      <c r="B197" t="s">
        <v>563</v>
      </c>
      <c r="C197" t="s">
        <v>231</v>
      </c>
      <c r="D197" t="s">
        <v>32</v>
      </c>
      <c r="E197" t="s">
        <v>232</v>
      </c>
      <c r="F197" t="s">
        <v>91</v>
      </c>
      <c r="G197" t="s">
        <v>38</v>
      </c>
      <c r="H197">
        <v>87</v>
      </c>
      <c r="I197">
        <v>180</v>
      </c>
      <c r="J197">
        <v>87</v>
      </c>
      <c r="K197">
        <v>86</v>
      </c>
      <c r="L197" t="s">
        <v>46</v>
      </c>
      <c r="M197" t="s">
        <v>563</v>
      </c>
      <c r="N197" t="s">
        <v>101</v>
      </c>
      <c r="O197" t="s">
        <v>93</v>
      </c>
      <c r="P197" t="s">
        <v>94</v>
      </c>
      <c r="Q197" t="s">
        <v>46</v>
      </c>
      <c r="R197" t="s">
        <v>95</v>
      </c>
      <c r="S197">
        <v>87</v>
      </c>
      <c r="T197" t="s">
        <v>46</v>
      </c>
      <c r="U197" t="s">
        <v>47</v>
      </c>
      <c r="V197" t="s">
        <v>567</v>
      </c>
      <c r="W197" t="s">
        <v>568</v>
      </c>
      <c r="X197" t="s">
        <v>568</v>
      </c>
      <c r="Y197">
        <v>0.337</v>
      </c>
      <c r="Z197">
        <v>0.336820728</v>
      </c>
      <c r="AA197" t="s">
        <v>95</v>
      </c>
      <c r="AB197" t="s">
        <v>34</v>
      </c>
      <c r="AC197" t="s">
        <v>35</v>
      </c>
      <c r="AD197" t="s">
        <v>36</v>
      </c>
      <c r="AE197" t="s">
        <v>37</v>
      </c>
      <c r="AF197" t="str">
        <f t="shared" si="9"/>
        <v>non-charge-altering-6kiw</v>
      </c>
      <c r="AG197" t="s">
        <v>101</v>
      </c>
      <c r="AH197" t="s">
        <v>38</v>
      </c>
      <c r="AI197" t="str">
        <f t="shared" si="8"/>
        <v>A-S86T</v>
      </c>
    </row>
    <row r="198" spans="1:35">
      <c r="A198" t="s">
        <v>569</v>
      </c>
      <c r="B198" t="s">
        <v>570</v>
      </c>
      <c r="C198" t="s">
        <v>231</v>
      </c>
      <c r="D198" t="s">
        <v>32</v>
      </c>
      <c r="E198" t="s">
        <v>232</v>
      </c>
      <c r="F198" t="s">
        <v>91</v>
      </c>
      <c r="G198" t="s">
        <v>38</v>
      </c>
      <c r="H198">
        <v>87</v>
      </c>
      <c r="I198">
        <v>180</v>
      </c>
      <c r="J198">
        <v>87</v>
      </c>
      <c r="K198">
        <v>86</v>
      </c>
      <c r="L198" t="s">
        <v>46</v>
      </c>
      <c r="M198" t="s">
        <v>570</v>
      </c>
      <c r="N198" t="s">
        <v>92</v>
      </c>
      <c r="O198" t="s">
        <v>93</v>
      </c>
      <c r="P198" t="s">
        <v>94</v>
      </c>
      <c r="Q198" t="s">
        <v>46</v>
      </c>
      <c r="R198" t="s">
        <v>95</v>
      </c>
      <c r="S198">
        <v>87</v>
      </c>
      <c r="T198" t="s">
        <v>46</v>
      </c>
      <c r="U198" t="s">
        <v>41</v>
      </c>
      <c r="V198" t="s">
        <v>564</v>
      </c>
      <c r="W198" t="s">
        <v>565</v>
      </c>
      <c r="X198" t="s">
        <v>565</v>
      </c>
      <c r="Y198">
        <v>0.39</v>
      </c>
      <c r="Z198">
        <v>0.336820728</v>
      </c>
      <c r="AA198" t="s">
        <v>95</v>
      </c>
      <c r="AB198" t="s">
        <v>34</v>
      </c>
      <c r="AC198" t="s">
        <v>35</v>
      </c>
      <c r="AD198" t="s">
        <v>36</v>
      </c>
      <c r="AE198" t="s">
        <v>37</v>
      </c>
      <c r="AF198" t="str">
        <f t="shared" si="9"/>
        <v>non-charge-altering-6kiu</v>
      </c>
      <c r="AG198" t="s">
        <v>92</v>
      </c>
      <c r="AH198" t="s">
        <v>38</v>
      </c>
      <c r="AI198" t="str">
        <f t="shared" si="8"/>
        <v>A-S86N</v>
      </c>
    </row>
    <row r="199" spans="1:35">
      <c r="A199" t="s">
        <v>571</v>
      </c>
      <c r="B199" t="s">
        <v>570</v>
      </c>
      <c r="C199" t="s">
        <v>231</v>
      </c>
      <c r="D199" t="s">
        <v>32</v>
      </c>
      <c r="E199" t="s">
        <v>232</v>
      </c>
      <c r="F199" t="s">
        <v>91</v>
      </c>
      <c r="G199" t="s">
        <v>38</v>
      </c>
      <c r="H199">
        <v>87</v>
      </c>
      <c r="I199">
        <v>180</v>
      </c>
      <c r="J199">
        <v>87</v>
      </c>
      <c r="K199">
        <v>86</v>
      </c>
      <c r="L199" t="s">
        <v>46</v>
      </c>
      <c r="M199" t="s">
        <v>570</v>
      </c>
      <c r="N199" t="s">
        <v>92</v>
      </c>
      <c r="O199" t="s">
        <v>93</v>
      </c>
      <c r="P199" t="s">
        <v>94</v>
      </c>
      <c r="Q199" t="s">
        <v>46</v>
      </c>
      <c r="R199" t="s">
        <v>95</v>
      </c>
      <c r="S199">
        <v>87</v>
      </c>
      <c r="T199" t="s">
        <v>46</v>
      </c>
      <c r="U199" t="s">
        <v>47</v>
      </c>
      <c r="V199" t="s">
        <v>567</v>
      </c>
      <c r="W199" t="s">
        <v>568</v>
      </c>
      <c r="X199" t="s">
        <v>568</v>
      </c>
      <c r="Y199">
        <v>0.39</v>
      </c>
      <c r="Z199">
        <v>0.336820728</v>
      </c>
      <c r="AA199" t="s">
        <v>95</v>
      </c>
      <c r="AB199" t="s">
        <v>34</v>
      </c>
      <c r="AC199" t="s">
        <v>35</v>
      </c>
      <c r="AD199" t="s">
        <v>36</v>
      </c>
      <c r="AE199" t="s">
        <v>37</v>
      </c>
      <c r="AF199" t="str">
        <f t="shared" si="9"/>
        <v>non-charge-altering-6kiu</v>
      </c>
      <c r="AG199" t="s">
        <v>92</v>
      </c>
      <c r="AH199" t="s">
        <v>38</v>
      </c>
      <c r="AI199" t="str">
        <f t="shared" si="8"/>
        <v>A-S86T</v>
      </c>
    </row>
    <row r="200" spans="1:35">
      <c r="A200" t="s">
        <v>572</v>
      </c>
      <c r="B200" t="s">
        <v>573</v>
      </c>
      <c r="C200" t="s">
        <v>231</v>
      </c>
      <c r="D200" t="s">
        <v>29</v>
      </c>
      <c r="E200" t="s">
        <v>232</v>
      </c>
      <c r="F200" t="s">
        <v>91</v>
      </c>
      <c r="G200" t="s">
        <v>38</v>
      </c>
      <c r="H200">
        <v>118</v>
      </c>
      <c r="I200">
        <v>211</v>
      </c>
      <c r="J200">
        <v>118</v>
      </c>
      <c r="K200">
        <v>117</v>
      </c>
      <c r="L200" t="s">
        <v>61</v>
      </c>
      <c r="M200" t="s">
        <v>573</v>
      </c>
      <c r="N200" t="s">
        <v>101</v>
      </c>
      <c r="O200" t="s">
        <v>93</v>
      </c>
      <c r="P200" t="s">
        <v>94</v>
      </c>
      <c r="Q200" t="s">
        <v>61</v>
      </c>
      <c r="R200" t="s">
        <v>95</v>
      </c>
      <c r="S200">
        <v>118</v>
      </c>
      <c r="T200" t="s">
        <v>61</v>
      </c>
      <c r="U200" t="s">
        <v>63</v>
      </c>
      <c r="V200" t="s">
        <v>494</v>
      </c>
      <c r="W200" t="s">
        <v>495</v>
      </c>
      <c r="X200" t="s">
        <v>495</v>
      </c>
      <c r="Y200">
        <v>1.753</v>
      </c>
      <c r="Z200">
        <v>0.115138765</v>
      </c>
      <c r="AA200" t="s">
        <v>107</v>
      </c>
      <c r="AB200" t="s">
        <v>34</v>
      </c>
      <c r="AC200" t="s">
        <v>35</v>
      </c>
      <c r="AD200" t="s">
        <v>36</v>
      </c>
      <c r="AE200" t="s">
        <v>37</v>
      </c>
      <c r="AF200" t="str">
        <f t="shared" si="9"/>
        <v>non-charge-altering-6kiw</v>
      </c>
      <c r="AG200" t="s">
        <v>101</v>
      </c>
      <c r="AH200" t="s">
        <v>38</v>
      </c>
      <c r="AI200" t="str">
        <f t="shared" si="8"/>
        <v>E-V117M</v>
      </c>
    </row>
    <row r="201" spans="1:35">
      <c r="A201" t="s">
        <v>574</v>
      </c>
      <c r="B201" t="s">
        <v>573</v>
      </c>
      <c r="C201" t="s">
        <v>231</v>
      </c>
      <c r="D201" t="s">
        <v>29</v>
      </c>
      <c r="E201" t="s">
        <v>232</v>
      </c>
      <c r="F201" t="s">
        <v>91</v>
      </c>
      <c r="G201" t="s">
        <v>38</v>
      </c>
      <c r="H201">
        <v>118</v>
      </c>
      <c r="I201">
        <v>211</v>
      </c>
      <c r="J201">
        <v>118</v>
      </c>
      <c r="K201">
        <v>117</v>
      </c>
      <c r="L201" t="s">
        <v>61</v>
      </c>
      <c r="M201" t="s">
        <v>573</v>
      </c>
      <c r="N201" t="s">
        <v>101</v>
      </c>
      <c r="O201" t="s">
        <v>93</v>
      </c>
      <c r="P201" t="s">
        <v>94</v>
      </c>
      <c r="Q201" t="s">
        <v>61</v>
      </c>
      <c r="R201" t="s">
        <v>95</v>
      </c>
      <c r="S201">
        <v>118</v>
      </c>
      <c r="T201" t="s">
        <v>61</v>
      </c>
      <c r="U201" t="s">
        <v>19</v>
      </c>
      <c r="V201" t="s">
        <v>497</v>
      </c>
      <c r="W201" t="s">
        <v>498</v>
      </c>
      <c r="X201" t="s">
        <v>498</v>
      </c>
      <c r="Y201">
        <v>1.889</v>
      </c>
      <c r="Z201">
        <v>0.115138765</v>
      </c>
      <c r="AA201" t="s">
        <v>107</v>
      </c>
      <c r="AB201" t="s">
        <v>34</v>
      </c>
      <c r="AC201" t="s">
        <v>35</v>
      </c>
      <c r="AD201" t="s">
        <v>36</v>
      </c>
      <c r="AE201" t="s">
        <v>37</v>
      </c>
      <c r="AF201" t="str">
        <f t="shared" si="9"/>
        <v>non-charge-altering-6kiw</v>
      </c>
      <c r="AG201" t="s">
        <v>101</v>
      </c>
      <c r="AH201" t="s">
        <v>38</v>
      </c>
      <c r="AI201" t="str">
        <f t="shared" si="8"/>
        <v>E-V117G</v>
      </c>
    </row>
    <row r="202" spans="1:35">
      <c r="A202" t="s">
        <v>575</v>
      </c>
      <c r="B202" t="s">
        <v>576</v>
      </c>
      <c r="C202" t="s">
        <v>231</v>
      </c>
      <c r="D202" t="s">
        <v>29</v>
      </c>
      <c r="E202" t="s">
        <v>232</v>
      </c>
      <c r="F202" t="s">
        <v>91</v>
      </c>
      <c r="G202" t="s">
        <v>38</v>
      </c>
      <c r="H202">
        <v>118</v>
      </c>
      <c r="I202">
        <v>211</v>
      </c>
      <c r="J202">
        <v>118</v>
      </c>
      <c r="K202">
        <v>117</v>
      </c>
      <c r="L202" t="s">
        <v>61</v>
      </c>
      <c r="M202" t="s">
        <v>576</v>
      </c>
      <c r="N202" t="s">
        <v>92</v>
      </c>
      <c r="O202" t="s">
        <v>93</v>
      </c>
      <c r="P202" t="s">
        <v>94</v>
      </c>
      <c r="Q202" t="s">
        <v>61</v>
      </c>
      <c r="R202" t="s">
        <v>95</v>
      </c>
      <c r="S202">
        <v>118</v>
      </c>
      <c r="T202" t="s">
        <v>61</v>
      </c>
      <c r="U202" t="s">
        <v>63</v>
      </c>
      <c r="V202" t="s">
        <v>494</v>
      </c>
      <c r="W202" t="s">
        <v>495</v>
      </c>
      <c r="X202" t="s">
        <v>495</v>
      </c>
      <c r="Y202">
        <v>1.952</v>
      </c>
      <c r="Z202">
        <v>0.115138765</v>
      </c>
      <c r="AA202" t="s">
        <v>107</v>
      </c>
      <c r="AB202" t="s">
        <v>34</v>
      </c>
      <c r="AC202" t="s">
        <v>35</v>
      </c>
      <c r="AD202" t="s">
        <v>36</v>
      </c>
      <c r="AE202" t="s">
        <v>37</v>
      </c>
      <c r="AF202" t="str">
        <f t="shared" si="9"/>
        <v>non-charge-altering-6kiu</v>
      </c>
      <c r="AG202" t="s">
        <v>92</v>
      </c>
      <c r="AH202" t="s">
        <v>38</v>
      </c>
      <c r="AI202" t="str">
        <f t="shared" si="8"/>
        <v>E-V117M</v>
      </c>
    </row>
    <row r="203" spans="1:35">
      <c r="A203" t="s">
        <v>577</v>
      </c>
      <c r="B203" t="s">
        <v>576</v>
      </c>
      <c r="C203" t="s">
        <v>231</v>
      </c>
      <c r="D203" t="s">
        <v>29</v>
      </c>
      <c r="E203" t="s">
        <v>232</v>
      </c>
      <c r="F203" t="s">
        <v>91</v>
      </c>
      <c r="G203" t="s">
        <v>38</v>
      </c>
      <c r="H203">
        <v>118</v>
      </c>
      <c r="I203">
        <v>211</v>
      </c>
      <c r="J203">
        <v>118</v>
      </c>
      <c r="K203">
        <v>117</v>
      </c>
      <c r="L203" t="s">
        <v>61</v>
      </c>
      <c r="M203" t="s">
        <v>576</v>
      </c>
      <c r="N203" t="s">
        <v>92</v>
      </c>
      <c r="O203" t="s">
        <v>93</v>
      </c>
      <c r="P203" t="s">
        <v>94</v>
      </c>
      <c r="Q203" t="s">
        <v>61</v>
      </c>
      <c r="R203" t="s">
        <v>95</v>
      </c>
      <c r="S203">
        <v>118</v>
      </c>
      <c r="T203" t="s">
        <v>61</v>
      </c>
      <c r="U203" t="s">
        <v>19</v>
      </c>
      <c r="V203" t="s">
        <v>497</v>
      </c>
      <c r="W203" t="s">
        <v>498</v>
      </c>
      <c r="X203" t="s">
        <v>498</v>
      </c>
      <c r="Y203">
        <v>2.073</v>
      </c>
      <c r="Z203">
        <v>0.115138765</v>
      </c>
      <c r="AA203" t="s">
        <v>107</v>
      </c>
      <c r="AB203" t="s">
        <v>34</v>
      </c>
      <c r="AC203" t="s">
        <v>35</v>
      </c>
      <c r="AD203" t="s">
        <v>36</v>
      </c>
      <c r="AE203" t="s">
        <v>37</v>
      </c>
      <c r="AF203" t="str">
        <f t="shared" si="9"/>
        <v>non-charge-altering-6kiu</v>
      </c>
      <c r="AG203" t="s">
        <v>92</v>
      </c>
      <c r="AH203" t="s">
        <v>38</v>
      </c>
      <c r="AI203" t="str">
        <f t="shared" si="8"/>
        <v>E-V117G</v>
      </c>
    </row>
    <row r="204" spans="1:35">
      <c r="A204" t="s">
        <v>578</v>
      </c>
      <c r="B204" t="s">
        <v>579</v>
      </c>
      <c r="C204" t="s">
        <v>231</v>
      </c>
      <c r="D204" t="s">
        <v>29</v>
      </c>
      <c r="E204" t="s">
        <v>232</v>
      </c>
      <c r="F204" t="s">
        <v>91</v>
      </c>
      <c r="G204" t="s">
        <v>38</v>
      </c>
      <c r="H204">
        <v>121</v>
      </c>
      <c r="I204">
        <v>214</v>
      </c>
      <c r="J204">
        <v>121</v>
      </c>
      <c r="K204">
        <v>120</v>
      </c>
      <c r="L204" t="s">
        <v>63</v>
      </c>
      <c r="M204" t="s">
        <v>579</v>
      </c>
      <c r="N204" t="s">
        <v>92</v>
      </c>
      <c r="O204" t="s">
        <v>93</v>
      </c>
      <c r="P204" t="s">
        <v>94</v>
      </c>
      <c r="Q204" t="s">
        <v>63</v>
      </c>
      <c r="R204" t="s">
        <v>95</v>
      </c>
      <c r="S204">
        <v>121</v>
      </c>
      <c r="T204" t="s">
        <v>63</v>
      </c>
      <c r="U204" t="s">
        <v>48</v>
      </c>
      <c r="V204" t="s">
        <v>504</v>
      </c>
      <c r="W204" t="s">
        <v>505</v>
      </c>
      <c r="X204" t="s">
        <v>505</v>
      </c>
      <c r="Y204">
        <v>1.125</v>
      </c>
      <c r="Z204">
        <v>0.081093912</v>
      </c>
      <c r="AA204" t="s">
        <v>107</v>
      </c>
      <c r="AB204" t="s">
        <v>34</v>
      </c>
      <c r="AC204" t="s">
        <v>35</v>
      </c>
      <c r="AD204" t="s">
        <v>36</v>
      </c>
      <c r="AE204" t="s">
        <v>37</v>
      </c>
      <c r="AF204" t="str">
        <f t="shared" si="9"/>
        <v>non-charge-altering-6kiu</v>
      </c>
      <c r="AG204" t="s">
        <v>92</v>
      </c>
      <c r="AH204" t="s">
        <v>38</v>
      </c>
      <c r="AI204" t="str">
        <f t="shared" si="8"/>
        <v>E-M120I</v>
      </c>
    </row>
    <row r="205" spans="1:35">
      <c r="A205" t="s">
        <v>580</v>
      </c>
      <c r="B205" t="s">
        <v>581</v>
      </c>
      <c r="C205" t="s">
        <v>231</v>
      </c>
      <c r="D205" t="s">
        <v>29</v>
      </c>
      <c r="E205" t="s">
        <v>232</v>
      </c>
      <c r="F205" t="s">
        <v>91</v>
      </c>
      <c r="G205" t="s">
        <v>38</v>
      </c>
      <c r="H205">
        <v>121</v>
      </c>
      <c r="I205">
        <v>214</v>
      </c>
      <c r="J205">
        <v>121</v>
      </c>
      <c r="K205">
        <v>120</v>
      </c>
      <c r="L205" t="s">
        <v>63</v>
      </c>
      <c r="M205" t="s">
        <v>581</v>
      </c>
      <c r="N205" t="s">
        <v>101</v>
      </c>
      <c r="O205" t="s">
        <v>93</v>
      </c>
      <c r="P205" t="s">
        <v>94</v>
      </c>
      <c r="Q205" t="s">
        <v>63</v>
      </c>
      <c r="R205" t="s">
        <v>95</v>
      </c>
      <c r="S205">
        <v>121</v>
      </c>
      <c r="T205" t="s">
        <v>63</v>
      </c>
      <c r="U205" t="s">
        <v>48</v>
      </c>
      <c r="V205" t="s">
        <v>504</v>
      </c>
      <c r="W205" t="s">
        <v>505</v>
      </c>
      <c r="X205" t="s">
        <v>505</v>
      </c>
      <c r="Y205">
        <v>1.107</v>
      </c>
      <c r="Z205">
        <v>0.081093912</v>
      </c>
      <c r="AA205" t="s">
        <v>107</v>
      </c>
      <c r="AB205" t="s">
        <v>34</v>
      </c>
      <c r="AC205" t="s">
        <v>35</v>
      </c>
      <c r="AD205" t="s">
        <v>36</v>
      </c>
      <c r="AE205" t="s">
        <v>37</v>
      </c>
      <c r="AF205" t="str">
        <f t="shared" si="9"/>
        <v>non-charge-altering-6kiw</v>
      </c>
      <c r="AG205" t="s">
        <v>101</v>
      </c>
      <c r="AH205" t="s">
        <v>38</v>
      </c>
      <c r="AI205" t="str">
        <f t="shared" si="8"/>
        <v>E-M120I</v>
      </c>
    </row>
    <row r="206" spans="1:35">
      <c r="A206" t="s">
        <v>582</v>
      </c>
      <c r="B206" t="s">
        <v>368</v>
      </c>
      <c r="C206" t="s">
        <v>231</v>
      </c>
      <c r="D206" t="s">
        <v>29</v>
      </c>
      <c r="E206" t="s">
        <v>232</v>
      </c>
      <c r="F206" t="s">
        <v>91</v>
      </c>
      <c r="G206" t="s">
        <v>38</v>
      </c>
      <c r="H206">
        <v>45</v>
      </c>
      <c r="I206">
        <v>135</v>
      </c>
      <c r="J206">
        <v>45</v>
      </c>
      <c r="K206">
        <v>44</v>
      </c>
      <c r="L206" t="s">
        <v>19</v>
      </c>
      <c r="M206" t="s">
        <v>368</v>
      </c>
      <c r="N206" t="s">
        <v>101</v>
      </c>
      <c r="O206" t="s">
        <v>93</v>
      </c>
      <c r="P206" t="s">
        <v>94</v>
      </c>
      <c r="Q206" t="s">
        <v>19</v>
      </c>
      <c r="R206" t="s">
        <v>95</v>
      </c>
      <c r="S206">
        <v>45</v>
      </c>
      <c r="T206" t="s">
        <v>19</v>
      </c>
      <c r="U206" t="s">
        <v>61</v>
      </c>
      <c r="V206" t="s">
        <v>509</v>
      </c>
      <c r="W206" t="s">
        <v>510</v>
      </c>
      <c r="X206" t="s">
        <v>510</v>
      </c>
      <c r="Y206">
        <v>0.716</v>
      </c>
      <c r="Z206">
        <v>0.040909642</v>
      </c>
      <c r="AA206" t="s">
        <v>107</v>
      </c>
      <c r="AB206" t="s">
        <v>34</v>
      </c>
      <c r="AC206" t="s">
        <v>35</v>
      </c>
      <c r="AD206" t="s">
        <v>36</v>
      </c>
      <c r="AE206" t="s">
        <v>37</v>
      </c>
      <c r="AF206" t="str">
        <f t="shared" si="9"/>
        <v>non-charge-altering-6kiw</v>
      </c>
      <c r="AG206" t="s">
        <v>101</v>
      </c>
      <c r="AH206" t="s">
        <v>38</v>
      </c>
      <c r="AI206" t="str">
        <f t="shared" si="8"/>
        <v>E-G44V</v>
      </c>
    </row>
    <row r="207" spans="1:35">
      <c r="A207" t="s">
        <v>583</v>
      </c>
      <c r="B207" t="s">
        <v>370</v>
      </c>
      <c r="C207" t="s">
        <v>231</v>
      </c>
      <c r="D207" t="s">
        <v>29</v>
      </c>
      <c r="E207" t="s">
        <v>232</v>
      </c>
      <c r="F207" t="s">
        <v>91</v>
      </c>
      <c r="G207" t="s">
        <v>38</v>
      </c>
      <c r="H207">
        <v>45</v>
      </c>
      <c r="I207">
        <v>135</v>
      </c>
      <c r="J207">
        <v>45</v>
      </c>
      <c r="K207">
        <v>44</v>
      </c>
      <c r="L207" t="s">
        <v>19</v>
      </c>
      <c r="M207" t="s">
        <v>370</v>
      </c>
      <c r="N207" t="s">
        <v>92</v>
      </c>
      <c r="O207" t="s">
        <v>93</v>
      </c>
      <c r="P207" t="s">
        <v>94</v>
      </c>
      <c r="Q207" t="s">
        <v>19</v>
      </c>
      <c r="R207" t="s">
        <v>95</v>
      </c>
      <c r="S207">
        <v>45</v>
      </c>
      <c r="T207" t="s">
        <v>19</v>
      </c>
      <c r="U207" t="s">
        <v>61</v>
      </c>
      <c r="V207" t="s">
        <v>509</v>
      </c>
      <c r="W207" t="s">
        <v>510</v>
      </c>
      <c r="X207" t="s">
        <v>510</v>
      </c>
      <c r="Y207">
        <v>0.812</v>
      </c>
      <c r="Z207">
        <v>0.040909642</v>
      </c>
      <c r="AA207" t="s">
        <v>107</v>
      </c>
      <c r="AB207" t="s">
        <v>34</v>
      </c>
      <c r="AC207" t="s">
        <v>35</v>
      </c>
      <c r="AD207" t="s">
        <v>36</v>
      </c>
      <c r="AE207" t="s">
        <v>37</v>
      </c>
      <c r="AF207" t="str">
        <f t="shared" si="9"/>
        <v>non-charge-altering-6kiu</v>
      </c>
      <c r="AG207" t="s">
        <v>92</v>
      </c>
      <c r="AH207" t="s">
        <v>38</v>
      </c>
      <c r="AI207" t="str">
        <f t="shared" si="8"/>
        <v>E-G44V</v>
      </c>
    </row>
    <row r="208" spans="1:35">
      <c r="A208" t="s">
        <v>584</v>
      </c>
      <c r="B208" t="s">
        <v>585</v>
      </c>
      <c r="C208" t="s">
        <v>231</v>
      </c>
      <c r="D208" t="s">
        <v>29</v>
      </c>
      <c r="E208" t="s">
        <v>232</v>
      </c>
      <c r="F208" t="s">
        <v>91</v>
      </c>
      <c r="G208" t="s">
        <v>38</v>
      </c>
      <c r="H208">
        <v>47</v>
      </c>
      <c r="I208">
        <v>137</v>
      </c>
      <c r="J208">
        <v>47</v>
      </c>
      <c r="K208">
        <v>46</v>
      </c>
      <c r="L208" t="s">
        <v>61</v>
      </c>
      <c r="M208" t="s">
        <v>585</v>
      </c>
      <c r="N208" t="s">
        <v>101</v>
      </c>
      <c r="O208" t="s">
        <v>93</v>
      </c>
      <c r="P208" t="s">
        <v>94</v>
      </c>
      <c r="Q208" t="s">
        <v>61</v>
      </c>
      <c r="R208" t="s">
        <v>95</v>
      </c>
      <c r="S208">
        <v>47</v>
      </c>
      <c r="T208" t="s">
        <v>61</v>
      </c>
      <c r="U208" t="s">
        <v>63</v>
      </c>
      <c r="V208" t="s">
        <v>514</v>
      </c>
      <c r="W208" t="s">
        <v>515</v>
      </c>
      <c r="X208" t="s">
        <v>515</v>
      </c>
      <c r="Y208">
        <v>-0.171</v>
      </c>
      <c r="Z208">
        <v>0.078139651</v>
      </c>
      <c r="AA208" t="s">
        <v>107</v>
      </c>
      <c r="AB208" t="s">
        <v>34</v>
      </c>
      <c r="AC208" t="s">
        <v>35</v>
      </c>
      <c r="AD208" t="s">
        <v>36</v>
      </c>
      <c r="AE208" t="s">
        <v>37</v>
      </c>
      <c r="AF208" t="str">
        <f t="shared" si="9"/>
        <v>non-charge-altering-6kiw</v>
      </c>
      <c r="AG208" t="s">
        <v>101</v>
      </c>
      <c r="AH208" t="s">
        <v>38</v>
      </c>
      <c r="AI208" t="str">
        <f t="shared" si="8"/>
        <v>E-V46M</v>
      </c>
    </row>
    <row r="209" spans="1:35">
      <c r="A209" t="s">
        <v>586</v>
      </c>
      <c r="B209" t="s">
        <v>587</v>
      </c>
      <c r="C209" t="s">
        <v>231</v>
      </c>
      <c r="D209" t="s">
        <v>29</v>
      </c>
      <c r="E209" t="s">
        <v>232</v>
      </c>
      <c r="F209" t="s">
        <v>91</v>
      </c>
      <c r="G209" t="s">
        <v>38</v>
      </c>
      <c r="H209">
        <v>47</v>
      </c>
      <c r="I209">
        <v>137</v>
      </c>
      <c r="J209">
        <v>47</v>
      </c>
      <c r="K209">
        <v>46</v>
      </c>
      <c r="L209" t="s">
        <v>61</v>
      </c>
      <c r="M209" t="s">
        <v>587</v>
      </c>
      <c r="N209" t="s">
        <v>92</v>
      </c>
      <c r="O209" t="s">
        <v>93</v>
      </c>
      <c r="P209" t="s">
        <v>94</v>
      </c>
      <c r="Q209" t="s">
        <v>61</v>
      </c>
      <c r="R209" t="s">
        <v>95</v>
      </c>
      <c r="S209">
        <v>47</v>
      </c>
      <c r="T209" t="s">
        <v>61</v>
      </c>
      <c r="U209" t="s">
        <v>63</v>
      </c>
      <c r="V209" t="s">
        <v>514</v>
      </c>
      <c r="W209" t="s">
        <v>515</v>
      </c>
      <c r="X209" t="s">
        <v>515</v>
      </c>
      <c r="Y209">
        <v>-0.094</v>
      </c>
      <c r="Z209">
        <v>0.078139651</v>
      </c>
      <c r="AA209" t="s">
        <v>107</v>
      </c>
      <c r="AB209" t="s">
        <v>34</v>
      </c>
      <c r="AC209" t="s">
        <v>35</v>
      </c>
      <c r="AD209" t="s">
        <v>36</v>
      </c>
      <c r="AE209" t="s">
        <v>37</v>
      </c>
      <c r="AF209" t="str">
        <f t="shared" si="9"/>
        <v>non-charge-altering-6kiu</v>
      </c>
      <c r="AG209" t="s">
        <v>92</v>
      </c>
      <c r="AH209" t="s">
        <v>38</v>
      </c>
      <c r="AI209" t="str">
        <f t="shared" si="8"/>
        <v>E-V46M</v>
      </c>
    </row>
    <row r="210" spans="1:35">
      <c r="A210" t="s">
        <v>588</v>
      </c>
      <c r="B210" t="s">
        <v>372</v>
      </c>
      <c r="C210" t="s">
        <v>231</v>
      </c>
      <c r="D210" t="s">
        <v>29</v>
      </c>
      <c r="E210" t="s">
        <v>232</v>
      </c>
      <c r="F210" t="s">
        <v>91</v>
      </c>
      <c r="G210" t="s">
        <v>38</v>
      </c>
      <c r="H210">
        <v>48</v>
      </c>
      <c r="I210">
        <v>138</v>
      </c>
      <c r="J210">
        <v>48</v>
      </c>
      <c r="K210">
        <v>47</v>
      </c>
      <c r="L210" t="s">
        <v>32</v>
      </c>
      <c r="M210" t="s">
        <v>372</v>
      </c>
      <c r="N210" t="s">
        <v>101</v>
      </c>
      <c r="O210" t="s">
        <v>93</v>
      </c>
      <c r="P210" t="s">
        <v>94</v>
      </c>
      <c r="Q210" t="s">
        <v>32</v>
      </c>
      <c r="R210" t="s">
        <v>95</v>
      </c>
      <c r="S210">
        <v>48</v>
      </c>
      <c r="T210" t="s">
        <v>32</v>
      </c>
      <c r="U210" t="s">
        <v>46</v>
      </c>
      <c r="V210" t="s">
        <v>519</v>
      </c>
      <c r="W210" t="s">
        <v>520</v>
      </c>
      <c r="X210" t="s">
        <v>520</v>
      </c>
      <c r="Y210">
        <v>0.605</v>
      </c>
      <c r="Z210">
        <v>0.001144938</v>
      </c>
      <c r="AA210" t="s">
        <v>107</v>
      </c>
      <c r="AB210" t="s">
        <v>34</v>
      </c>
      <c r="AC210" t="s">
        <v>35</v>
      </c>
      <c r="AD210" t="s">
        <v>36</v>
      </c>
      <c r="AE210" t="s">
        <v>37</v>
      </c>
      <c r="AF210" t="str">
        <f t="shared" si="9"/>
        <v>non-charge-altering-6kiw</v>
      </c>
      <c r="AG210" t="s">
        <v>101</v>
      </c>
      <c r="AH210" t="s">
        <v>38</v>
      </c>
      <c r="AI210" t="str">
        <f t="shared" si="8"/>
        <v>E-A47S</v>
      </c>
    </row>
    <row r="211" spans="1:35">
      <c r="A211" t="s">
        <v>589</v>
      </c>
      <c r="B211" t="s">
        <v>372</v>
      </c>
      <c r="C211" t="s">
        <v>231</v>
      </c>
      <c r="D211" t="s">
        <v>29</v>
      </c>
      <c r="E211" t="s">
        <v>232</v>
      </c>
      <c r="F211" t="s">
        <v>91</v>
      </c>
      <c r="G211" t="s">
        <v>38</v>
      </c>
      <c r="H211">
        <v>48</v>
      </c>
      <c r="I211">
        <v>138</v>
      </c>
      <c r="J211">
        <v>48</v>
      </c>
      <c r="K211">
        <v>47</v>
      </c>
      <c r="L211" t="s">
        <v>32</v>
      </c>
      <c r="M211" t="s">
        <v>372</v>
      </c>
      <c r="N211" t="s">
        <v>101</v>
      </c>
      <c r="O211" t="s">
        <v>93</v>
      </c>
      <c r="P211" t="s">
        <v>94</v>
      </c>
      <c r="Q211" t="s">
        <v>32</v>
      </c>
      <c r="R211" t="s">
        <v>95</v>
      </c>
      <c r="S211">
        <v>48</v>
      </c>
      <c r="T211" t="s">
        <v>32</v>
      </c>
      <c r="U211" t="s">
        <v>47</v>
      </c>
      <c r="V211" t="s">
        <v>522</v>
      </c>
      <c r="W211" t="s">
        <v>523</v>
      </c>
      <c r="X211" t="s">
        <v>523</v>
      </c>
      <c r="Y211">
        <v>0.605</v>
      </c>
      <c r="Z211">
        <v>0.001144938</v>
      </c>
      <c r="AA211" t="s">
        <v>107</v>
      </c>
      <c r="AB211" t="s">
        <v>34</v>
      </c>
      <c r="AC211" t="s">
        <v>35</v>
      </c>
      <c r="AD211" t="s">
        <v>36</v>
      </c>
      <c r="AE211" t="s">
        <v>37</v>
      </c>
      <c r="AF211" t="str">
        <f t="shared" si="9"/>
        <v>non-charge-altering-6kiw</v>
      </c>
      <c r="AG211" t="s">
        <v>101</v>
      </c>
      <c r="AH211" t="s">
        <v>38</v>
      </c>
      <c r="AI211" t="str">
        <f t="shared" si="8"/>
        <v>E-A47T</v>
      </c>
    </row>
    <row r="212" spans="1:35">
      <c r="A212" t="s">
        <v>590</v>
      </c>
      <c r="B212" t="s">
        <v>374</v>
      </c>
      <c r="C212" t="s">
        <v>231</v>
      </c>
      <c r="D212" t="s">
        <v>29</v>
      </c>
      <c r="E212" t="s">
        <v>232</v>
      </c>
      <c r="F212" t="s">
        <v>91</v>
      </c>
      <c r="G212" t="s">
        <v>38</v>
      </c>
      <c r="H212">
        <v>48</v>
      </c>
      <c r="I212">
        <v>138</v>
      </c>
      <c r="J212">
        <v>48</v>
      </c>
      <c r="K212">
        <v>47</v>
      </c>
      <c r="L212" t="s">
        <v>32</v>
      </c>
      <c r="M212" t="s">
        <v>374</v>
      </c>
      <c r="N212" t="s">
        <v>92</v>
      </c>
      <c r="O212" t="s">
        <v>93</v>
      </c>
      <c r="P212" t="s">
        <v>94</v>
      </c>
      <c r="Q212" t="s">
        <v>32</v>
      </c>
      <c r="R212" t="s">
        <v>95</v>
      </c>
      <c r="S212">
        <v>48</v>
      </c>
      <c r="T212" t="s">
        <v>32</v>
      </c>
      <c r="U212" t="s">
        <v>46</v>
      </c>
      <c r="V212" t="s">
        <v>519</v>
      </c>
      <c r="W212" t="s">
        <v>520</v>
      </c>
      <c r="X212" t="s">
        <v>520</v>
      </c>
      <c r="Y212">
        <v>0.681</v>
      </c>
      <c r="Z212">
        <v>0.001144938</v>
      </c>
      <c r="AA212" t="s">
        <v>107</v>
      </c>
      <c r="AB212" t="s">
        <v>34</v>
      </c>
      <c r="AC212" t="s">
        <v>35</v>
      </c>
      <c r="AD212" t="s">
        <v>36</v>
      </c>
      <c r="AE212" t="s">
        <v>37</v>
      </c>
      <c r="AF212" t="str">
        <f t="shared" si="9"/>
        <v>non-charge-altering-6kiu</v>
      </c>
      <c r="AG212" t="s">
        <v>92</v>
      </c>
      <c r="AH212" t="s">
        <v>38</v>
      </c>
      <c r="AI212" t="str">
        <f t="shared" si="8"/>
        <v>E-A47S</v>
      </c>
    </row>
    <row r="213" spans="1:35">
      <c r="A213" t="s">
        <v>591</v>
      </c>
      <c r="B213" t="s">
        <v>374</v>
      </c>
      <c r="C213" t="s">
        <v>231</v>
      </c>
      <c r="D213" t="s">
        <v>29</v>
      </c>
      <c r="E213" t="s">
        <v>232</v>
      </c>
      <c r="F213" t="s">
        <v>91</v>
      </c>
      <c r="G213" t="s">
        <v>38</v>
      </c>
      <c r="H213">
        <v>48</v>
      </c>
      <c r="I213">
        <v>138</v>
      </c>
      <c r="J213">
        <v>48</v>
      </c>
      <c r="K213">
        <v>47</v>
      </c>
      <c r="L213" t="s">
        <v>32</v>
      </c>
      <c r="M213" t="s">
        <v>374</v>
      </c>
      <c r="N213" t="s">
        <v>92</v>
      </c>
      <c r="O213" t="s">
        <v>93</v>
      </c>
      <c r="P213" t="s">
        <v>94</v>
      </c>
      <c r="Q213" t="s">
        <v>32</v>
      </c>
      <c r="R213" t="s">
        <v>95</v>
      </c>
      <c r="S213">
        <v>48</v>
      </c>
      <c r="T213" t="s">
        <v>32</v>
      </c>
      <c r="U213" t="s">
        <v>47</v>
      </c>
      <c r="V213" t="s">
        <v>522</v>
      </c>
      <c r="W213" t="s">
        <v>523</v>
      </c>
      <c r="X213" t="s">
        <v>523</v>
      </c>
      <c r="Y213">
        <v>0.681</v>
      </c>
      <c r="Z213">
        <v>0.001144938</v>
      </c>
      <c r="AA213" t="s">
        <v>107</v>
      </c>
      <c r="AB213" t="s">
        <v>34</v>
      </c>
      <c r="AC213" t="s">
        <v>35</v>
      </c>
      <c r="AD213" t="s">
        <v>36</v>
      </c>
      <c r="AE213" t="s">
        <v>37</v>
      </c>
      <c r="AF213" t="str">
        <f t="shared" si="9"/>
        <v>non-charge-altering-6kiu</v>
      </c>
      <c r="AG213" t="s">
        <v>92</v>
      </c>
      <c r="AH213" t="s">
        <v>38</v>
      </c>
      <c r="AI213" t="str">
        <f t="shared" si="8"/>
        <v>E-A47T</v>
      </c>
    </row>
    <row r="214" spans="1:35">
      <c r="A214" t="s">
        <v>592</v>
      </c>
      <c r="B214" t="s">
        <v>593</v>
      </c>
      <c r="C214" t="s">
        <v>231</v>
      </c>
      <c r="D214" t="s">
        <v>29</v>
      </c>
      <c r="E214" t="s">
        <v>232</v>
      </c>
      <c r="F214" t="s">
        <v>91</v>
      </c>
      <c r="G214" t="s">
        <v>38</v>
      </c>
      <c r="H214">
        <v>50</v>
      </c>
      <c r="I214">
        <v>140</v>
      </c>
      <c r="J214">
        <v>50</v>
      </c>
      <c r="K214">
        <v>49</v>
      </c>
      <c r="L214" t="s">
        <v>43</v>
      </c>
      <c r="M214" t="s">
        <v>593</v>
      </c>
      <c r="N214" t="s">
        <v>101</v>
      </c>
      <c r="O214" t="s">
        <v>93</v>
      </c>
      <c r="P214" t="s">
        <v>94</v>
      </c>
      <c r="Q214" t="s">
        <v>43</v>
      </c>
      <c r="R214" t="s">
        <v>95</v>
      </c>
      <c r="S214">
        <v>50</v>
      </c>
      <c r="T214" t="s">
        <v>43</v>
      </c>
      <c r="U214" t="s">
        <v>56</v>
      </c>
      <c r="V214" t="s">
        <v>528</v>
      </c>
      <c r="W214" t="s">
        <v>529</v>
      </c>
      <c r="X214" t="s">
        <v>529</v>
      </c>
      <c r="Y214">
        <v>2.164</v>
      </c>
      <c r="Z214">
        <v>0.097801167</v>
      </c>
      <c r="AA214" t="s">
        <v>107</v>
      </c>
      <c r="AB214" t="s">
        <v>44</v>
      </c>
      <c r="AC214" t="s">
        <v>35</v>
      </c>
      <c r="AD214" t="s">
        <v>36</v>
      </c>
      <c r="AE214" t="s">
        <v>37</v>
      </c>
      <c r="AF214" t="str">
        <f t="shared" si="9"/>
        <v>non-charge-altering-6kiw</v>
      </c>
      <c r="AG214" t="s">
        <v>101</v>
      </c>
      <c r="AH214" t="s">
        <v>38</v>
      </c>
      <c r="AI214" t="str">
        <f t="shared" si="8"/>
        <v>E-R49H</v>
      </c>
    </row>
    <row r="215" spans="1:35">
      <c r="A215" t="s">
        <v>594</v>
      </c>
      <c r="B215" t="s">
        <v>595</v>
      </c>
      <c r="C215" t="s">
        <v>231</v>
      </c>
      <c r="D215" t="s">
        <v>29</v>
      </c>
      <c r="E215" t="s">
        <v>232</v>
      </c>
      <c r="F215" t="s">
        <v>91</v>
      </c>
      <c r="G215" t="s">
        <v>38</v>
      </c>
      <c r="H215">
        <v>50</v>
      </c>
      <c r="I215">
        <v>140</v>
      </c>
      <c r="J215">
        <v>50</v>
      </c>
      <c r="K215">
        <v>49</v>
      </c>
      <c r="L215" t="s">
        <v>43</v>
      </c>
      <c r="M215" t="s">
        <v>595</v>
      </c>
      <c r="N215" t="s">
        <v>92</v>
      </c>
      <c r="O215" t="s">
        <v>93</v>
      </c>
      <c r="P215" t="s">
        <v>94</v>
      </c>
      <c r="Q215" t="s">
        <v>43</v>
      </c>
      <c r="R215" t="s">
        <v>95</v>
      </c>
      <c r="S215">
        <v>50</v>
      </c>
      <c r="T215" t="s">
        <v>43</v>
      </c>
      <c r="U215" t="s">
        <v>56</v>
      </c>
      <c r="V215" t="s">
        <v>528</v>
      </c>
      <c r="W215" t="s">
        <v>529</v>
      </c>
      <c r="X215" t="s">
        <v>529</v>
      </c>
      <c r="Y215">
        <v>2.31</v>
      </c>
      <c r="Z215">
        <v>0.097801167</v>
      </c>
      <c r="AA215" t="s">
        <v>107</v>
      </c>
      <c r="AB215" t="s">
        <v>44</v>
      </c>
      <c r="AC215" t="s">
        <v>35</v>
      </c>
      <c r="AD215" t="s">
        <v>36</v>
      </c>
      <c r="AE215" t="s">
        <v>37</v>
      </c>
      <c r="AF215" t="str">
        <f t="shared" si="9"/>
        <v>non-charge-altering-6kiu</v>
      </c>
      <c r="AG215" t="s">
        <v>92</v>
      </c>
      <c r="AH215" t="s">
        <v>38</v>
      </c>
      <c r="AI215" t="str">
        <f t="shared" si="8"/>
        <v>E-R49H</v>
      </c>
    </row>
    <row r="216" spans="1:35">
      <c r="A216" t="s">
        <v>596</v>
      </c>
      <c r="B216" t="s">
        <v>597</v>
      </c>
      <c r="C216" t="s">
        <v>231</v>
      </c>
      <c r="D216" t="s">
        <v>29</v>
      </c>
      <c r="E216" t="s">
        <v>232</v>
      </c>
      <c r="F216" t="s">
        <v>91</v>
      </c>
      <c r="G216" t="s">
        <v>38</v>
      </c>
      <c r="H216">
        <v>64</v>
      </c>
      <c r="I216">
        <v>154</v>
      </c>
      <c r="J216">
        <v>64</v>
      </c>
      <c r="K216">
        <v>63</v>
      </c>
      <c r="L216" t="s">
        <v>43</v>
      </c>
      <c r="M216" t="s">
        <v>597</v>
      </c>
      <c r="N216" t="s">
        <v>101</v>
      </c>
      <c r="O216" t="s">
        <v>93</v>
      </c>
      <c r="P216" t="s">
        <v>94</v>
      </c>
      <c r="Q216" t="s">
        <v>43</v>
      </c>
      <c r="R216" t="s">
        <v>95</v>
      </c>
      <c r="S216">
        <v>64</v>
      </c>
      <c r="T216" t="s">
        <v>43</v>
      </c>
      <c r="U216" t="s">
        <v>56</v>
      </c>
      <c r="V216" t="s">
        <v>534</v>
      </c>
      <c r="W216" t="s">
        <v>535</v>
      </c>
      <c r="X216" t="s">
        <v>535</v>
      </c>
      <c r="Y216">
        <v>0.448</v>
      </c>
      <c r="Z216">
        <v>0.088170444</v>
      </c>
      <c r="AA216" t="s">
        <v>107</v>
      </c>
      <c r="AB216" t="s">
        <v>44</v>
      </c>
      <c r="AC216" t="s">
        <v>35</v>
      </c>
      <c r="AD216" t="s">
        <v>36</v>
      </c>
      <c r="AE216" t="s">
        <v>37</v>
      </c>
      <c r="AF216" t="str">
        <f t="shared" si="9"/>
        <v>non-charge-altering-6kiw</v>
      </c>
      <c r="AG216" t="s">
        <v>101</v>
      </c>
      <c r="AH216" t="s">
        <v>38</v>
      </c>
      <c r="AI216" t="str">
        <f t="shared" si="8"/>
        <v>E-R63H</v>
      </c>
    </row>
    <row r="217" spans="1:35">
      <c r="A217" t="s">
        <v>598</v>
      </c>
      <c r="B217" t="s">
        <v>599</v>
      </c>
      <c r="C217" t="s">
        <v>231</v>
      </c>
      <c r="D217" t="s">
        <v>29</v>
      </c>
      <c r="E217" t="s">
        <v>232</v>
      </c>
      <c r="F217" t="s">
        <v>91</v>
      </c>
      <c r="G217" t="s">
        <v>38</v>
      </c>
      <c r="H217">
        <v>64</v>
      </c>
      <c r="I217">
        <v>154</v>
      </c>
      <c r="J217">
        <v>64</v>
      </c>
      <c r="K217">
        <v>63</v>
      </c>
      <c r="L217" t="s">
        <v>43</v>
      </c>
      <c r="M217" t="s">
        <v>599</v>
      </c>
      <c r="N217" t="s">
        <v>92</v>
      </c>
      <c r="O217" t="s">
        <v>93</v>
      </c>
      <c r="P217" t="s">
        <v>94</v>
      </c>
      <c r="Q217" t="s">
        <v>43</v>
      </c>
      <c r="R217" t="s">
        <v>95</v>
      </c>
      <c r="S217">
        <v>64</v>
      </c>
      <c r="T217" t="s">
        <v>43</v>
      </c>
      <c r="U217" t="s">
        <v>56</v>
      </c>
      <c r="V217" t="s">
        <v>534</v>
      </c>
      <c r="W217" t="s">
        <v>535</v>
      </c>
      <c r="X217" t="s">
        <v>535</v>
      </c>
      <c r="Y217">
        <v>0.428</v>
      </c>
      <c r="Z217">
        <v>0.088170444</v>
      </c>
      <c r="AA217" t="s">
        <v>107</v>
      </c>
      <c r="AB217" t="s">
        <v>44</v>
      </c>
      <c r="AC217" t="s">
        <v>35</v>
      </c>
      <c r="AD217" t="s">
        <v>36</v>
      </c>
      <c r="AE217" t="s">
        <v>37</v>
      </c>
      <c r="AF217" t="str">
        <f t="shared" si="9"/>
        <v>non-charge-altering-6kiu</v>
      </c>
      <c r="AG217" t="s">
        <v>92</v>
      </c>
      <c r="AH217" t="s">
        <v>38</v>
      </c>
      <c r="AI217" t="str">
        <f t="shared" si="8"/>
        <v>E-R63H</v>
      </c>
    </row>
    <row r="218" spans="1:35">
      <c r="A218" t="s">
        <v>600</v>
      </c>
      <c r="B218" t="s">
        <v>601</v>
      </c>
      <c r="C218" t="s">
        <v>231</v>
      </c>
      <c r="D218" t="s">
        <v>29</v>
      </c>
      <c r="E218" t="s">
        <v>232</v>
      </c>
      <c r="F218" t="s">
        <v>91</v>
      </c>
      <c r="G218" t="s">
        <v>38</v>
      </c>
      <c r="H218">
        <v>67</v>
      </c>
      <c r="I218">
        <v>157</v>
      </c>
      <c r="J218">
        <v>67</v>
      </c>
      <c r="K218">
        <v>66</v>
      </c>
      <c r="L218" t="s">
        <v>58</v>
      </c>
      <c r="M218" t="s">
        <v>601</v>
      </c>
      <c r="N218" t="s">
        <v>101</v>
      </c>
      <c r="O218" t="s">
        <v>93</v>
      </c>
      <c r="P218" t="s">
        <v>94</v>
      </c>
      <c r="Q218" t="s">
        <v>58</v>
      </c>
      <c r="R218" t="s">
        <v>95</v>
      </c>
      <c r="S218">
        <v>67</v>
      </c>
      <c r="T218" t="s">
        <v>58</v>
      </c>
      <c r="U218" t="s">
        <v>46</v>
      </c>
      <c r="V218" t="s">
        <v>540</v>
      </c>
      <c r="W218" t="s">
        <v>541</v>
      </c>
      <c r="X218" t="s">
        <v>541</v>
      </c>
      <c r="Y218">
        <v>1.394</v>
      </c>
      <c r="Z218">
        <v>0.004073705</v>
      </c>
      <c r="AA218" t="s">
        <v>107</v>
      </c>
      <c r="AB218" t="s">
        <v>34</v>
      </c>
      <c r="AC218" t="s">
        <v>35</v>
      </c>
      <c r="AD218" t="s">
        <v>36</v>
      </c>
      <c r="AE218" t="s">
        <v>37</v>
      </c>
      <c r="AF218" t="str">
        <f t="shared" si="9"/>
        <v>non-charge-altering-6kiw</v>
      </c>
      <c r="AG218" t="s">
        <v>101</v>
      </c>
      <c r="AH218" t="s">
        <v>38</v>
      </c>
      <c r="AI218" t="str">
        <f t="shared" si="8"/>
        <v>E-P66S</v>
      </c>
    </row>
    <row r="219" spans="1:35">
      <c r="A219" t="s">
        <v>602</v>
      </c>
      <c r="B219" t="s">
        <v>603</v>
      </c>
      <c r="C219" t="s">
        <v>231</v>
      </c>
      <c r="D219" t="s">
        <v>29</v>
      </c>
      <c r="E219" t="s">
        <v>232</v>
      </c>
      <c r="F219" t="s">
        <v>91</v>
      </c>
      <c r="G219" t="s">
        <v>38</v>
      </c>
      <c r="H219">
        <v>67</v>
      </c>
      <c r="I219">
        <v>157</v>
      </c>
      <c r="J219">
        <v>67</v>
      </c>
      <c r="K219">
        <v>66</v>
      </c>
      <c r="L219" t="s">
        <v>58</v>
      </c>
      <c r="M219" t="s">
        <v>603</v>
      </c>
      <c r="N219" t="s">
        <v>92</v>
      </c>
      <c r="O219" t="s">
        <v>93</v>
      </c>
      <c r="P219" t="s">
        <v>94</v>
      </c>
      <c r="Q219" t="s">
        <v>58</v>
      </c>
      <c r="R219" t="s">
        <v>95</v>
      </c>
      <c r="S219">
        <v>67</v>
      </c>
      <c r="T219" t="s">
        <v>58</v>
      </c>
      <c r="U219" t="s">
        <v>46</v>
      </c>
      <c r="V219" t="s">
        <v>540</v>
      </c>
      <c r="W219" t="s">
        <v>541</v>
      </c>
      <c r="X219" t="s">
        <v>541</v>
      </c>
      <c r="Y219">
        <v>1.53</v>
      </c>
      <c r="Z219">
        <v>0.004073705</v>
      </c>
      <c r="AA219" t="s">
        <v>107</v>
      </c>
      <c r="AB219" t="s">
        <v>34</v>
      </c>
      <c r="AC219" t="s">
        <v>35</v>
      </c>
      <c r="AD219" t="s">
        <v>36</v>
      </c>
      <c r="AE219" t="s">
        <v>37</v>
      </c>
      <c r="AF219" t="str">
        <f t="shared" si="9"/>
        <v>non-charge-altering-6kiu</v>
      </c>
      <c r="AG219" t="s">
        <v>92</v>
      </c>
      <c r="AH219" t="s">
        <v>38</v>
      </c>
      <c r="AI219" t="str">
        <f t="shared" si="8"/>
        <v>E-P66S</v>
      </c>
    </row>
    <row r="220" spans="1:35">
      <c r="A220" t="s">
        <v>604</v>
      </c>
      <c r="B220" t="s">
        <v>605</v>
      </c>
      <c r="C220" t="s">
        <v>231</v>
      </c>
      <c r="D220" t="s">
        <v>29</v>
      </c>
      <c r="E220" t="s">
        <v>232</v>
      </c>
      <c r="F220" t="s">
        <v>91</v>
      </c>
      <c r="G220" t="s">
        <v>38</v>
      </c>
      <c r="H220">
        <v>83</v>
      </c>
      <c r="I220">
        <v>176</v>
      </c>
      <c r="J220">
        <v>83</v>
      </c>
      <c r="K220">
        <v>82</v>
      </c>
      <c r="L220" t="s">
        <v>39</v>
      </c>
      <c r="M220" t="s">
        <v>605</v>
      </c>
      <c r="N220" t="s">
        <v>92</v>
      </c>
      <c r="O220" t="s">
        <v>93</v>
      </c>
      <c r="P220" t="s">
        <v>94</v>
      </c>
      <c r="Q220" t="s">
        <v>39</v>
      </c>
      <c r="R220" t="s">
        <v>95</v>
      </c>
      <c r="S220">
        <v>83</v>
      </c>
      <c r="T220" t="s">
        <v>39</v>
      </c>
      <c r="U220" t="s">
        <v>33</v>
      </c>
      <c r="V220" t="s">
        <v>552</v>
      </c>
      <c r="W220" t="s">
        <v>553</v>
      </c>
      <c r="X220" t="s">
        <v>553</v>
      </c>
      <c r="Y220">
        <v>-0.166</v>
      </c>
      <c r="Z220">
        <v>0.10482045</v>
      </c>
      <c r="AA220" t="s">
        <v>107</v>
      </c>
      <c r="AB220" t="s">
        <v>34</v>
      </c>
      <c r="AC220" t="s">
        <v>35</v>
      </c>
      <c r="AD220" t="s">
        <v>36</v>
      </c>
      <c r="AE220" t="s">
        <v>37</v>
      </c>
      <c r="AF220" t="str">
        <f t="shared" si="9"/>
        <v>non-charge-altering-6kiu</v>
      </c>
      <c r="AG220" t="s">
        <v>92</v>
      </c>
      <c r="AH220" t="s">
        <v>38</v>
      </c>
      <c r="AI220" t="str">
        <f t="shared" si="8"/>
        <v>E-L82F</v>
      </c>
    </row>
    <row r="221" spans="1:35">
      <c r="A221" t="s">
        <v>606</v>
      </c>
      <c r="B221" t="s">
        <v>607</v>
      </c>
      <c r="C221" t="s">
        <v>231</v>
      </c>
      <c r="D221" t="s">
        <v>29</v>
      </c>
      <c r="E221" t="s">
        <v>232</v>
      </c>
      <c r="F221" t="s">
        <v>91</v>
      </c>
      <c r="G221" t="s">
        <v>38</v>
      </c>
      <c r="H221">
        <v>83</v>
      </c>
      <c r="I221">
        <v>176</v>
      </c>
      <c r="J221">
        <v>83</v>
      </c>
      <c r="K221">
        <v>82</v>
      </c>
      <c r="L221" t="s">
        <v>39</v>
      </c>
      <c r="M221" t="s">
        <v>607</v>
      </c>
      <c r="N221" t="s">
        <v>101</v>
      </c>
      <c r="O221" t="s">
        <v>93</v>
      </c>
      <c r="P221" t="s">
        <v>94</v>
      </c>
      <c r="Q221" t="s">
        <v>39</v>
      </c>
      <c r="R221" t="s">
        <v>95</v>
      </c>
      <c r="S221">
        <v>83</v>
      </c>
      <c r="T221" t="s">
        <v>39</v>
      </c>
      <c r="U221" t="s">
        <v>33</v>
      </c>
      <c r="V221" t="s">
        <v>552</v>
      </c>
      <c r="W221" t="s">
        <v>553</v>
      </c>
      <c r="X221" t="s">
        <v>553</v>
      </c>
      <c r="Y221">
        <v>-0.113</v>
      </c>
      <c r="Z221">
        <v>0.10482045</v>
      </c>
      <c r="AA221" t="s">
        <v>107</v>
      </c>
      <c r="AB221" t="s">
        <v>34</v>
      </c>
      <c r="AC221" t="s">
        <v>35</v>
      </c>
      <c r="AD221" t="s">
        <v>36</v>
      </c>
      <c r="AE221" t="s">
        <v>37</v>
      </c>
      <c r="AF221" t="str">
        <f t="shared" si="9"/>
        <v>non-charge-altering-6kiw</v>
      </c>
      <c r="AG221" t="s">
        <v>101</v>
      </c>
      <c r="AH221" t="s">
        <v>38</v>
      </c>
      <c r="AI221" t="str">
        <f t="shared" si="8"/>
        <v>E-L82F</v>
      </c>
    </row>
    <row r="222" spans="1:35">
      <c r="A222" t="s">
        <v>608</v>
      </c>
      <c r="B222" t="s">
        <v>609</v>
      </c>
      <c r="C222" t="s">
        <v>231</v>
      </c>
      <c r="D222" t="s">
        <v>29</v>
      </c>
      <c r="E222" t="s">
        <v>232</v>
      </c>
      <c r="F222" t="s">
        <v>91</v>
      </c>
      <c r="G222" t="s">
        <v>38</v>
      </c>
      <c r="H222">
        <v>85</v>
      </c>
      <c r="I222">
        <v>178</v>
      </c>
      <c r="J222">
        <v>85</v>
      </c>
      <c r="K222">
        <v>84</v>
      </c>
      <c r="L222" t="s">
        <v>33</v>
      </c>
      <c r="M222" t="s">
        <v>609</v>
      </c>
      <c r="N222" t="s">
        <v>92</v>
      </c>
      <c r="O222" t="s">
        <v>93</v>
      </c>
      <c r="P222" t="s">
        <v>94</v>
      </c>
      <c r="Q222" t="s">
        <v>33</v>
      </c>
      <c r="R222" t="s">
        <v>95</v>
      </c>
      <c r="S222">
        <v>85</v>
      </c>
      <c r="T222" t="s">
        <v>33</v>
      </c>
      <c r="U222" t="s">
        <v>39</v>
      </c>
      <c r="V222" t="s">
        <v>558</v>
      </c>
      <c r="W222" t="s">
        <v>559</v>
      </c>
      <c r="X222" t="s">
        <v>559</v>
      </c>
      <c r="Y222">
        <v>-0.192</v>
      </c>
      <c r="Z222">
        <v>0.021271206</v>
      </c>
      <c r="AA222" t="s">
        <v>107</v>
      </c>
      <c r="AB222" t="s">
        <v>34</v>
      </c>
      <c r="AC222" t="s">
        <v>35</v>
      </c>
      <c r="AD222" t="s">
        <v>36</v>
      </c>
      <c r="AE222" t="s">
        <v>37</v>
      </c>
      <c r="AF222" t="str">
        <f t="shared" si="9"/>
        <v>non-charge-altering-6kiu</v>
      </c>
      <c r="AG222" t="s">
        <v>92</v>
      </c>
      <c r="AH222" t="s">
        <v>38</v>
      </c>
      <c r="AI222" t="str">
        <f t="shared" si="8"/>
        <v>E-F84L</v>
      </c>
    </row>
    <row r="223" spans="1:35">
      <c r="A223" t="s">
        <v>610</v>
      </c>
      <c r="B223" t="s">
        <v>611</v>
      </c>
      <c r="C223" t="s">
        <v>231</v>
      </c>
      <c r="D223" t="s">
        <v>29</v>
      </c>
      <c r="E223" t="s">
        <v>232</v>
      </c>
      <c r="F223" t="s">
        <v>91</v>
      </c>
      <c r="G223" t="s">
        <v>38</v>
      </c>
      <c r="H223">
        <v>85</v>
      </c>
      <c r="I223">
        <v>178</v>
      </c>
      <c r="J223">
        <v>85</v>
      </c>
      <c r="K223">
        <v>84</v>
      </c>
      <c r="L223" t="s">
        <v>33</v>
      </c>
      <c r="M223" t="s">
        <v>611</v>
      </c>
      <c r="N223" t="s">
        <v>101</v>
      </c>
      <c r="O223" t="s">
        <v>93</v>
      </c>
      <c r="P223" t="s">
        <v>94</v>
      </c>
      <c r="Q223" t="s">
        <v>33</v>
      </c>
      <c r="R223" t="s">
        <v>95</v>
      </c>
      <c r="S223">
        <v>85</v>
      </c>
      <c r="T223" t="s">
        <v>33</v>
      </c>
      <c r="U223" t="s">
        <v>39</v>
      </c>
      <c r="V223" t="s">
        <v>558</v>
      </c>
      <c r="W223" t="s">
        <v>559</v>
      </c>
      <c r="X223" t="s">
        <v>559</v>
      </c>
      <c r="Y223">
        <v>-0.258</v>
      </c>
      <c r="Z223">
        <v>0.021271206</v>
      </c>
      <c r="AA223" t="s">
        <v>107</v>
      </c>
      <c r="AB223" t="s">
        <v>34</v>
      </c>
      <c r="AC223" t="s">
        <v>35</v>
      </c>
      <c r="AD223" t="s">
        <v>36</v>
      </c>
      <c r="AE223" t="s">
        <v>37</v>
      </c>
      <c r="AF223" t="str">
        <f t="shared" si="9"/>
        <v>non-charge-altering-6kiw</v>
      </c>
      <c r="AG223" t="s">
        <v>101</v>
      </c>
      <c r="AH223" t="s">
        <v>38</v>
      </c>
      <c r="AI223" t="str">
        <f t="shared" si="8"/>
        <v>E-F84L</v>
      </c>
    </row>
    <row r="224" spans="1:35">
      <c r="A224" t="s">
        <v>612</v>
      </c>
      <c r="B224" t="s">
        <v>613</v>
      </c>
      <c r="C224" t="s">
        <v>231</v>
      </c>
      <c r="D224" t="s">
        <v>29</v>
      </c>
      <c r="E224" t="s">
        <v>232</v>
      </c>
      <c r="F224" t="s">
        <v>91</v>
      </c>
      <c r="G224" t="s">
        <v>38</v>
      </c>
      <c r="H224">
        <v>87</v>
      </c>
      <c r="I224">
        <v>180</v>
      </c>
      <c r="J224">
        <v>87</v>
      </c>
      <c r="K224">
        <v>86</v>
      </c>
      <c r="L224" t="s">
        <v>46</v>
      </c>
      <c r="M224" t="s">
        <v>613</v>
      </c>
      <c r="N224" t="s">
        <v>92</v>
      </c>
      <c r="O224" t="s">
        <v>93</v>
      </c>
      <c r="P224" t="s">
        <v>94</v>
      </c>
      <c r="Q224" t="s">
        <v>46</v>
      </c>
      <c r="R224" t="s">
        <v>95</v>
      </c>
      <c r="S224">
        <v>87</v>
      </c>
      <c r="T224" t="s">
        <v>46</v>
      </c>
      <c r="U224" t="s">
        <v>41</v>
      </c>
      <c r="V224" t="s">
        <v>564</v>
      </c>
      <c r="W224" t="s">
        <v>565</v>
      </c>
      <c r="X224" t="s">
        <v>565</v>
      </c>
      <c r="Y224">
        <v>0.39</v>
      </c>
      <c r="Z224">
        <v>0.336820728</v>
      </c>
      <c r="AA224" t="s">
        <v>95</v>
      </c>
      <c r="AB224" t="s">
        <v>34</v>
      </c>
      <c r="AC224" t="s">
        <v>35</v>
      </c>
      <c r="AD224" t="s">
        <v>36</v>
      </c>
      <c r="AE224" t="s">
        <v>37</v>
      </c>
      <c r="AF224" t="str">
        <f t="shared" si="9"/>
        <v>non-charge-altering-6kiu</v>
      </c>
      <c r="AG224" t="s">
        <v>92</v>
      </c>
      <c r="AH224" t="s">
        <v>38</v>
      </c>
      <c r="AI224" t="str">
        <f t="shared" si="8"/>
        <v>E-S86N</v>
      </c>
    </row>
    <row r="225" spans="1:35">
      <c r="A225" t="s">
        <v>614</v>
      </c>
      <c r="B225" t="s">
        <v>613</v>
      </c>
      <c r="C225" t="s">
        <v>231</v>
      </c>
      <c r="D225" t="s">
        <v>29</v>
      </c>
      <c r="E225" t="s">
        <v>232</v>
      </c>
      <c r="F225" t="s">
        <v>91</v>
      </c>
      <c r="G225" t="s">
        <v>38</v>
      </c>
      <c r="H225">
        <v>87</v>
      </c>
      <c r="I225">
        <v>180</v>
      </c>
      <c r="J225">
        <v>87</v>
      </c>
      <c r="K225">
        <v>86</v>
      </c>
      <c r="L225" t="s">
        <v>46</v>
      </c>
      <c r="M225" t="s">
        <v>613</v>
      </c>
      <c r="N225" t="s">
        <v>92</v>
      </c>
      <c r="O225" t="s">
        <v>93</v>
      </c>
      <c r="P225" t="s">
        <v>94</v>
      </c>
      <c r="Q225" t="s">
        <v>46</v>
      </c>
      <c r="R225" t="s">
        <v>95</v>
      </c>
      <c r="S225">
        <v>87</v>
      </c>
      <c r="T225" t="s">
        <v>46</v>
      </c>
      <c r="U225" t="s">
        <v>47</v>
      </c>
      <c r="V225" t="s">
        <v>567</v>
      </c>
      <c r="W225" t="s">
        <v>568</v>
      </c>
      <c r="X225" t="s">
        <v>568</v>
      </c>
      <c r="Y225">
        <v>0.39</v>
      </c>
      <c r="Z225">
        <v>0.336820728</v>
      </c>
      <c r="AA225" t="s">
        <v>95</v>
      </c>
      <c r="AB225" t="s">
        <v>34</v>
      </c>
      <c r="AC225" t="s">
        <v>35</v>
      </c>
      <c r="AD225" t="s">
        <v>36</v>
      </c>
      <c r="AE225" t="s">
        <v>37</v>
      </c>
      <c r="AF225" t="str">
        <f t="shared" si="9"/>
        <v>non-charge-altering-6kiu</v>
      </c>
      <c r="AG225" t="s">
        <v>92</v>
      </c>
      <c r="AH225" t="s">
        <v>38</v>
      </c>
      <c r="AI225" t="str">
        <f t="shared" si="8"/>
        <v>E-S86T</v>
      </c>
    </row>
    <row r="226" spans="1:35">
      <c r="A226" t="s">
        <v>615</v>
      </c>
      <c r="B226" t="s">
        <v>616</v>
      </c>
      <c r="C226" t="s">
        <v>231</v>
      </c>
      <c r="D226" t="s">
        <v>29</v>
      </c>
      <c r="E226" t="s">
        <v>232</v>
      </c>
      <c r="F226" t="s">
        <v>91</v>
      </c>
      <c r="G226" t="s">
        <v>38</v>
      </c>
      <c r="H226">
        <v>87</v>
      </c>
      <c r="I226">
        <v>180</v>
      </c>
      <c r="J226">
        <v>87</v>
      </c>
      <c r="K226">
        <v>86</v>
      </c>
      <c r="L226" t="s">
        <v>46</v>
      </c>
      <c r="M226" t="s">
        <v>616</v>
      </c>
      <c r="N226" t="s">
        <v>101</v>
      </c>
      <c r="O226" t="s">
        <v>93</v>
      </c>
      <c r="P226" t="s">
        <v>94</v>
      </c>
      <c r="Q226" t="s">
        <v>46</v>
      </c>
      <c r="R226" t="s">
        <v>95</v>
      </c>
      <c r="S226">
        <v>87</v>
      </c>
      <c r="T226" t="s">
        <v>46</v>
      </c>
      <c r="U226" t="s">
        <v>41</v>
      </c>
      <c r="V226" t="s">
        <v>564</v>
      </c>
      <c r="W226" t="s">
        <v>565</v>
      </c>
      <c r="X226" t="s">
        <v>565</v>
      </c>
      <c r="Y226">
        <v>0.339</v>
      </c>
      <c r="Z226">
        <v>0.336820728</v>
      </c>
      <c r="AA226" t="s">
        <v>95</v>
      </c>
      <c r="AB226" t="s">
        <v>34</v>
      </c>
      <c r="AC226" t="s">
        <v>35</v>
      </c>
      <c r="AD226" t="s">
        <v>36</v>
      </c>
      <c r="AE226" t="s">
        <v>37</v>
      </c>
      <c r="AF226" t="str">
        <f t="shared" si="9"/>
        <v>non-charge-altering-6kiw</v>
      </c>
      <c r="AG226" t="s">
        <v>101</v>
      </c>
      <c r="AH226" t="s">
        <v>38</v>
      </c>
      <c r="AI226" t="str">
        <f t="shared" si="8"/>
        <v>E-S86N</v>
      </c>
    </row>
    <row r="227" spans="1:35">
      <c r="A227" t="s">
        <v>617</v>
      </c>
      <c r="B227" t="s">
        <v>616</v>
      </c>
      <c r="C227" t="s">
        <v>231</v>
      </c>
      <c r="D227" t="s">
        <v>29</v>
      </c>
      <c r="E227" t="s">
        <v>232</v>
      </c>
      <c r="F227" t="s">
        <v>91</v>
      </c>
      <c r="G227" t="s">
        <v>38</v>
      </c>
      <c r="H227">
        <v>87</v>
      </c>
      <c r="I227">
        <v>180</v>
      </c>
      <c r="J227">
        <v>87</v>
      </c>
      <c r="K227">
        <v>86</v>
      </c>
      <c r="L227" t="s">
        <v>46</v>
      </c>
      <c r="M227" t="s">
        <v>616</v>
      </c>
      <c r="N227" t="s">
        <v>101</v>
      </c>
      <c r="O227" t="s">
        <v>93</v>
      </c>
      <c r="P227" t="s">
        <v>94</v>
      </c>
      <c r="Q227" t="s">
        <v>46</v>
      </c>
      <c r="R227" t="s">
        <v>95</v>
      </c>
      <c r="S227">
        <v>87</v>
      </c>
      <c r="T227" t="s">
        <v>46</v>
      </c>
      <c r="U227" t="s">
        <v>47</v>
      </c>
      <c r="V227" t="s">
        <v>567</v>
      </c>
      <c r="W227" t="s">
        <v>568</v>
      </c>
      <c r="X227" t="s">
        <v>568</v>
      </c>
      <c r="Y227">
        <v>0.339</v>
      </c>
      <c r="Z227">
        <v>0.336820728</v>
      </c>
      <c r="AA227" t="s">
        <v>95</v>
      </c>
      <c r="AB227" t="s">
        <v>34</v>
      </c>
      <c r="AC227" t="s">
        <v>35</v>
      </c>
      <c r="AD227" t="s">
        <v>36</v>
      </c>
      <c r="AE227" t="s">
        <v>37</v>
      </c>
      <c r="AF227" t="str">
        <f t="shared" si="9"/>
        <v>non-charge-altering-6kiw</v>
      </c>
      <c r="AG227" t="s">
        <v>101</v>
      </c>
      <c r="AH227" t="s">
        <v>38</v>
      </c>
      <c r="AI227" t="str">
        <f t="shared" si="8"/>
        <v>E-S86T</v>
      </c>
    </row>
  </sheetData>
  <autoFilter xmlns:etc="http://www.wps.cn/officeDocument/2017/etCustomData" ref="A1:AI227" etc:filterBottomFollowUsedRange="0">
    <sortState ref="A1:AI227">
      <sortCondition ref="AE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HPI</vt:lpstr>
      <vt:lpstr>HHI</vt:lpstr>
      <vt:lpstr>HDI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张后芳</cp:lastModifiedBy>
  <dcterms:created xsi:type="dcterms:W3CDTF">2025-11-22T19:22:00Z</dcterms:created>
  <dcterms:modified xsi:type="dcterms:W3CDTF">2026-10-24T08:16:55Z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BAB2CCFE49B5BDB4B0051B69907D1A82_43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