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80" windowHeight="13692" activeTab="1"/>
  </bookViews>
  <sheets>
    <sheet name="HPI" sheetId="2" r:id="rId1"/>
    <sheet name="HHI" sheetId="3" r:id="rId2"/>
    <sheet name="HDI" sheetId="4" r:id="rId3"/>
  </sheets>
  <definedNames>
    <definedName name="_xlnm._FilterDatabase" localSheetId="0" hidden="1">HPI!$A$1:$P$61</definedName>
    <definedName name="_xlnm._FilterDatabase" localSheetId="1" hidden="1">HHI!$A$1:$P$375</definedName>
    <definedName name="_xlnm._FilterDatabase" localSheetId="2" hidden="1">HDI!$A$1:$AI$127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<sst xmlns="http://schemas.openxmlformats.org/spreadsheetml/2006/main" count="8119" uniqueCount="449">
  <si>
    <t>PDB</t>
  </si>
  <si>
    <t>Structure_file</t>
  </si>
  <si>
    <t>Chain</t>
  </si>
  <si>
    <t>Position</t>
  </si>
  <si>
    <t>Wild</t>
  </si>
  <si>
    <t>Mutant</t>
  </si>
  <si>
    <t>ddG(kcal/mol)</t>
  </si>
  <si>
    <t>Type</t>
  </si>
  <si>
    <t>mution_residue_type</t>
  </si>
  <si>
    <t>charge_type</t>
  </si>
  <si>
    <t>mutation_charge_type</t>
  </si>
  <si>
    <t>residue_type</t>
  </si>
  <si>
    <t>residue_type-copy</t>
  </si>
  <si>
    <t>histone</t>
  </si>
  <si>
    <t>structure-mutation</t>
  </si>
  <si>
    <t>3tu4_out</t>
  </si>
  <si>
    <t>../2_1_download_pdb/3tu4.pdb</t>
  </si>
  <si>
    <t>D</t>
  </si>
  <si>
    <t>E</t>
  </si>
  <si>
    <t>Q</t>
  </si>
  <si>
    <t>Destabilizing</t>
  </si>
  <si>
    <t>negative to no charge</t>
  </si>
  <si>
    <t>Type 1</t>
  </si>
  <si>
    <t>a charged residue mutated to a neutral residue</t>
  </si>
  <si>
    <t>charge-altering</t>
  </si>
  <si>
    <t>H2B</t>
  </si>
  <si>
    <t>H</t>
  </si>
  <si>
    <t>B</t>
  </si>
  <si>
    <t>L</t>
  </si>
  <si>
    <t>positive to no charge</t>
  </si>
  <si>
    <t>H4</t>
  </si>
  <si>
    <t>F</t>
  </si>
  <si>
    <t>A</t>
  </si>
  <si>
    <t>H3</t>
  </si>
  <si>
    <t>N</t>
  </si>
  <si>
    <t>K</t>
  </si>
  <si>
    <t>negative to positive</t>
  </si>
  <si>
    <t>Type 3</t>
  </si>
  <si>
    <t>flip the net charge of residues</t>
  </si>
  <si>
    <t>C</t>
  </si>
  <si>
    <t>H2A</t>
  </si>
  <si>
    <t>G</t>
  </si>
  <si>
    <t>V</t>
  </si>
  <si>
    <t>no charge to no charge</t>
  </si>
  <si>
    <t>Type 4</t>
  </si>
  <si>
    <t>non-charge-altering mutation</t>
  </si>
  <si>
    <t>non-charge-altering</t>
  </si>
  <si>
    <t>T</t>
  </si>
  <si>
    <t>S</t>
  </si>
  <si>
    <t>R</t>
  </si>
  <si>
    <t>positive to positive</t>
  </si>
  <si>
    <t>P</t>
  </si>
  <si>
    <t>negative to negative</t>
  </si>
  <si>
    <t>M</t>
  </si>
  <si>
    <t>Y</t>
  </si>
  <si>
    <t>no charge to negative</t>
  </si>
  <si>
    <t>Type 2</t>
  </si>
  <si>
    <t>a neutral residue mutated to a charged residue</t>
  </si>
  <si>
    <t>Stabilizing</t>
  </si>
  <si>
    <t>no charge to positive</t>
  </si>
  <si>
    <t>positive to negative</t>
  </si>
  <si>
    <t>W</t>
  </si>
  <si>
    <t>I</t>
  </si>
  <si>
    <t>pdb-chain-structure_mutation</t>
  </si>
  <si>
    <t>histone_residue</t>
  </si>
  <si>
    <t>uniprot_id</t>
  </si>
  <si>
    <t>chain</t>
  </si>
  <si>
    <t>histone_organism</t>
  </si>
  <si>
    <t>histone_uniprot_position</t>
  </si>
  <si>
    <t>align_site</t>
  </si>
  <si>
    <t>canonical_site</t>
  </si>
  <si>
    <t>histone_structure_position</t>
  </si>
  <si>
    <t>residue</t>
  </si>
  <si>
    <t>nucleosome</t>
  </si>
  <si>
    <t>partner</t>
  </si>
  <si>
    <t>wild_residue</t>
  </si>
  <si>
    <t>Whether residue and wild_residue same</t>
  </si>
  <si>
    <t>canonical_residue</t>
  </si>
  <si>
    <t>mutant_residue</t>
  </si>
  <si>
    <t>new_mutation(canonical_site)</t>
  </si>
  <si>
    <t>new_mutation(canonical_site-1)</t>
  </si>
  <si>
    <t>structure_mutation</t>
  </si>
  <si>
    <t>Predict_DDG (kcal/mol)</t>
  </si>
  <si>
    <t>sasa(nucleosome)/sasa(residue)</t>
  </si>
  <si>
    <t>Whether residue in surface</t>
  </si>
  <si>
    <t>3tu4-D-E32A</t>
  </si>
  <si>
    <t>D_36_3tu4</t>
  </si>
  <si>
    <t>p02281</t>
  </si>
  <si>
    <t>Histone H2B 1.1</t>
  </si>
  <si>
    <t>Xenopus laevis</t>
  </si>
  <si>
    <t>3tu4</t>
  </si>
  <si>
    <t>nucleosome:1</t>
  </si>
  <si>
    <t>DNA</t>
  </si>
  <si>
    <t>yes</t>
  </si>
  <si>
    <t>E36A</t>
  </si>
  <si>
    <t>E35A</t>
  </si>
  <si>
    <t>E32A</t>
  </si>
  <si>
    <t>3tu4-D-R83P</t>
  </si>
  <si>
    <t>D_87_3tu4</t>
  </si>
  <si>
    <t>R87P</t>
  </si>
  <si>
    <t>R86P</t>
  </si>
  <si>
    <t>R83P</t>
  </si>
  <si>
    <t>no</t>
  </si>
  <si>
    <t>3tu4-H-E32A</t>
  </si>
  <si>
    <t>H_36_3tu4</t>
  </si>
  <si>
    <t>3tu4-H-R83P</t>
  </si>
  <si>
    <t>H_87_3tu4</t>
  </si>
  <si>
    <t>3tu4-C-R17P</t>
  </si>
  <si>
    <t>C_18_3tu4</t>
  </si>
  <si>
    <t>p06897</t>
  </si>
  <si>
    <t>Histone H2A type 1</t>
  </si>
  <si>
    <t>R18P</t>
  </si>
  <si>
    <t>R17P</t>
  </si>
  <si>
    <t>3tu4-C-R29P</t>
  </si>
  <si>
    <t>C_30_3tu4</t>
  </si>
  <si>
    <t>R30P</t>
  </si>
  <si>
    <t>R29P</t>
  </si>
  <si>
    <t>3tu4-C-R29Q</t>
  </si>
  <si>
    <t>R30Q</t>
  </si>
  <si>
    <t>R29Q</t>
  </si>
  <si>
    <t>3tu4-C-H31Y</t>
  </si>
  <si>
    <t>C_32_3tu4</t>
  </si>
  <si>
    <t>H32Y</t>
  </si>
  <si>
    <t>H31Y</t>
  </si>
  <si>
    <t>3tu4-C-R35L</t>
  </si>
  <si>
    <t>C_36_3tu4</t>
  </si>
  <si>
    <t>R36L</t>
  </si>
  <si>
    <t>R35L</t>
  </si>
  <si>
    <t>3tu4-C-K74N</t>
  </si>
  <si>
    <t>C_75_3tu4</t>
  </si>
  <si>
    <t>K75N</t>
  </si>
  <si>
    <t>K74N</t>
  </si>
  <si>
    <t>3tu4-C-K75N</t>
  </si>
  <si>
    <t>C_76_3tu4</t>
  </si>
  <si>
    <t>K76N</t>
  </si>
  <si>
    <t>3tu4-C-R77C</t>
  </si>
  <si>
    <t>C_78_3tu4</t>
  </si>
  <si>
    <t>R78C</t>
  </si>
  <si>
    <t>R77C</t>
  </si>
  <si>
    <t>3tu4-G-R17P</t>
  </si>
  <si>
    <t>G_18_3tu4</t>
  </si>
  <si>
    <t>3tu4-G-R29P</t>
  </si>
  <si>
    <t>G_30_3tu4</t>
  </si>
  <si>
    <t>3tu4-G-R29Q</t>
  </si>
  <si>
    <t>3tu4-G-H31Y</t>
  </si>
  <si>
    <t>G_32_3tu4</t>
  </si>
  <si>
    <t>3tu4-G-R35L</t>
  </si>
  <si>
    <t>G_36_3tu4</t>
  </si>
  <si>
    <t>3tu4-G-K74N</t>
  </si>
  <si>
    <t>G_75_3tu4</t>
  </si>
  <si>
    <t>3tu4-G-K75N</t>
  </si>
  <si>
    <t>G_76_3tu4</t>
  </si>
  <si>
    <t>3tu4-G-R77C</t>
  </si>
  <si>
    <t>G_78_3tu4</t>
  </si>
  <si>
    <t>3tu4-B-R39G</t>
  </si>
  <si>
    <t>B_40_3tu4</t>
  </si>
  <si>
    <t>p62799</t>
  </si>
  <si>
    <t>Histone H4</t>
  </si>
  <si>
    <t>R40G</t>
  </si>
  <si>
    <t>R39G</t>
  </si>
  <si>
    <t>3tu4-B-R39C</t>
  </si>
  <si>
    <t>R40C</t>
  </si>
  <si>
    <t>R39C</t>
  </si>
  <si>
    <t>3tu4-B-R45Q</t>
  </si>
  <si>
    <t>B_46_3tu4</t>
  </si>
  <si>
    <t>R46Q</t>
  </si>
  <si>
    <t>R45Q</t>
  </si>
  <si>
    <t>3tu4-B-R78C</t>
  </si>
  <si>
    <t>B_79_3tu4</t>
  </si>
  <si>
    <t>R79C</t>
  </si>
  <si>
    <t>3tu4-B-K79N</t>
  </si>
  <si>
    <t>B_80_3tu4</t>
  </si>
  <si>
    <t>K80N</t>
  </si>
  <si>
    <t>K79N</t>
  </si>
  <si>
    <t>3tu4-F-R39G</t>
  </si>
  <si>
    <t>F_40_3tu4</t>
  </si>
  <si>
    <t>3tu4-F-R39C</t>
  </si>
  <si>
    <t>3tu4-F-R45Q</t>
  </si>
  <si>
    <t>F_46_3tu4</t>
  </si>
  <si>
    <t>3tu4-F-R78C</t>
  </si>
  <si>
    <t>F_79_3tu4</t>
  </si>
  <si>
    <t>3tu4-F-K79N</t>
  </si>
  <si>
    <t>F_80_3tu4</t>
  </si>
  <si>
    <t>3tu4-A-R116Q</t>
  </si>
  <si>
    <t>A_117_3tu4</t>
  </si>
  <si>
    <t>p84233</t>
  </si>
  <si>
    <t>Histone H3.2</t>
  </si>
  <si>
    <t>R117Q</t>
  </si>
  <si>
    <t>R116Q</t>
  </si>
  <si>
    <t>3tu4-A-R116P</t>
  </si>
  <si>
    <t>R117P</t>
  </si>
  <si>
    <t>R116P</t>
  </si>
  <si>
    <t>3tu4-A-R40G</t>
  </si>
  <si>
    <t>A_41_3tu4</t>
  </si>
  <si>
    <t>R41G</t>
  </si>
  <si>
    <t>3tu4-A-R40C</t>
  </si>
  <si>
    <t>R41C</t>
  </si>
  <si>
    <t>3tu4-A-R42C</t>
  </si>
  <si>
    <t>A_43_3tu4</t>
  </si>
  <si>
    <t>R43C</t>
  </si>
  <si>
    <t>R42C</t>
  </si>
  <si>
    <t>3tu4-A-E50Q</t>
  </si>
  <si>
    <t>A_51_3tu4</t>
  </si>
  <si>
    <t>E51Q</t>
  </si>
  <si>
    <t>E50Q</t>
  </si>
  <si>
    <t>3tu4-A-K64T</t>
  </si>
  <si>
    <t>A_65_3tu4</t>
  </si>
  <si>
    <t>K65T</t>
  </si>
  <si>
    <t>K64T</t>
  </si>
  <si>
    <t>3tu4-A-R72P</t>
  </si>
  <si>
    <t>A_73_3tu4</t>
  </si>
  <si>
    <t>R73P</t>
  </si>
  <si>
    <t>R72P</t>
  </si>
  <si>
    <t>3tu4-A-R72Q</t>
  </si>
  <si>
    <t>R73Q</t>
  </si>
  <si>
    <t>R72Q</t>
  </si>
  <si>
    <t>3tu4-A-D81N</t>
  </si>
  <si>
    <t>A_82_3tu4</t>
  </si>
  <si>
    <t>D82N</t>
  </si>
  <si>
    <t>D81N</t>
  </si>
  <si>
    <t>3tu4-A-R83C</t>
  </si>
  <si>
    <t>A_84_3tu4</t>
  </si>
  <si>
    <t>R84C</t>
  </si>
  <si>
    <t>R83C</t>
  </si>
  <si>
    <t>3tu4-A-R83S</t>
  </si>
  <si>
    <t>R84S</t>
  </si>
  <si>
    <t>R83S</t>
  </si>
  <si>
    <t>3tu4-E-R116Q</t>
  </si>
  <si>
    <t>E_117_3tu4</t>
  </si>
  <si>
    <t>3tu4-E-R116P</t>
  </si>
  <si>
    <t>3tu4-E-R40G</t>
  </si>
  <si>
    <t>E_41_3tu4</t>
  </si>
  <si>
    <t>3tu4-E-R40C</t>
  </si>
  <si>
    <t>3tu4-E-R42C</t>
  </si>
  <si>
    <t>E_43_3tu4</t>
  </si>
  <si>
    <t>3tu4-E-E50Q</t>
  </si>
  <si>
    <t>E_51_3tu4</t>
  </si>
  <si>
    <t>3tu4-E-K64T</t>
  </si>
  <si>
    <t>E_65_3tu4</t>
  </si>
  <si>
    <t>3tu4-E-R72P</t>
  </si>
  <si>
    <t>E_73_3tu4</t>
  </si>
  <si>
    <t>3tu4-E-R72Q</t>
  </si>
  <si>
    <t>3tu4-E-D81N</t>
  </si>
  <si>
    <t>E_82_3tu4</t>
  </si>
  <si>
    <t>3tu4-E-R83C</t>
  </si>
  <si>
    <t>E_84_3tu4</t>
  </si>
  <si>
    <t>3tu4-E-R83S</t>
  </si>
  <si>
    <t>3tu4-D-S33R</t>
  </si>
  <si>
    <t>D_37_3tu4</t>
  </si>
  <si>
    <t>S37R</t>
  </si>
  <si>
    <t>S36R</t>
  </si>
  <si>
    <t>S33R</t>
  </si>
  <si>
    <t>3tu4-D-G50D</t>
  </si>
  <si>
    <t>D_54_3tu4</t>
  </si>
  <si>
    <t>G54D</t>
  </si>
  <si>
    <t>G53D</t>
  </si>
  <si>
    <t>G50D</t>
  </si>
  <si>
    <t>3tu4-H-S33R</t>
  </si>
  <si>
    <t>H_37_3tu4</t>
  </si>
  <si>
    <t>3tu4-H-G50D</t>
  </si>
  <si>
    <t>H_54_3tu4</t>
  </si>
  <si>
    <t>3tu4-A-G44D</t>
  </si>
  <si>
    <t>A_45_3tu4</t>
  </si>
  <si>
    <t>G45D</t>
  </si>
  <si>
    <t>G44D</t>
  </si>
  <si>
    <t>3tu4-A-A47E</t>
  </si>
  <si>
    <t>A_48_3tu4</t>
  </si>
  <si>
    <t>A48E</t>
  </si>
  <si>
    <t>A47E</t>
  </si>
  <si>
    <t>3tu4-E-G44D</t>
  </si>
  <si>
    <t>E_45_3tu4</t>
  </si>
  <si>
    <t>3tu4-E-A47E</t>
  </si>
  <si>
    <t>E_48_3tu4</t>
  </si>
  <si>
    <t>3tu4-A-E50K</t>
  </si>
  <si>
    <t>E51K</t>
  </si>
  <si>
    <t>E50K</t>
  </si>
  <si>
    <t>3tu4-A-D81H</t>
  </si>
  <si>
    <t>D82H</t>
  </si>
  <si>
    <t>D81H</t>
  </si>
  <si>
    <t>3tu4-E-E50K</t>
  </si>
  <si>
    <t>3tu4-E-D81H</t>
  </si>
  <si>
    <t>3tu4-D-S33N</t>
  </si>
  <si>
    <t>S37N</t>
  </si>
  <si>
    <t>S36N</t>
  </si>
  <si>
    <t>S33N</t>
  </si>
  <si>
    <t>3tu4-D-Y39C</t>
  </si>
  <si>
    <t>D_43_3tu4</t>
  </si>
  <si>
    <t>Y43C</t>
  </si>
  <si>
    <t>Y42C</t>
  </si>
  <si>
    <t>Y39C</t>
  </si>
  <si>
    <t>3tu4-D-G50A</t>
  </si>
  <si>
    <t>G54A</t>
  </si>
  <si>
    <t>G53A</t>
  </si>
  <si>
    <t>G50A</t>
  </si>
  <si>
    <t>3tu4-D-G50C</t>
  </si>
  <si>
    <t>G54C</t>
  </si>
  <si>
    <t>G53C</t>
  </si>
  <si>
    <t>G50C</t>
  </si>
  <si>
    <t>3tu4-D-S52L</t>
  </si>
  <si>
    <t>D_56_3tu4</t>
  </si>
  <si>
    <t>S56L</t>
  </si>
  <si>
    <t>S55L</t>
  </si>
  <si>
    <t>S52L</t>
  </si>
  <si>
    <t>3tu4-D-S84W</t>
  </si>
  <si>
    <t>D_88_3tu4</t>
  </si>
  <si>
    <t>S88W</t>
  </si>
  <si>
    <t>S87W</t>
  </si>
  <si>
    <t>S84W</t>
  </si>
  <si>
    <t>3tu4-D-T85I</t>
  </si>
  <si>
    <t>D_89_3tu4</t>
  </si>
  <si>
    <t>T89I</t>
  </si>
  <si>
    <t>T88I</t>
  </si>
  <si>
    <t>T85I</t>
  </si>
  <si>
    <t>3tu4-H-S33N</t>
  </si>
  <si>
    <t>3tu4-H-Y39C</t>
  </si>
  <si>
    <t>H_43_3tu4</t>
  </si>
  <si>
    <t>3tu4-H-G50A</t>
  </si>
  <si>
    <t>3tu4-H-G50C</t>
  </si>
  <si>
    <t>3tu4-H-S52L</t>
  </si>
  <si>
    <t>H_56_3tu4</t>
  </si>
  <si>
    <t>3tu4-H-S84W</t>
  </si>
  <si>
    <t>H_88_3tu4</t>
  </si>
  <si>
    <t>3tu4-H-T85I</t>
  </si>
  <si>
    <t>H_89_3tu4</t>
  </si>
  <si>
    <t>3tu4-C-A12T</t>
  </si>
  <si>
    <t>C_13_3tu4</t>
  </si>
  <si>
    <t>A13T</t>
  </si>
  <si>
    <t>A12T</t>
  </si>
  <si>
    <t>3tu4-C-P26Q</t>
  </si>
  <si>
    <t>C_27_3tu4</t>
  </si>
  <si>
    <t>P27Q</t>
  </si>
  <si>
    <t>P26Q</t>
  </si>
  <si>
    <t>3tu4-C-G28S</t>
  </si>
  <si>
    <t>C_29_3tu4</t>
  </si>
  <si>
    <t>G29S</t>
  </si>
  <si>
    <t>G28S</t>
  </si>
  <si>
    <t>3tu4-C-V43L</t>
  </si>
  <si>
    <t>C_44_3tu4</t>
  </si>
  <si>
    <t>V44L</t>
  </si>
  <si>
    <t>V43L</t>
  </si>
  <si>
    <t>3tu4-C-K74R</t>
  </si>
  <si>
    <t>K75R</t>
  </si>
  <si>
    <t>K74R</t>
  </si>
  <si>
    <t>3tu4-G-A12T</t>
  </si>
  <si>
    <t>G_13_3tu4</t>
  </si>
  <si>
    <t>3tu4-G-P26Q</t>
  </si>
  <si>
    <t>G_27_3tu4</t>
  </si>
  <si>
    <t>3tu4-G-G28S</t>
  </si>
  <si>
    <t>G_29_3tu4</t>
  </si>
  <si>
    <t>3tu4-G-V43L</t>
  </si>
  <si>
    <t>G_44_3tu4</t>
  </si>
  <si>
    <t>3tu4-G-K74R</t>
  </si>
  <si>
    <t>3tu4-B-R17H</t>
  </si>
  <si>
    <t>B_18_3tu4</t>
  </si>
  <si>
    <t>R18H</t>
  </si>
  <si>
    <t>R17H</t>
  </si>
  <si>
    <t>none</t>
  </si>
  <si>
    <t>3tu4-B-G48A</t>
  </si>
  <si>
    <t>B_49_3tu4</t>
  </si>
  <si>
    <t>G49A</t>
  </si>
  <si>
    <t>G48A</t>
  </si>
  <si>
    <t>3tu4-B-T80A</t>
  </si>
  <si>
    <t>B_81_3tu4</t>
  </si>
  <si>
    <t>T81A</t>
  </si>
  <si>
    <t>T80A</t>
  </si>
  <si>
    <t>3tu4-F-R17H</t>
  </si>
  <si>
    <t>F_18_3tu4</t>
  </si>
  <si>
    <t>3tu4-F-G48A</t>
  </si>
  <si>
    <t>F_49_3tu4</t>
  </si>
  <si>
    <t>3tu4-F-T80A</t>
  </si>
  <si>
    <t>F_81_3tu4</t>
  </si>
  <si>
    <t>3tu4-A-V117M</t>
  </si>
  <si>
    <t>A_118_3tu4</t>
  </si>
  <si>
    <t>V118M</t>
  </si>
  <si>
    <t>V117M</t>
  </si>
  <si>
    <t>3tu4-A-V117G</t>
  </si>
  <si>
    <t>V118G</t>
  </si>
  <si>
    <t>V117G</t>
  </si>
  <si>
    <t>3tu4-A-M120I</t>
  </si>
  <si>
    <t>A_121_3tu4</t>
  </si>
  <si>
    <t>M121I</t>
  </si>
  <si>
    <t>M120I</t>
  </si>
  <si>
    <t>3tu4-A-G44V</t>
  </si>
  <si>
    <t>G45V</t>
  </si>
  <si>
    <t>G44V</t>
  </si>
  <si>
    <t>3tu4-A-V46M</t>
  </si>
  <si>
    <t>A_47_3tu4</t>
  </si>
  <si>
    <t>V47M</t>
  </si>
  <si>
    <t>V46M</t>
  </si>
  <si>
    <t>3tu4-A-A47S</t>
  </si>
  <si>
    <t>A48S</t>
  </si>
  <si>
    <t>A47S</t>
  </si>
  <si>
    <t>3tu4-A-A47T</t>
  </si>
  <si>
    <t>A48T</t>
  </si>
  <si>
    <t>A47T</t>
  </si>
  <si>
    <t>3tu4-A-R49H</t>
  </si>
  <si>
    <t>A_50_3tu4</t>
  </si>
  <si>
    <t>R50H</t>
  </si>
  <si>
    <t>R49H</t>
  </si>
  <si>
    <t>3tu4-A-E50D</t>
  </si>
  <si>
    <t>E51D</t>
  </si>
  <si>
    <t>E50D</t>
  </si>
  <si>
    <t>3tu4-A-R63H</t>
  </si>
  <si>
    <t>A_64_3tu4</t>
  </si>
  <si>
    <t>R64H</t>
  </si>
  <si>
    <t>R63H</t>
  </si>
  <si>
    <t>3tu4-A-P66S</t>
  </si>
  <si>
    <t>A_67_3tu4</t>
  </si>
  <si>
    <t>P67S</t>
  </si>
  <si>
    <t>P66S</t>
  </si>
  <si>
    <t>3tu4-A-L82F</t>
  </si>
  <si>
    <t>A_83_3tu4</t>
  </si>
  <si>
    <t>L83F</t>
  </si>
  <si>
    <t>L82F</t>
  </si>
  <si>
    <t>3tu4-A-F84L</t>
  </si>
  <si>
    <t>A_85_3tu4</t>
  </si>
  <si>
    <t>F85L</t>
  </si>
  <si>
    <t>F84L</t>
  </si>
  <si>
    <t>3tu4-A-S86N</t>
  </si>
  <si>
    <t>A_87_3tu4</t>
  </si>
  <si>
    <t>S87N</t>
  </si>
  <si>
    <t>S86N</t>
  </si>
  <si>
    <t>3tu4-A-S86T</t>
  </si>
  <si>
    <t>S87T</t>
  </si>
  <si>
    <t>S86T</t>
  </si>
  <si>
    <t>3tu4-E-V117M</t>
  </si>
  <si>
    <t>E_118_3tu4</t>
  </si>
  <si>
    <t>3tu4-E-V117G</t>
  </si>
  <si>
    <t>3tu4-E-M120I</t>
  </si>
  <si>
    <t>E_121_3tu4</t>
  </si>
  <si>
    <t>3tu4-E-G44V</t>
  </si>
  <si>
    <t>3tu4-E-V46M</t>
  </si>
  <si>
    <t>E_47_3tu4</t>
  </si>
  <si>
    <t>3tu4-E-A47S</t>
  </si>
  <si>
    <t>3tu4-E-A47T</t>
  </si>
  <si>
    <t>3tu4-E-R49H</t>
  </si>
  <si>
    <t>E_50_3tu4</t>
  </si>
  <si>
    <t>3tu4-E-E50D</t>
  </si>
  <si>
    <t>3tu4-E-R63H</t>
  </si>
  <si>
    <t>E_64_3tu4</t>
  </si>
  <si>
    <t>3tu4-E-P66S</t>
  </si>
  <si>
    <t>E_67_3tu4</t>
  </si>
  <si>
    <t>3tu4-E-L82F</t>
  </si>
  <si>
    <t>E_83_3tu4</t>
  </si>
  <si>
    <t>3tu4-E-F84L</t>
  </si>
  <si>
    <t>E_85_3tu4</t>
  </si>
  <si>
    <t>3tu4-E-S86N</t>
  </si>
  <si>
    <t>E_87_3tu4</t>
  </si>
  <si>
    <t>3tu4-E-S86T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</si>
</sst>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1"/>
  <sheetViews>
    <sheetView zoomScale="115" zoomScaleNormal="115" workbookViewId="0">
      <selection activeCell="M2" sqref="M2:M61"/>
    </sheetView>
  </sheetViews>
  <sheetFormatPr defaultColWidth="8.7962962962963" defaultRowHeight="13.8"/>
  <cols>
    <col min="1" max="1" width="15.3981481481481" customWidth="1"/>
    <col min="13" max="13" width="20.9537037037037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0</v>
      </c>
      <c r="O1" t="s">
        <v>13</v>
      </c>
      <c r="P1" s="2" t="s">
        <v>14</v>
      </c>
    </row>
    <row r="2" spans="1:16">
      <c r="A2" s="1" t="s">
        <v>15</v>
      </c>
      <c r="B2" s="1" t="s">
        <v>16</v>
      </c>
      <c r="C2" s="1" t="s">
        <v>17</v>
      </c>
      <c r="D2" s="1">
        <v>110</v>
      </c>
      <c r="E2" s="1" t="s">
        <v>18</v>
      </c>
      <c r="F2" s="1" t="s">
        <v>19</v>
      </c>
      <c r="G2" s="1">
        <v>1.21</v>
      </c>
      <c r="H2" s="1" t="s">
        <v>20</v>
      </c>
      <c r="I2" t="s">
        <v>21</v>
      </c>
      <c r="J2" t="s">
        <v>22</v>
      </c>
      <c r="K2" t="s">
        <v>23</v>
      </c>
      <c r="L2" t="s">
        <v>24</v>
      </c>
      <c r="M2" t="str">
        <f>L2&amp;"-"&amp;IF(OR(C2="A",C2="B",C2="C",C2="D"),"copy1",IF(OR(C2="E",C2="F",C2="G",C2="H"),"copy2",""))</f>
        <v>charge-altering-copy1</v>
      </c>
      <c r="N2" t="str">
        <f t="shared" ref="N2:N61" si="0">LEFT(A2,4)</f>
        <v>3tu4</v>
      </c>
      <c r="O2" t="s">
        <v>25</v>
      </c>
      <c r="P2" t="str">
        <f t="shared" ref="P2:P61" si="1">O2&amp;" "&amp;E2&amp;D2&amp;F2</f>
        <v>H2B E110Q</v>
      </c>
    </row>
    <row r="3" spans="1:16">
      <c r="A3" s="1" t="s">
        <v>15</v>
      </c>
      <c r="B3" s="1" t="s">
        <v>16</v>
      </c>
      <c r="C3" s="1" t="s">
        <v>26</v>
      </c>
      <c r="D3" s="1">
        <v>110</v>
      </c>
      <c r="E3" s="1" t="s">
        <v>18</v>
      </c>
      <c r="F3" s="1" t="s">
        <v>19</v>
      </c>
      <c r="G3" s="1">
        <v>1.09</v>
      </c>
      <c r="H3" s="1" t="s">
        <v>20</v>
      </c>
      <c r="I3" t="s">
        <v>21</v>
      </c>
      <c r="J3" t="s">
        <v>22</v>
      </c>
      <c r="K3" t="s">
        <v>23</v>
      </c>
      <c r="L3" t="s">
        <v>24</v>
      </c>
      <c r="M3" t="str">
        <f t="shared" ref="M3:M34" si="2">L3&amp;"-"&amp;IF(OR(C3="A",C3="B",C3="C",C3="D"),"copy1",IF(OR(C3="E",C3="F",C3="G",C3="H"),"copy2",""))</f>
        <v>charge-altering-copy2</v>
      </c>
      <c r="N3" t="str">
        <f t="shared" si="0"/>
        <v>3tu4</v>
      </c>
      <c r="O3" t="s">
        <v>25</v>
      </c>
      <c r="P3" t="str">
        <f t="shared" si="1"/>
        <v>H2B E110Q</v>
      </c>
    </row>
    <row r="4" spans="1:16">
      <c r="A4" s="1" t="s">
        <v>15</v>
      </c>
      <c r="B4" s="1" t="s">
        <v>16</v>
      </c>
      <c r="C4" s="1" t="s">
        <v>27</v>
      </c>
      <c r="D4" s="1">
        <v>18</v>
      </c>
      <c r="E4" s="1" t="s">
        <v>26</v>
      </c>
      <c r="F4" s="1" t="s">
        <v>28</v>
      </c>
      <c r="G4" s="1">
        <v>1.29</v>
      </c>
      <c r="H4" s="1" t="s">
        <v>20</v>
      </c>
      <c r="I4" t="s">
        <v>29</v>
      </c>
      <c r="J4" t="s">
        <v>22</v>
      </c>
      <c r="K4" t="s">
        <v>23</v>
      </c>
      <c r="L4" t="s">
        <v>24</v>
      </c>
      <c r="M4" t="str">
        <f t="shared" si="2"/>
        <v>charge-altering-copy1</v>
      </c>
      <c r="N4" t="str">
        <f t="shared" si="0"/>
        <v>3tu4</v>
      </c>
      <c r="O4" t="s">
        <v>30</v>
      </c>
      <c r="P4" t="str">
        <f t="shared" si="1"/>
        <v>H4 H18L</v>
      </c>
    </row>
    <row r="5" spans="1:16">
      <c r="A5" s="1" t="s">
        <v>15</v>
      </c>
      <c r="B5" s="1" t="s">
        <v>16</v>
      </c>
      <c r="C5" s="1" t="s">
        <v>27</v>
      </c>
      <c r="D5" s="1">
        <v>74</v>
      </c>
      <c r="E5" s="1" t="s">
        <v>18</v>
      </c>
      <c r="F5" s="1" t="s">
        <v>19</v>
      </c>
      <c r="G5" s="1">
        <v>1.2</v>
      </c>
      <c r="H5" s="1" t="s">
        <v>20</v>
      </c>
      <c r="I5" t="s">
        <v>21</v>
      </c>
      <c r="J5" t="s">
        <v>22</v>
      </c>
      <c r="K5" t="s">
        <v>23</v>
      </c>
      <c r="L5" t="s">
        <v>24</v>
      </c>
      <c r="M5" t="str">
        <f t="shared" si="2"/>
        <v>charge-altering-copy1</v>
      </c>
      <c r="N5" t="str">
        <f t="shared" si="0"/>
        <v>3tu4</v>
      </c>
      <c r="O5" t="s">
        <v>30</v>
      </c>
      <c r="P5" t="str">
        <f t="shared" si="1"/>
        <v>H4 E74Q</v>
      </c>
    </row>
    <row r="6" spans="1:16">
      <c r="A6" s="1" t="s">
        <v>15</v>
      </c>
      <c r="B6" s="1" t="s">
        <v>16</v>
      </c>
      <c r="C6" s="1" t="s">
        <v>27</v>
      </c>
      <c r="D6" s="1">
        <v>75</v>
      </c>
      <c r="E6" s="1" t="s">
        <v>26</v>
      </c>
      <c r="F6" s="1" t="s">
        <v>19</v>
      </c>
      <c r="G6" s="1">
        <v>0.75</v>
      </c>
      <c r="H6" s="1" t="s">
        <v>20</v>
      </c>
      <c r="I6" t="s">
        <v>29</v>
      </c>
      <c r="J6" t="s">
        <v>22</v>
      </c>
      <c r="K6" t="s">
        <v>23</v>
      </c>
      <c r="L6" t="s">
        <v>24</v>
      </c>
      <c r="M6" t="str">
        <f t="shared" si="2"/>
        <v>charge-altering-copy1</v>
      </c>
      <c r="N6" t="str">
        <f t="shared" si="0"/>
        <v>3tu4</v>
      </c>
      <c r="O6" t="s">
        <v>30</v>
      </c>
      <c r="P6" t="str">
        <f t="shared" si="1"/>
        <v>H4 H75Q</v>
      </c>
    </row>
    <row r="7" spans="1:16">
      <c r="A7" s="1" t="s">
        <v>15</v>
      </c>
      <c r="B7" s="1" t="s">
        <v>16</v>
      </c>
      <c r="C7" s="1" t="s">
        <v>31</v>
      </c>
      <c r="D7" s="1">
        <v>18</v>
      </c>
      <c r="E7" s="1" t="s">
        <v>26</v>
      </c>
      <c r="F7" s="1" t="s">
        <v>28</v>
      </c>
      <c r="G7" s="1">
        <v>1.4</v>
      </c>
      <c r="H7" s="1" t="s">
        <v>20</v>
      </c>
      <c r="I7" t="s">
        <v>29</v>
      </c>
      <c r="J7" t="s">
        <v>22</v>
      </c>
      <c r="K7" t="s">
        <v>23</v>
      </c>
      <c r="L7" t="s">
        <v>24</v>
      </c>
      <c r="M7" t="str">
        <f t="shared" si="2"/>
        <v>charge-altering-copy2</v>
      </c>
      <c r="N7" t="str">
        <f t="shared" si="0"/>
        <v>3tu4</v>
      </c>
      <c r="O7" t="s">
        <v>30</v>
      </c>
      <c r="P7" t="str">
        <f t="shared" si="1"/>
        <v>H4 H18L</v>
      </c>
    </row>
    <row r="8" spans="1:16">
      <c r="A8" s="1" t="s">
        <v>15</v>
      </c>
      <c r="B8" s="1" t="s">
        <v>16</v>
      </c>
      <c r="C8" s="1" t="s">
        <v>31</v>
      </c>
      <c r="D8" s="1">
        <v>74</v>
      </c>
      <c r="E8" s="1" t="s">
        <v>18</v>
      </c>
      <c r="F8" s="1" t="s">
        <v>19</v>
      </c>
      <c r="G8" s="1">
        <v>1.2</v>
      </c>
      <c r="H8" s="1" t="s">
        <v>20</v>
      </c>
      <c r="I8" t="s">
        <v>21</v>
      </c>
      <c r="J8" t="s">
        <v>22</v>
      </c>
      <c r="K8" t="s">
        <v>23</v>
      </c>
      <c r="L8" t="s">
        <v>24</v>
      </c>
      <c r="M8" t="str">
        <f t="shared" si="2"/>
        <v>charge-altering-copy2</v>
      </c>
      <c r="N8" t="str">
        <f t="shared" si="0"/>
        <v>3tu4</v>
      </c>
      <c r="O8" t="s">
        <v>30</v>
      </c>
      <c r="P8" t="str">
        <f t="shared" si="1"/>
        <v>H4 E74Q</v>
      </c>
    </row>
    <row r="9" spans="1:16">
      <c r="A9" s="1" t="s">
        <v>15</v>
      </c>
      <c r="B9" s="1" t="s">
        <v>16</v>
      </c>
      <c r="C9" s="1" t="s">
        <v>31</v>
      </c>
      <c r="D9" s="1">
        <v>75</v>
      </c>
      <c r="E9" s="1" t="s">
        <v>26</v>
      </c>
      <c r="F9" s="1" t="s">
        <v>19</v>
      </c>
      <c r="G9" s="1">
        <v>0.65</v>
      </c>
      <c r="H9" s="1" t="s">
        <v>20</v>
      </c>
      <c r="I9" t="s">
        <v>29</v>
      </c>
      <c r="J9" t="s">
        <v>22</v>
      </c>
      <c r="K9" t="s">
        <v>23</v>
      </c>
      <c r="L9" t="s">
        <v>24</v>
      </c>
      <c r="M9" t="str">
        <f t="shared" si="2"/>
        <v>charge-altering-copy2</v>
      </c>
      <c r="N9" t="str">
        <f t="shared" si="0"/>
        <v>3tu4</v>
      </c>
      <c r="O9" t="s">
        <v>30</v>
      </c>
      <c r="P9" t="str">
        <f t="shared" si="1"/>
        <v>H4 H75Q</v>
      </c>
    </row>
    <row r="10" spans="1:16">
      <c r="A10" s="1" t="s">
        <v>15</v>
      </c>
      <c r="B10" s="1" t="s">
        <v>16</v>
      </c>
      <c r="C10" s="1" t="s">
        <v>32</v>
      </c>
      <c r="D10" s="1">
        <v>73</v>
      </c>
      <c r="E10" s="1" t="s">
        <v>18</v>
      </c>
      <c r="F10" s="1" t="s">
        <v>19</v>
      </c>
      <c r="G10" s="1">
        <v>0.72</v>
      </c>
      <c r="H10" s="1" t="s">
        <v>20</v>
      </c>
      <c r="I10" t="s">
        <v>21</v>
      </c>
      <c r="J10" t="s">
        <v>22</v>
      </c>
      <c r="K10" t="s">
        <v>23</v>
      </c>
      <c r="L10" t="s">
        <v>24</v>
      </c>
      <c r="M10" t="str">
        <f t="shared" si="2"/>
        <v>charge-altering-copy1</v>
      </c>
      <c r="N10" t="str">
        <f t="shared" si="0"/>
        <v>3tu4</v>
      </c>
      <c r="O10" t="s">
        <v>33</v>
      </c>
      <c r="P10" t="str">
        <f t="shared" si="1"/>
        <v>H3 E73Q</v>
      </c>
    </row>
    <row r="11" spans="1:16">
      <c r="A11" s="1" t="s">
        <v>15</v>
      </c>
      <c r="B11" s="1" t="s">
        <v>16</v>
      </c>
      <c r="C11" s="1" t="s">
        <v>32</v>
      </c>
      <c r="D11" s="1">
        <v>77</v>
      </c>
      <c r="E11" s="1" t="s">
        <v>17</v>
      </c>
      <c r="F11" s="1" t="s">
        <v>34</v>
      </c>
      <c r="G11" s="1">
        <v>1.21</v>
      </c>
      <c r="H11" s="1" t="s">
        <v>20</v>
      </c>
      <c r="I11" t="s">
        <v>21</v>
      </c>
      <c r="J11" t="s">
        <v>22</v>
      </c>
      <c r="K11" t="s">
        <v>23</v>
      </c>
      <c r="L11" t="s">
        <v>24</v>
      </c>
      <c r="M11" t="str">
        <f t="shared" si="2"/>
        <v>charge-altering-copy1</v>
      </c>
      <c r="N11" t="str">
        <f t="shared" si="0"/>
        <v>3tu4</v>
      </c>
      <c r="O11" t="s">
        <v>33</v>
      </c>
      <c r="P11" t="str">
        <f t="shared" si="1"/>
        <v>H3 D77N</v>
      </c>
    </row>
    <row r="12" spans="1:16">
      <c r="A12" s="1" t="s">
        <v>15</v>
      </c>
      <c r="B12" s="1" t="s">
        <v>16</v>
      </c>
      <c r="C12" s="1" t="s">
        <v>32</v>
      </c>
      <c r="D12" s="1">
        <v>79</v>
      </c>
      <c r="E12" s="1" t="s">
        <v>35</v>
      </c>
      <c r="F12" s="1" t="s">
        <v>34</v>
      </c>
      <c r="G12" s="1">
        <v>1.04</v>
      </c>
      <c r="H12" s="1" t="s">
        <v>20</v>
      </c>
      <c r="I12" t="s">
        <v>29</v>
      </c>
      <c r="J12" t="s">
        <v>22</v>
      </c>
      <c r="K12" t="s">
        <v>23</v>
      </c>
      <c r="L12" t="s">
        <v>24</v>
      </c>
      <c r="M12" t="str">
        <f t="shared" si="2"/>
        <v>charge-altering-copy1</v>
      </c>
      <c r="N12" t="str">
        <f t="shared" si="0"/>
        <v>3tu4</v>
      </c>
      <c r="O12" t="s">
        <v>33</v>
      </c>
      <c r="P12" t="str">
        <f t="shared" si="1"/>
        <v>H3 K79N</v>
      </c>
    </row>
    <row r="13" spans="1:16">
      <c r="A13" s="1" t="s">
        <v>15</v>
      </c>
      <c r="B13" s="1" t="s">
        <v>16</v>
      </c>
      <c r="C13" s="1" t="s">
        <v>18</v>
      </c>
      <c r="D13" s="1">
        <v>73</v>
      </c>
      <c r="E13" s="1" t="s">
        <v>18</v>
      </c>
      <c r="F13" s="1" t="s">
        <v>19</v>
      </c>
      <c r="G13" s="1">
        <v>0.86</v>
      </c>
      <c r="H13" s="1" t="s">
        <v>20</v>
      </c>
      <c r="I13" t="s">
        <v>21</v>
      </c>
      <c r="J13" t="s">
        <v>22</v>
      </c>
      <c r="K13" t="s">
        <v>23</v>
      </c>
      <c r="L13" t="s">
        <v>24</v>
      </c>
      <c r="M13" t="str">
        <f t="shared" si="2"/>
        <v>charge-altering-copy2</v>
      </c>
      <c r="N13" t="str">
        <f t="shared" si="0"/>
        <v>3tu4</v>
      </c>
      <c r="O13" t="s">
        <v>33</v>
      </c>
      <c r="P13" t="str">
        <f t="shared" si="1"/>
        <v>H3 E73Q</v>
      </c>
    </row>
    <row r="14" spans="1:16">
      <c r="A14" s="1" t="s">
        <v>15</v>
      </c>
      <c r="B14" s="1" t="s">
        <v>16</v>
      </c>
      <c r="C14" s="1" t="s">
        <v>18</v>
      </c>
      <c r="D14" s="1">
        <v>77</v>
      </c>
      <c r="E14" s="1" t="s">
        <v>17</v>
      </c>
      <c r="F14" s="1" t="s">
        <v>34</v>
      </c>
      <c r="G14" s="1">
        <v>1.06</v>
      </c>
      <c r="H14" s="1" t="s">
        <v>20</v>
      </c>
      <c r="I14" t="s">
        <v>21</v>
      </c>
      <c r="J14" t="s">
        <v>22</v>
      </c>
      <c r="K14" t="s">
        <v>23</v>
      </c>
      <c r="L14" t="s">
        <v>24</v>
      </c>
      <c r="M14" t="str">
        <f t="shared" si="2"/>
        <v>charge-altering-copy2</v>
      </c>
      <c r="N14" t="str">
        <f t="shared" si="0"/>
        <v>3tu4</v>
      </c>
      <c r="O14" t="s">
        <v>33</v>
      </c>
      <c r="P14" t="str">
        <f t="shared" si="1"/>
        <v>H3 D77N</v>
      </c>
    </row>
    <row r="15" spans="1:16">
      <c r="A15" s="1" t="s">
        <v>15</v>
      </c>
      <c r="B15" s="1" t="s">
        <v>16</v>
      </c>
      <c r="C15" s="1" t="s">
        <v>18</v>
      </c>
      <c r="D15" s="1">
        <v>79</v>
      </c>
      <c r="E15" s="1" t="s">
        <v>35</v>
      </c>
      <c r="F15" s="1" t="s">
        <v>34</v>
      </c>
      <c r="G15" s="1">
        <v>1.21</v>
      </c>
      <c r="H15" s="1" t="s">
        <v>20</v>
      </c>
      <c r="I15" t="s">
        <v>29</v>
      </c>
      <c r="J15" t="s">
        <v>22</v>
      </c>
      <c r="K15" t="s">
        <v>23</v>
      </c>
      <c r="L15" t="s">
        <v>24</v>
      </c>
      <c r="M15" t="str">
        <f t="shared" si="2"/>
        <v>charge-altering-copy2</v>
      </c>
      <c r="N15" t="str">
        <f t="shared" si="0"/>
        <v>3tu4</v>
      </c>
      <c r="O15" t="s">
        <v>33</v>
      </c>
      <c r="P15" t="str">
        <f t="shared" si="1"/>
        <v>H3 K79N</v>
      </c>
    </row>
    <row r="16" spans="1:16">
      <c r="A16" s="1" t="s">
        <v>15</v>
      </c>
      <c r="B16" s="1" t="s">
        <v>16</v>
      </c>
      <c r="C16" s="1" t="s">
        <v>17</v>
      </c>
      <c r="D16" s="1">
        <v>110</v>
      </c>
      <c r="E16" s="1" t="s">
        <v>18</v>
      </c>
      <c r="F16" s="1" t="s">
        <v>35</v>
      </c>
      <c r="G16" s="1">
        <v>0.88</v>
      </c>
      <c r="H16" s="1" t="s">
        <v>20</v>
      </c>
      <c r="I16" t="s">
        <v>36</v>
      </c>
      <c r="J16" t="s">
        <v>37</v>
      </c>
      <c r="K16" t="s">
        <v>38</v>
      </c>
      <c r="L16" t="s">
        <v>24</v>
      </c>
      <c r="M16" t="str">
        <f t="shared" si="2"/>
        <v>charge-altering-copy1</v>
      </c>
      <c r="N16" t="str">
        <f t="shared" si="0"/>
        <v>3tu4</v>
      </c>
      <c r="O16" t="s">
        <v>25</v>
      </c>
      <c r="P16" t="str">
        <f t="shared" si="1"/>
        <v>H2B E110K</v>
      </c>
    </row>
    <row r="17" spans="1:16">
      <c r="A17" s="1" t="s">
        <v>15</v>
      </c>
      <c r="B17" s="1" t="s">
        <v>16</v>
      </c>
      <c r="C17" s="1" t="s">
        <v>26</v>
      </c>
      <c r="D17" s="1">
        <v>110</v>
      </c>
      <c r="E17" s="1" t="s">
        <v>18</v>
      </c>
      <c r="F17" s="1" t="s">
        <v>35</v>
      </c>
      <c r="G17" s="1">
        <v>0.72</v>
      </c>
      <c r="H17" s="1" t="s">
        <v>20</v>
      </c>
      <c r="I17" t="s">
        <v>36</v>
      </c>
      <c r="J17" t="s">
        <v>37</v>
      </c>
      <c r="K17" t="s">
        <v>38</v>
      </c>
      <c r="L17" t="s">
        <v>24</v>
      </c>
      <c r="M17" t="str">
        <f t="shared" si="2"/>
        <v>charge-altering-copy2</v>
      </c>
      <c r="N17" t="str">
        <f t="shared" si="0"/>
        <v>3tu4</v>
      </c>
      <c r="O17" t="s">
        <v>25</v>
      </c>
      <c r="P17" t="str">
        <f t="shared" si="1"/>
        <v>H2B E110K</v>
      </c>
    </row>
    <row r="18" spans="1:16">
      <c r="A18" s="1" t="s">
        <v>15</v>
      </c>
      <c r="B18" s="1" t="s">
        <v>16</v>
      </c>
      <c r="C18" s="1" t="s">
        <v>39</v>
      </c>
      <c r="D18" s="1">
        <v>61</v>
      </c>
      <c r="E18" s="1" t="s">
        <v>18</v>
      </c>
      <c r="F18" s="1" t="s">
        <v>35</v>
      </c>
      <c r="G18" s="1">
        <v>1.08</v>
      </c>
      <c r="H18" s="1" t="s">
        <v>20</v>
      </c>
      <c r="I18" t="s">
        <v>36</v>
      </c>
      <c r="J18" t="s">
        <v>37</v>
      </c>
      <c r="K18" t="s">
        <v>38</v>
      </c>
      <c r="L18" t="s">
        <v>24</v>
      </c>
      <c r="M18" t="str">
        <f t="shared" si="2"/>
        <v>charge-altering-copy1</v>
      </c>
      <c r="N18" t="str">
        <f t="shared" si="0"/>
        <v>3tu4</v>
      </c>
      <c r="O18" t="s">
        <v>40</v>
      </c>
      <c r="P18" t="str">
        <f t="shared" si="1"/>
        <v>H2A E61K</v>
      </c>
    </row>
    <row r="19" spans="1:16">
      <c r="A19" s="1" t="s">
        <v>15</v>
      </c>
      <c r="B19" s="1" t="s">
        <v>16</v>
      </c>
      <c r="C19" s="1" t="s">
        <v>39</v>
      </c>
      <c r="D19" s="1">
        <v>92</v>
      </c>
      <c r="E19" s="1" t="s">
        <v>18</v>
      </c>
      <c r="F19" s="1" t="s">
        <v>35</v>
      </c>
      <c r="G19" s="1">
        <v>1.21</v>
      </c>
      <c r="H19" s="1" t="s">
        <v>20</v>
      </c>
      <c r="I19" t="s">
        <v>36</v>
      </c>
      <c r="J19" t="s">
        <v>37</v>
      </c>
      <c r="K19" t="s">
        <v>38</v>
      </c>
      <c r="L19" t="s">
        <v>24</v>
      </c>
      <c r="M19" t="str">
        <f t="shared" si="2"/>
        <v>charge-altering-copy1</v>
      </c>
      <c r="N19" t="str">
        <f t="shared" si="0"/>
        <v>3tu4</v>
      </c>
      <c r="O19" t="s">
        <v>40</v>
      </c>
      <c r="P19" t="str">
        <f t="shared" si="1"/>
        <v>H2A E92K</v>
      </c>
    </row>
    <row r="20" spans="1:16">
      <c r="A20" s="1" t="s">
        <v>15</v>
      </c>
      <c r="B20" s="1" t="s">
        <v>16</v>
      </c>
      <c r="C20" s="1" t="s">
        <v>41</v>
      </c>
      <c r="D20" s="1">
        <v>61</v>
      </c>
      <c r="E20" s="1" t="s">
        <v>18</v>
      </c>
      <c r="F20" s="1" t="s">
        <v>35</v>
      </c>
      <c r="G20" s="1">
        <v>1.08</v>
      </c>
      <c r="H20" s="1" t="s">
        <v>20</v>
      </c>
      <c r="I20" t="s">
        <v>36</v>
      </c>
      <c r="J20" t="s">
        <v>37</v>
      </c>
      <c r="K20" t="s">
        <v>38</v>
      </c>
      <c r="L20" t="s">
        <v>24</v>
      </c>
      <c r="M20" t="str">
        <f t="shared" si="2"/>
        <v>charge-altering-copy2</v>
      </c>
      <c r="N20" t="str">
        <f t="shared" si="0"/>
        <v>3tu4</v>
      </c>
      <c r="O20" t="s">
        <v>40</v>
      </c>
      <c r="P20" t="str">
        <f t="shared" si="1"/>
        <v>H2A E61K</v>
      </c>
    </row>
    <row r="21" spans="1:16">
      <c r="A21" s="1" t="s">
        <v>15</v>
      </c>
      <c r="B21" s="1" t="s">
        <v>16</v>
      </c>
      <c r="C21" s="1" t="s">
        <v>41</v>
      </c>
      <c r="D21" s="1">
        <v>92</v>
      </c>
      <c r="E21" s="1" t="s">
        <v>18</v>
      </c>
      <c r="F21" s="1" t="s">
        <v>35</v>
      </c>
      <c r="G21" s="1">
        <v>1.21</v>
      </c>
      <c r="H21" s="1" t="s">
        <v>20</v>
      </c>
      <c r="I21" t="s">
        <v>36</v>
      </c>
      <c r="J21" t="s">
        <v>37</v>
      </c>
      <c r="K21" t="s">
        <v>38</v>
      </c>
      <c r="L21" t="s">
        <v>24</v>
      </c>
      <c r="M21" t="str">
        <f t="shared" si="2"/>
        <v>charge-altering-copy2</v>
      </c>
      <c r="N21" t="str">
        <f t="shared" si="0"/>
        <v>3tu4</v>
      </c>
      <c r="O21" t="s">
        <v>40</v>
      </c>
      <c r="P21" t="str">
        <f t="shared" si="1"/>
        <v>H2A E92K</v>
      </c>
    </row>
    <row r="22" spans="1:16">
      <c r="A22" s="1" t="s">
        <v>15</v>
      </c>
      <c r="B22" s="1" t="s">
        <v>16</v>
      </c>
      <c r="C22" s="1" t="s">
        <v>32</v>
      </c>
      <c r="D22" s="1">
        <v>73</v>
      </c>
      <c r="E22" s="1" t="s">
        <v>18</v>
      </c>
      <c r="F22" s="1" t="s">
        <v>35</v>
      </c>
      <c r="G22" s="1">
        <v>0.58</v>
      </c>
      <c r="H22" s="1" t="s">
        <v>20</v>
      </c>
      <c r="I22" t="s">
        <v>36</v>
      </c>
      <c r="J22" t="s">
        <v>37</v>
      </c>
      <c r="K22" t="s">
        <v>38</v>
      </c>
      <c r="L22" t="s">
        <v>24</v>
      </c>
      <c r="M22" t="str">
        <f t="shared" si="2"/>
        <v>charge-altering-copy1</v>
      </c>
      <c r="N22" t="str">
        <f t="shared" si="0"/>
        <v>3tu4</v>
      </c>
      <c r="O22" t="s">
        <v>33</v>
      </c>
      <c r="P22" t="str">
        <f t="shared" si="1"/>
        <v>H3 E73K</v>
      </c>
    </row>
    <row r="23" spans="1:16">
      <c r="A23" s="1" t="s">
        <v>15</v>
      </c>
      <c r="B23" s="1" t="s">
        <v>16</v>
      </c>
      <c r="C23" s="1" t="s">
        <v>32</v>
      </c>
      <c r="D23" s="1">
        <v>77</v>
      </c>
      <c r="E23" s="1" t="s">
        <v>17</v>
      </c>
      <c r="F23" s="1" t="s">
        <v>26</v>
      </c>
      <c r="G23" s="1">
        <v>1.03</v>
      </c>
      <c r="H23" s="1" t="s">
        <v>20</v>
      </c>
      <c r="I23" t="s">
        <v>36</v>
      </c>
      <c r="J23" t="s">
        <v>37</v>
      </c>
      <c r="K23" t="s">
        <v>38</v>
      </c>
      <c r="L23" t="s">
        <v>24</v>
      </c>
      <c r="M23" t="str">
        <f t="shared" si="2"/>
        <v>charge-altering-copy1</v>
      </c>
      <c r="N23" t="str">
        <f t="shared" si="0"/>
        <v>3tu4</v>
      </c>
      <c r="O23" t="s">
        <v>33</v>
      </c>
      <c r="P23" t="str">
        <f t="shared" si="1"/>
        <v>H3 D77H</v>
      </c>
    </row>
    <row r="24" spans="1:16">
      <c r="A24" s="1" t="s">
        <v>15</v>
      </c>
      <c r="B24" s="1" t="s">
        <v>16</v>
      </c>
      <c r="C24" s="1" t="s">
        <v>18</v>
      </c>
      <c r="D24" s="1">
        <v>73</v>
      </c>
      <c r="E24" s="1" t="s">
        <v>18</v>
      </c>
      <c r="F24" s="1" t="s">
        <v>35</v>
      </c>
      <c r="G24" s="1">
        <v>0.68</v>
      </c>
      <c r="H24" s="1" t="s">
        <v>20</v>
      </c>
      <c r="I24" t="s">
        <v>36</v>
      </c>
      <c r="J24" t="s">
        <v>37</v>
      </c>
      <c r="K24" t="s">
        <v>38</v>
      </c>
      <c r="L24" t="s">
        <v>24</v>
      </c>
      <c r="M24" t="str">
        <f t="shared" si="2"/>
        <v>charge-altering-copy2</v>
      </c>
      <c r="N24" t="str">
        <f t="shared" si="0"/>
        <v>3tu4</v>
      </c>
      <c r="O24" t="s">
        <v>33</v>
      </c>
      <c r="P24" t="str">
        <f t="shared" si="1"/>
        <v>H3 E73K</v>
      </c>
    </row>
    <row r="25" spans="1:16">
      <c r="A25" s="1" t="s">
        <v>15</v>
      </c>
      <c r="B25" s="1" t="s">
        <v>16</v>
      </c>
      <c r="C25" s="1" t="s">
        <v>18</v>
      </c>
      <c r="D25" s="1">
        <v>77</v>
      </c>
      <c r="E25" s="1" t="s">
        <v>17</v>
      </c>
      <c r="F25" s="1" t="s">
        <v>26</v>
      </c>
      <c r="G25" s="1">
        <v>0.83</v>
      </c>
      <c r="H25" s="1" t="s">
        <v>20</v>
      </c>
      <c r="I25" t="s">
        <v>36</v>
      </c>
      <c r="J25" t="s">
        <v>37</v>
      </c>
      <c r="K25" t="s">
        <v>38</v>
      </c>
      <c r="L25" t="s">
        <v>24</v>
      </c>
      <c r="M25" t="str">
        <f t="shared" si="2"/>
        <v>charge-altering-copy2</v>
      </c>
      <c r="N25" t="str">
        <f t="shared" si="0"/>
        <v>3tu4</v>
      </c>
      <c r="O25" t="s">
        <v>33</v>
      </c>
      <c r="P25" t="str">
        <f t="shared" si="1"/>
        <v>H3 D77H</v>
      </c>
    </row>
    <row r="26" spans="1:16">
      <c r="A26" s="1" t="s">
        <v>15</v>
      </c>
      <c r="B26" s="1" t="s">
        <v>16</v>
      </c>
      <c r="C26" s="1" t="s">
        <v>17</v>
      </c>
      <c r="D26" s="1">
        <v>103</v>
      </c>
      <c r="E26" s="1" t="s">
        <v>28</v>
      </c>
      <c r="F26" s="1" t="s">
        <v>42</v>
      </c>
      <c r="G26" s="1">
        <v>1.43</v>
      </c>
      <c r="H26" s="1" t="s">
        <v>20</v>
      </c>
      <c r="I26" t="s">
        <v>43</v>
      </c>
      <c r="J26" t="s">
        <v>44</v>
      </c>
      <c r="K26" t="s">
        <v>45</v>
      </c>
      <c r="L26" t="s">
        <v>46</v>
      </c>
      <c r="M26" t="str">
        <f t="shared" si="2"/>
        <v>non-charge-altering-copy1</v>
      </c>
      <c r="N26" t="str">
        <f t="shared" si="0"/>
        <v>3tu4</v>
      </c>
      <c r="O26" t="s">
        <v>25</v>
      </c>
      <c r="P26" t="str">
        <f t="shared" si="1"/>
        <v>H2B L103V</v>
      </c>
    </row>
    <row r="27" spans="1:16">
      <c r="A27" s="1" t="s">
        <v>15</v>
      </c>
      <c r="B27" s="1" t="s">
        <v>16</v>
      </c>
      <c r="C27" s="1" t="s">
        <v>17</v>
      </c>
      <c r="D27" s="1">
        <v>112</v>
      </c>
      <c r="E27" s="1" t="s">
        <v>47</v>
      </c>
      <c r="F27" s="1" t="s">
        <v>48</v>
      </c>
      <c r="G27" s="1">
        <v>1.11</v>
      </c>
      <c r="H27" s="1" t="s">
        <v>20</v>
      </c>
      <c r="I27" t="s">
        <v>43</v>
      </c>
      <c r="J27" t="s">
        <v>44</v>
      </c>
      <c r="K27" t="s">
        <v>45</v>
      </c>
      <c r="L27" t="s">
        <v>46</v>
      </c>
      <c r="M27" t="str">
        <f t="shared" si="2"/>
        <v>non-charge-altering-copy1</v>
      </c>
      <c r="N27" t="str">
        <f t="shared" si="0"/>
        <v>3tu4</v>
      </c>
      <c r="O27" t="s">
        <v>25</v>
      </c>
      <c r="P27" t="str">
        <f t="shared" si="1"/>
        <v>H2B T112S</v>
      </c>
    </row>
    <row r="28" spans="1:16">
      <c r="A28" s="1" t="s">
        <v>15</v>
      </c>
      <c r="B28" s="1" t="s">
        <v>16</v>
      </c>
      <c r="C28" s="1" t="s">
        <v>17</v>
      </c>
      <c r="D28" s="1">
        <v>89</v>
      </c>
      <c r="E28" s="1" t="s">
        <v>49</v>
      </c>
      <c r="F28" s="1" t="s">
        <v>35</v>
      </c>
      <c r="G28" s="1">
        <v>0.89</v>
      </c>
      <c r="H28" s="1" t="s">
        <v>20</v>
      </c>
      <c r="I28" t="s">
        <v>50</v>
      </c>
      <c r="J28" t="s">
        <v>44</v>
      </c>
      <c r="K28" t="s">
        <v>45</v>
      </c>
      <c r="L28" t="s">
        <v>46</v>
      </c>
      <c r="M28" t="str">
        <f t="shared" si="2"/>
        <v>non-charge-altering-copy1</v>
      </c>
      <c r="N28" t="str">
        <f t="shared" si="0"/>
        <v>3tu4</v>
      </c>
      <c r="O28" t="s">
        <v>25</v>
      </c>
      <c r="P28" t="str">
        <f t="shared" si="1"/>
        <v>H2B R89K</v>
      </c>
    </row>
    <row r="29" spans="1:16">
      <c r="A29" s="1" t="s">
        <v>15</v>
      </c>
      <c r="B29" s="1" t="s">
        <v>16</v>
      </c>
      <c r="C29" s="1" t="s">
        <v>26</v>
      </c>
      <c r="D29" s="1">
        <v>103</v>
      </c>
      <c r="E29" s="1" t="s">
        <v>28</v>
      </c>
      <c r="F29" s="1" t="s">
        <v>42</v>
      </c>
      <c r="G29" s="1">
        <v>1.43</v>
      </c>
      <c r="H29" s="1" t="s">
        <v>20</v>
      </c>
      <c r="I29" t="s">
        <v>43</v>
      </c>
      <c r="J29" t="s">
        <v>44</v>
      </c>
      <c r="K29" t="s">
        <v>45</v>
      </c>
      <c r="L29" t="s">
        <v>46</v>
      </c>
      <c r="M29" t="str">
        <f t="shared" si="2"/>
        <v>non-charge-altering-copy2</v>
      </c>
      <c r="N29" t="str">
        <f t="shared" si="0"/>
        <v>3tu4</v>
      </c>
      <c r="O29" t="s">
        <v>25</v>
      </c>
      <c r="P29" t="str">
        <f t="shared" si="1"/>
        <v>H2B L103V</v>
      </c>
    </row>
    <row r="30" spans="1:16">
      <c r="A30" s="1" t="s">
        <v>15</v>
      </c>
      <c r="B30" s="1" t="s">
        <v>16</v>
      </c>
      <c r="C30" s="1" t="s">
        <v>26</v>
      </c>
      <c r="D30" s="1">
        <v>112</v>
      </c>
      <c r="E30" s="1" t="s">
        <v>47</v>
      </c>
      <c r="F30" s="1" t="s">
        <v>48</v>
      </c>
      <c r="G30" s="1">
        <v>1.11</v>
      </c>
      <c r="H30" s="1" t="s">
        <v>20</v>
      </c>
      <c r="I30" t="s">
        <v>43</v>
      </c>
      <c r="J30" t="s">
        <v>44</v>
      </c>
      <c r="K30" t="s">
        <v>45</v>
      </c>
      <c r="L30" t="s">
        <v>46</v>
      </c>
      <c r="M30" t="str">
        <f t="shared" si="2"/>
        <v>non-charge-altering-copy2</v>
      </c>
      <c r="N30" t="str">
        <f t="shared" si="0"/>
        <v>3tu4</v>
      </c>
      <c r="O30" t="s">
        <v>25</v>
      </c>
      <c r="P30" t="str">
        <f t="shared" si="1"/>
        <v>H2B T112S</v>
      </c>
    </row>
    <row r="31" spans="1:16">
      <c r="A31" s="1" t="s">
        <v>15</v>
      </c>
      <c r="B31" s="1" t="s">
        <v>16</v>
      </c>
      <c r="C31" s="1" t="s">
        <v>26</v>
      </c>
      <c r="D31" s="1">
        <v>89</v>
      </c>
      <c r="E31" s="1" t="s">
        <v>49</v>
      </c>
      <c r="F31" s="1" t="s">
        <v>35</v>
      </c>
      <c r="G31" s="1">
        <v>0.62</v>
      </c>
      <c r="H31" s="1" t="s">
        <v>20</v>
      </c>
      <c r="I31" t="s">
        <v>50</v>
      </c>
      <c r="J31" t="s">
        <v>44</v>
      </c>
      <c r="K31" t="s">
        <v>45</v>
      </c>
      <c r="L31" t="s">
        <v>46</v>
      </c>
      <c r="M31" t="str">
        <f t="shared" si="2"/>
        <v>non-charge-altering-copy2</v>
      </c>
      <c r="N31" t="str">
        <f t="shared" si="0"/>
        <v>3tu4</v>
      </c>
      <c r="O31" t="s">
        <v>25</v>
      </c>
      <c r="P31" t="str">
        <f t="shared" si="1"/>
        <v>H2B R89K</v>
      </c>
    </row>
    <row r="32" spans="1:16">
      <c r="A32" s="1" t="s">
        <v>15</v>
      </c>
      <c r="B32" s="1" t="s">
        <v>16</v>
      </c>
      <c r="C32" s="1" t="s">
        <v>39</v>
      </c>
      <c r="D32" s="1">
        <v>60</v>
      </c>
      <c r="E32" s="1" t="s">
        <v>32</v>
      </c>
      <c r="F32" s="1" t="s">
        <v>51</v>
      </c>
      <c r="G32" s="1">
        <v>1.16</v>
      </c>
      <c r="H32" s="1" t="s">
        <v>20</v>
      </c>
      <c r="I32" t="s">
        <v>43</v>
      </c>
      <c r="J32" t="s">
        <v>44</v>
      </c>
      <c r="K32" t="s">
        <v>45</v>
      </c>
      <c r="L32" t="s">
        <v>46</v>
      </c>
      <c r="M32" t="str">
        <f t="shared" si="2"/>
        <v>non-charge-altering-copy1</v>
      </c>
      <c r="N32" t="str">
        <f t="shared" si="0"/>
        <v>3tu4</v>
      </c>
      <c r="O32" t="s">
        <v>40</v>
      </c>
      <c r="P32" t="str">
        <f t="shared" si="1"/>
        <v>H2A A60P</v>
      </c>
    </row>
    <row r="33" spans="1:16">
      <c r="A33" s="1" t="s">
        <v>15</v>
      </c>
      <c r="B33" s="1" t="s">
        <v>16</v>
      </c>
      <c r="C33" s="1" t="s">
        <v>39</v>
      </c>
      <c r="D33" s="1">
        <v>60</v>
      </c>
      <c r="E33" s="1" t="s">
        <v>32</v>
      </c>
      <c r="F33" s="1" t="s">
        <v>47</v>
      </c>
      <c r="G33" s="1">
        <v>0.37</v>
      </c>
      <c r="H33" s="1" t="s">
        <v>20</v>
      </c>
      <c r="I33" t="s">
        <v>43</v>
      </c>
      <c r="J33" t="s">
        <v>44</v>
      </c>
      <c r="K33" t="s">
        <v>45</v>
      </c>
      <c r="L33" t="s">
        <v>46</v>
      </c>
      <c r="M33" t="str">
        <f t="shared" si="2"/>
        <v>non-charge-altering-copy1</v>
      </c>
      <c r="N33" t="str">
        <f t="shared" si="0"/>
        <v>3tu4</v>
      </c>
      <c r="O33" t="s">
        <v>40</v>
      </c>
      <c r="P33" t="str">
        <f t="shared" si="1"/>
        <v>H2A A60T</v>
      </c>
    </row>
    <row r="34" spans="1:16">
      <c r="A34" s="1" t="s">
        <v>15</v>
      </c>
      <c r="B34" s="1" t="s">
        <v>16</v>
      </c>
      <c r="C34" s="1" t="s">
        <v>39</v>
      </c>
      <c r="D34" s="1">
        <v>61</v>
      </c>
      <c r="E34" s="1" t="s">
        <v>18</v>
      </c>
      <c r="F34" s="1" t="s">
        <v>17</v>
      </c>
      <c r="G34" s="1">
        <v>1.46</v>
      </c>
      <c r="H34" s="1" t="s">
        <v>20</v>
      </c>
      <c r="I34" t="s">
        <v>52</v>
      </c>
      <c r="J34" t="s">
        <v>44</v>
      </c>
      <c r="K34" t="s">
        <v>45</v>
      </c>
      <c r="L34" t="s">
        <v>46</v>
      </c>
      <c r="M34" t="str">
        <f t="shared" si="2"/>
        <v>non-charge-altering-copy1</v>
      </c>
      <c r="N34" t="str">
        <f t="shared" si="0"/>
        <v>3tu4</v>
      </c>
      <c r="O34" t="s">
        <v>40</v>
      </c>
      <c r="P34" t="str">
        <f t="shared" si="1"/>
        <v>H2A E61D</v>
      </c>
    </row>
    <row r="35" spans="1:16">
      <c r="A35" s="1" t="s">
        <v>15</v>
      </c>
      <c r="B35" s="1" t="s">
        <v>16</v>
      </c>
      <c r="C35" s="1" t="s">
        <v>39</v>
      </c>
      <c r="D35" s="1">
        <v>65</v>
      </c>
      <c r="E35" s="1" t="s">
        <v>28</v>
      </c>
      <c r="F35" s="1" t="s">
        <v>42</v>
      </c>
      <c r="G35" s="1">
        <v>0.98</v>
      </c>
      <c r="H35" s="1" t="s">
        <v>20</v>
      </c>
      <c r="I35" t="s">
        <v>43</v>
      </c>
      <c r="J35" t="s">
        <v>44</v>
      </c>
      <c r="K35" t="s">
        <v>45</v>
      </c>
      <c r="L35" t="s">
        <v>46</v>
      </c>
      <c r="M35" t="str">
        <f t="shared" ref="M35:M61" si="3">L35&amp;"-"&amp;IF(OR(C35="A",C35="B",C35="C",C35="D"),"copy1",IF(OR(C35="E",C35="F",C35="G",C35="H"),"copy2",""))</f>
        <v>non-charge-altering-copy1</v>
      </c>
      <c r="N35" t="str">
        <f t="shared" si="0"/>
        <v>3tu4</v>
      </c>
      <c r="O35" t="s">
        <v>40</v>
      </c>
      <c r="P35" t="str">
        <f t="shared" si="1"/>
        <v>H2A L65V</v>
      </c>
    </row>
    <row r="36" spans="1:16">
      <c r="A36" s="1" t="s">
        <v>15</v>
      </c>
      <c r="B36" s="1" t="s">
        <v>16</v>
      </c>
      <c r="C36" s="1" t="s">
        <v>39</v>
      </c>
      <c r="D36" s="1">
        <v>92</v>
      </c>
      <c r="E36" s="1" t="s">
        <v>18</v>
      </c>
      <c r="F36" s="1" t="s">
        <v>17</v>
      </c>
      <c r="G36" s="1">
        <v>0.79</v>
      </c>
      <c r="H36" s="1" t="s">
        <v>20</v>
      </c>
      <c r="I36" t="s">
        <v>52</v>
      </c>
      <c r="J36" t="s">
        <v>44</v>
      </c>
      <c r="K36" t="s">
        <v>45</v>
      </c>
      <c r="L36" t="s">
        <v>46</v>
      </c>
      <c r="M36" t="str">
        <f t="shared" si="3"/>
        <v>non-charge-altering-copy1</v>
      </c>
      <c r="N36" t="str">
        <f t="shared" si="0"/>
        <v>3tu4</v>
      </c>
      <c r="O36" t="s">
        <v>40</v>
      </c>
      <c r="P36" t="str">
        <f t="shared" si="1"/>
        <v>H2A E92D</v>
      </c>
    </row>
    <row r="37" spans="1:16">
      <c r="A37" s="1" t="s">
        <v>15</v>
      </c>
      <c r="B37" s="1" t="s">
        <v>16</v>
      </c>
      <c r="C37" s="1" t="s">
        <v>39</v>
      </c>
      <c r="D37" s="1">
        <v>93</v>
      </c>
      <c r="E37" s="1" t="s">
        <v>28</v>
      </c>
      <c r="F37" s="1" t="s">
        <v>42</v>
      </c>
      <c r="G37" s="1">
        <v>1.23</v>
      </c>
      <c r="H37" s="1" t="s">
        <v>20</v>
      </c>
      <c r="I37" t="s">
        <v>43</v>
      </c>
      <c r="J37" t="s">
        <v>44</v>
      </c>
      <c r="K37" t="s">
        <v>45</v>
      </c>
      <c r="L37" t="s">
        <v>46</v>
      </c>
      <c r="M37" t="str">
        <f t="shared" si="3"/>
        <v>non-charge-altering-copy1</v>
      </c>
      <c r="N37" t="str">
        <f t="shared" si="0"/>
        <v>3tu4</v>
      </c>
      <c r="O37" t="s">
        <v>40</v>
      </c>
      <c r="P37" t="str">
        <f t="shared" si="1"/>
        <v>H2A L93V</v>
      </c>
    </row>
    <row r="38" spans="1:16">
      <c r="A38" s="1" t="s">
        <v>15</v>
      </c>
      <c r="B38" s="1" t="s">
        <v>16</v>
      </c>
      <c r="C38" s="1" t="s">
        <v>41</v>
      </c>
      <c r="D38" s="1">
        <v>60</v>
      </c>
      <c r="E38" s="1" t="s">
        <v>32</v>
      </c>
      <c r="F38" s="1" t="s">
        <v>51</v>
      </c>
      <c r="G38" s="1">
        <v>1.16</v>
      </c>
      <c r="H38" s="1" t="s">
        <v>20</v>
      </c>
      <c r="I38" t="s">
        <v>43</v>
      </c>
      <c r="J38" t="s">
        <v>44</v>
      </c>
      <c r="K38" t="s">
        <v>45</v>
      </c>
      <c r="L38" t="s">
        <v>46</v>
      </c>
      <c r="M38" t="str">
        <f t="shared" si="3"/>
        <v>non-charge-altering-copy2</v>
      </c>
      <c r="N38" t="str">
        <f t="shared" si="0"/>
        <v>3tu4</v>
      </c>
      <c r="O38" t="s">
        <v>40</v>
      </c>
      <c r="P38" t="str">
        <f t="shared" si="1"/>
        <v>H2A A60P</v>
      </c>
    </row>
    <row r="39" spans="1:16">
      <c r="A39" s="1" t="s">
        <v>15</v>
      </c>
      <c r="B39" s="1" t="s">
        <v>16</v>
      </c>
      <c r="C39" s="1" t="s">
        <v>41</v>
      </c>
      <c r="D39" s="1">
        <v>60</v>
      </c>
      <c r="E39" s="1" t="s">
        <v>32</v>
      </c>
      <c r="F39" s="1" t="s">
        <v>47</v>
      </c>
      <c r="G39" s="1">
        <v>0.37</v>
      </c>
      <c r="H39" s="1" t="s">
        <v>20</v>
      </c>
      <c r="I39" t="s">
        <v>43</v>
      </c>
      <c r="J39" t="s">
        <v>44</v>
      </c>
      <c r="K39" t="s">
        <v>45</v>
      </c>
      <c r="L39" t="s">
        <v>46</v>
      </c>
      <c r="M39" t="str">
        <f t="shared" si="3"/>
        <v>non-charge-altering-copy2</v>
      </c>
      <c r="N39" t="str">
        <f t="shared" si="0"/>
        <v>3tu4</v>
      </c>
      <c r="O39" t="s">
        <v>40</v>
      </c>
      <c r="P39" t="str">
        <f t="shared" si="1"/>
        <v>H2A A60T</v>
      </c>
    </row>
    <row r="40" spans="1:16">
      <c r="A40" s="1" t="s">
        <v>15</v>
      </c>
      <c r="B40" s="1" t="s">
        <v>16</v>
      </c>
      <c r="C40" s="1" t="s">
        <v>41</v>
      </c>
      <c r="D40" s="1">
        <v>61</v>
      </c>
      <c r="E40" s="1" t="s">
        <v>18</v>
      </c>
      <c r="F40" s="1" t="s">
        <v>17</v>
      </c>
      <c r="G40" s="1">
        <v>1.46</v>
      </c>
      <c r="H40" s="1" t="s">
        <v>20</v>
      </c>
      <c r="I40" t="s">
        <v>52</v>
      </c>
      <c r="J40" t="s">
        <v>44</v>
      </c>
      <c r="K40" t="s">
        <v>45</v>
      </c>
      <c r="L40" t="s">
        <v>46</v>
      </c>
      <c r="M40" t="str">
        <f t="shared" si="3"/>
        <v>non-charge-altering-copy2</v>
      </c>
      <c r="N40" t="str">
        <f t="shared" si="0"/>
        <v>3tu4</v>
      </c>
      <c r="O40" t="s">
        <v>40</v>
      </c>
      <c r="P40" t="str">
        <f t="shared" si="1"/>
        <v>H2A E61D</v>
      </c>
    </row>
    <row r="41" spans="1:16">
      <c r="A41" s="1" t="s">
        <v>15</v>
      </c>
      <c r="B41" s="1" t="s">
        <v>16</v>
      </c>
      <c r="C41" s="1" t="s">
        <v>41</v>
      </c>
      <c r="D41" s="1">
        <v>65</v>
      </c>
      <c r="E41" s="1" t="s">
        <v>28</v>
      </c>
      <c r="F41" s="1" t="s">
        <v>42</v>
      </c>
      <c r="G41" s="1">
        <v>0.99</v>
      </c>
      <c r="H41" s="1" t="s">
        <v>20</v>
      </c>
      <c r="I41" t="s">
        <v>43</v>
      </c>
      <c r="J41" t="s">
        <v>44</v>
      </c>
      <c r="K41" t="s">
        <v>45</v>
      </c>
      <c r="L41" t="s">
        <v>46</v>
      </c>
      <c r="M41" t="str">
        <f t="shared" si="3"/>
        <v>non-charge-altering-copy2</v>
      </c>
      <c r="N41" t="str">
        <f t="shared" si="0"/>
        <v>3tu4</v>
      </c>
      <c r="O41" t="s">
        <v>40</v>
      </c>
      <c r="P41" t="str">
        <f t="shared" si="1"/>
        <v>H2A L65V</v>
      </c>
    </row>
    <row r="42" spans="1:16">
      <c r="A42" s="1" t="s">
        <v>15</v>
      </c>
      <c r="B42" s="1" t="s">
        <v>16</v>
      </c>
      <c r="C42" s="1" t="s">
        <v>41</v>
      </c>
      <c r="D42" s="1">
        <v>92</v>
      </c>
      <c r="E42" s="1" t="s">
        <v>18</v>
      </c>
      <c r="F42" s="1" t="s">
        <v>17</v>
      </c>
      <c r="G42" s="1">
        <v>0.79</v>
      </c>
      <c r="H42" s="1" t="s">
        <v>20</v>
      </c>
      <c r="I42" t="s">
        <v>52</v>
      </c>
      <c r="J42" t="s">
        <v>44</v>
      </c>
      <c r="K42" t="s">
        <v>45</v>
      </c>
      <c r="L42" t="s">
        <v>46</v>
      </c>
      <c r="M42" t="str">
        <f t="shared" si="3"/>
        <v>non-charge-altering-copy2</v>
      </c>
      <c r="N42" t="str">
        <f t="shared" si="0"/>
        <v>3tu4</v>
      </c>
      <c r="O42" t="s">
        <v>40</v>
      </c>
      <c r="P42" t="str">
        <f t="shared" si="1"/>
        <v>H2A E92D</v>
      </c>
    </row>
    <row r="43" spans="1:16">
      <c r="A43" s="1" t="s">
        <v>15</v>
      </c>
      <c r="B43" s="1" t="s">
        <v>16</v>
      </c>
      <c r="C43" s="1" t="s">
        <v>41</v>
      </c>
      <c r="D43" s="1">
        <v>93</v>
      </c>
      <c r="E43" s="1" t="s">
        <v>28</v>
      </c>
      <c r="F43" s="1" t="s">
        <v>42</v>
      </c>
      <c r="G43" s="1">
        <v>1.23</v>
      </c>
      <c r="H43" s="1" t="s">
        <v>20</v>
      </c>
      <c r="I43" t="s">
        <v>43</v>
      </c>
      <c r="J43" t="s">
        <v>44</v>
      </c>
      <c r="K43" t="s">
        <v>45</v>
      </c>
      <c r="L43" t="s">
        <v>46</v>
      </c>
      <c r="M43" t="str">
        <f t="shared" si="3"/>
        <v>non-charge-altering-copy2</v>
      </c>
      <c r="N43" t="str">
        <f t="shared" si="0"/>
        <v>3tu4</v>
      </c>
      <c r="O43" t="s">
        <v>40</v>
      </c>
      <c r="P43" t="str">
        <f t="shared" si="1"/>
        <v>H2A L93V</v>
      </c>
    </row>
    <row r="44" spans="1:16">
      <c r="A44" s="1" t="s">
        <v>15</v>
      </c>
      <c r="B44" s="1" t="s">
        <v>16</v>
      </c>
      <c r="C44" s="1" t="s">
        <v>27</v>
      </c>
      <c r="D44" s="1">
        <v>13</v>
      </c>
      <c r="E44" s="1" t="s">
        <v>41</v>
      </c>
      <c r="F44" s="1" t="s">
        <v>42</v>
      </c>
      <c r="G44" s="1">
        <v>0.8</v>
      </c>
      <c r="H44" s="1" t="s">
        <v>20</v>
      </c>
      <c r="I44" t="s">
        <v>43</v>
      </c>
      <c r="J44" t="s">
        <v>44</v>
      </c>
      <c r="K44" t="s">
        <v>45</v>
      </c>
      <c r="L44" t="s">
        <v>46</v>
      </c>
      <c r="M44" t="str">
        <f t="shared" si="3"/>
        <v>non-charge-altering-copy1</v>
      </c>
      <c r="N44" t="str">
        <f t="shared" si="0"/>
        <v>3tu4</v>
      </c>
      <c r="O44" t="s">
        <v>30</v>
      </c>
      <c r="P44" t="str">
        <f t="shared" si="1"/>
        <v>H4 G13V</v>
      </c>
    </row>
    <row r="45" spans="1:16">
      <c r="A45" s="1" t="s">
        <v>15</v>
      </c>
      <c r="B45" s="1" t="s">
        <v>16</v>
      </c>
      <c r="C45" s="1" t="s">
        <v>27</v>
      </c>
      <c r="D45" s="1">
        <v>14</v>
      </c>
      <c r="E45" s="1" t="s">
        <v>41</v>
      </c>
      <c r="F45" s="1" t="s">
        <v>48</v>
      </c>
      <c r="G45" s="1">
        <v>0.11</v>
      </c>
      <c r="H45" s="1" t="s">
        <v>20</v>
      </c>
      <c r="I45" t="s">
        <v>43</v>
      </c>
      <c r="J45" t="s">
        <v>44</v>
      </c>
      <c r="K45" t="s">
        <v>45</v>
      </c>
      <c r="L45" t="s">
        <v>46</v>
      </c>
      <c r="M45" t="str">
        <f t="shared" si="3"/>
        <v>non-charge-altering-copy1</v>
      </c>
      <c r="N45" t="str">
        <f t="shared" si="0"/>
        <v>3tu4</v>
      </c>
      <c r="O45" t="s">
        <v>30</v>
      </c>
      <c r="P45" t="str">
        <f t="shared" si="1"/>
        <v>H4 G14S</v>
      </c>
    </row>
    <row r="46" spans="1:16">
      <c r="A46" s="1" t="s">
        <v>15</v>
      </c>
      <c r="B46" s="1" t="s">
        <v>16</v>
      </c>
      <c r="C46" s="1" t="s">
        <v>27</v>
      </c>
      <c r="D46" s="1">
        <v>15</v>
      </c>
      <c r="E46" s="1" t="s">
        <v>32</v>
      </c>
      <c r="F46" s="1" t="s">
        <v>42</v>
      </c>
      <c r="G46" s="1">
        <v>0.61</v>
      </c>
      <c r="H46" s="1" t="s">
        <v>20</v>
      </c>
      <c r="I46" t="s">
        <v>43</v>
      </c>
      <c r="J46" t="s">
        <v>44</v>
      </c>
      <c r="K46" t="s">
        <v>45</v>
      </c>
      <c r="L46" t="s">
        <v>46</v>
      </c>
      <c r="M46" t="str">
        <f t="shared" si="3"/>
        <v>non-charge-altering-copy1</v>
      </c>
      <c r="N46" t="str">
        <f t="shared" si="0"/>
        <v>3tu4</v>
      </c>
      <c r="O46" t="s">
        <v>30</v>
      </c>
      <c r="P46" t="str">
        <f t="shared" si="1"/>
        <v>H4 A15V</v>
      </c>
    </row>
    <row r="47" spans="1:16">
      <c r="A47" s="1" t="s">
        <v>15</v>
      </c>
      <c r="B47" s="1" t="s">
        <v>16</v>
      </c>
      <c r="C47" s="1" t="s">
        <v>27</v>
      </c>
      <c r="D47" s="1">
        <v>15</v>
      </c>
      <c r="E47" s="1" t="s">
        <v>32</v>
      </c>
      <c r="F47" s="1" t="s">
        <v>47</v>
      </c>
      <c r="G47" s="1">
        <v>0.39</v>
      </c>
      <c r="H47" s="1" t="s">
        <v>20</v>
      </c>
      <c r="I47" t="s">
        <v>43</v>
      </c>
      <c r="J47" t="s">
        <v>44</v>
      </c>
      <c r="K47" t="s">
        <v>45</v>
      </c>
      <c r="L47" t="s">
        <v>46</v>
      </c>
      <c r="M47" t="str">
        <f t="shared" si="3"/>
        <v>non-charge-altering-copy1</v>
      </c>
      <c r="N47" t="str">
        <f t="shared" si="0"/>
        <v>3tu4</v>
      </c>
      <c r="O47" t="s">
        <v>30</v>
      </c>
      <c r="P47" t="str">
        <f t="shared" si="1"/>
        <v>H4 A15T</v>
      </c>
    </row>
    <row r="48" spans="1:16">
      <c r="A48" s="1" t="s">
        <v>15</v>
      </c>
      <c r="B48" s="1" t="s">
        <v>16</v>
      </c>
      <c r="C48" s="1" t="s">
        <v>27</v>
      </c>
      <c r="D48" s="1">
        <v>22</v>
      </c>
      <c r="E48" s="1" t="s">
        <v>28</v>
      </c>
      <c r="F48" s="1" t="s">
        <v>53</v>
      </c>
      <c r="G48" s="1">
        <v>0.66</v>
      </c>
      <c r="H48" s="1" t="s">
        <v>20</v>
      </c>
      <c r="I48" t="s">
        <v>43</v>
      </c>
      <c r="J48" t="s">
        <v>44</v>
      </c>
      <c r="K48" t="s">
        <v>45</v>
      </c>
      <c r="L48" t="s">
        <v>46</v>
      </c>
      <c r="M48" t="str">
        <f t="shared" si="3"/>
        <v>non-charge-altering-copy1</v>
      </c>
      <c r="N48" t="str">
        <f t="shared" si="0"/>
        <v>3tu4</v>
      </c>
      <c r="O48" t="s">
        <v>30</v>
      </c>
      <c r="P48" t="str">
        <f t="shared" si="1"/>
        <v>H4 L22M</v>
      </c>
    </row>
    <row r="49" spans="1:16">
      <c r="A49" s="1" t="s">
        <v>15</v>
      </c>
      <c r="B49" s="1" t="s">
        <v>16</v>
      </c>
      <c r="C49" s="1" t="s">
        <v>31</v>
      </c>
      <c r="D49" s="1">
        <v>13</v>
      </c>
      <c r="E49" s="1" t="s">
        <v>41</v>
      </c>
      <c r="F49" s="1" t="s">
        <v>42</v>
      </c>
      <c r="G49" s="1">
        <v>0.78</v>
      </c>
      <c r="H49" s="1" t="s">
        <v>20</v>
      </c>
      <c r="I49" t="s">
        <v>43</v>
      </c>
      <c r="J49" t="s">
        <v>44</v>
      </c>
      <c r="K49" t="s">
        <v>45</v>
      </c>
      <c r="L49" t="s">
        <v>46</v>
      </c>
      <c r="M49" t="str">
        <f t="shared" si="3"/>
        <v>non-charge-altering-copy2</v>
      </c>
      <c r="N49" t="str">
        <f t="shared" si="0"/>
        <v>3tu4</v>
      </c>
      <c r="O49" t="s">
        <v>30</v>
      </c>
      <c r="P49" t="str">
        <f t="shared" si="1"/>
        <v>H4 G13V</v>
      </c>
    </row>
    <row r="50" spans="1:16">
      <c r="A50" s="1" t="s">
        <v>15</v>
      </c>
      <c r="B50" s="1" t="s">
        <v>16</v>
      </c>
      <c r="C50" s="1" t="s">
        <v>31</v>
      </c>
      <c r="D50" s="1">
        <v>14</v>
      </c>
      <c r="E50" s="1" t="s">
        <v>41</v>
      </c>
      <c r="F50" s="1" t="s">
        <v>48</v>
      </c>
      <c r="G50" s="1">
        <v>0.23</v>
      </c>
      <c r="H50" s="1" t="s">
        <v>20</v>
      </c>
      <c r="I50" t="s">
        <v>43</v>
      </c>
      <c r="J50" t="s">
        <v>44</v>
      </c>
      <c r="K50" t="s">
        <v>45</v>
      </c>
      <c r="L50" t="s">
        <v>46</v>
      </c>
      <c r="M50" t="str">
        <f t="shared" si="3"/>
        <v>non-charge-altering-copy2</v>
      </c>
      <c r="N50" t="str">
        <f t="shared" si="0"/>
        <v>3tu4</v>
      </c>
      <c r="O50" t="s">
        <v>30</v>
      </c>
      <c r="P50" t="str">
        <f t="shared" si="1"/>
        <v>H4 G14S</v>
      </c>
    </row>
    <row r="51" spans="1:16">
      <c r="A51" s="1" t="s">
        <v>15</v>
      </c>
      <c r="B51" s="1" t="s">
        <v>16</v>
      </c>
      <c r="C51" s="1" t="s">
        <v>31</v>
      </c>
      <c r="D51" s="1">
        <v>15</v>
      </c>
      <c r="E51" s="1" t="s">
        <v>32</v>
      </c>
      <c r="F51" s="1" t="s">
        <v>42</v>
      </c>
      <c r="G51" s="1">
        <v>0.64</v>
      </c>
      <c r="H51" s="1" t="s">
        <v>20</v>
      </c>
      <c r="I51" t="s">
        <v>43</v>
      </c>
      <c r="J51" t="s">
        <v>44</v>
      </c>
      <c r="K51" t="s">
        <v>45</v>
      </c>
      <c r="L51" t="s">
        <v>46</v>
      </c>
      <c r="M51" t="str">
        <f t="shared" si="3"/>
        <v>non-charge-altering-copy2</v>
      </c>
      <c r="N51" t="str">
        <f t="shared" si="0"/>
        <v>3tu4</v>
      </c>
      <c r="O51" t="s">
        <v>30</v>
      </c>
      <c r="P51" t="str">
        <f t="shared" si="1"/>
        <v>H4 A15V</v>
      </c>
    </row>
    <row r="52" spans="1:16">
      <c r="A52" s="1" t="s">
        <v>15</v>
      </c>
      <c r="B52" s="1" t="s">
        <v>16</v>
      </c>
      <c r="C52" s="1" t="s">
        <v>31</v>
      </c>
      <c r="D52" s="1">
        <v>15</v>
      </c>
      <c r="E52" s="1" t="s">
        <v>32</v>
      </c>
      <c r="F52" s="1" t="s">
        <v>47</v>
      </c>
      <c r="G52" s="1">
        <v>0.31</v>
      </c>
      <c r="H52" s="1" t="s">
        <v>20</v>
      </c>
      <c r="I52" t="s">
        <v>43</v>
      </c>
      <c r="J52" t="s">
        <v>44</v>
      </c>
      <c r="K52" t="s">
        <v>45</v>
      </c>
      <c r="L52" t="s">
        <v>46</v>
      </c>
      <c r="M52" t="str">
        <f t="shared" si="3"/>
        <v>non-charge-altering-copy2</v>
      </c>
      <c r="N52" t="str">
        <f t="shared" si="0"/>
        <v>3tu4</v>
      </c>
      <c r="O52" t="s">
        <v>30</v>
      </c>
      <c r="P52" t="str">
        <f t="shared" si="1"/>
        <v>H4 A15T</v>
      </c>
    </row>
    <row r="53" spans="1:16">
      <c r="A53" s="1" t="s">
        <v>15</v>
      </c>
      <c r="B53" s="1" t="s">
        <v>16</v>
      </c>
      <c r="C53" s="1" t="s">
        <v>31</v>
      </c>
      <c r="D53" s="1">
        <v>22</v>
      </c>
      <c r="E53" s="1" t="s">
        <v>28</v>
      </c>
      <c r="F53" s="1" t="s">
        <v>53</v>
      </c>
      <c r="G53" s="1">
        <v>0.73</v>
      </c>
      <c r="H53" s="1" t="s">
        <v>20</v>
      </c>
      <c r="I53" t="s">
        <v>43</v>
      </c>
      <c r="J53" t="s">
        <v>44</v>
      </c>
      <c r="K53" t="s">
        <v>45</v>
      </c>
      <c r="L53" t="s">
        <v>46</v>
      </c>
      <c r="M53" t="str">
        <f t="shared" si="3"/>
        <v>non-charge-altering-copy2</v>
      </c>
      <c r="N53" t="str">
        <f t="shared" si="0"/>
        <v>3tu4</v>
      </c>
      <c r="O53" t="s">
        <v>30</v>
      </c>
      <c r="P53" t="str">
        <f t="shared" si="1"/>
        <v>H4 L22M</v>
      </c>
    </row>
    <row r="54" spans="1:16">
      <c r="A54" s="1" t="s">
        <v>15</v>
      </c>
      <c r="B54" s="1" t="s">
        <v>16</v>
      </c>
      <c r="C54" s="1" t="s">
        <v>32</v>
      </c>
      <c r="D54" s="1">
        <v>77</v>
      </c>
      <c r="E54" s="1" t="s">
        <v>17</v>
      </c>
      <c r="F54" s="1" t="s">
        <v>18</v>
      </c>
      <c r="G54" s="1">
        <v>1.2</v>
      </c>
      <c r="H54" s="1" t="s">
        <v>20</v>
      </c>
      <c r="I54" t="s">
        <v>52</v>
      </c>
      <c r="J54" t="s">
        <v>44</v>
      </c>
      <c r="K54" t="s">
        <v>45</v>
      </c>
      <c r="L54" t="s">
        <v>46</v>
      </c>
      <c r="M54" t="str">
        <f t="shared" si="3"/>
        <v>non-charge-altering-copy1</v>
      </c>
      <c r="N54" t="str">
        <f t="shared" si="0"/>
        <v>3tu4</v>
      </c>
      <c r="O54" t="s">
        <v>33</v>
      </c>
      <c r="P54" t="str">
        <f t="shared" si="1"/>
        <v>H3 D77E</v>
      </c>
    </row>
    <row r="55" spans="1:16">
      <c r="A55" s="1" t="s">
        <v>15</v>
      </c>
      <c r="B55" s="1" t="s">
        <v>16</v>
      </c>
      <c r="C55" s="1" t="s">
        <v>32</v>
      </c>
      <c r="D55" s="1">
        <v>78</v>
      </c>
      <c r="E55" s="1" t="s">
        <v>31</v>
      </c>
      <c r="F55" s="1" t="s">
        <v>28</v>
      </c>
      <c r="G55" s="1">
        <v>1.53</v>
      </c>
      <c r="H55" s="1" t="s">
        <v>20</v>
      </c>
      <c r="I55" t="s">
        <v>43</v>
      </c>
      <c r="J55" t="s">
        <v>44</v>
      </c>
      <c r="K55" t="s">
        <v>45</v>
      </c>
      <c r="L55" t="s">
        <v>46</v>
      </c>
      <c r="M55" t="str">
        <f t="shared" si="3"/>
        <v>non-charge-altering-copy1</v>
      </c>
      <c r="N55" t="str">
        <f t="shared" si="0"/>
        <v>3tu4</v>
      </c>
      <c r="O55" t="s">
        <v>33</v>
      </c>
      <c r="P55" t="str">
        <f t="shared" si="1"/>
        <v>H3 F78L</v>
      </c>
    </row>
    <row r="56" spans="1:16">
      <c r="A56" s="1" t="s">
        <v>15</v>
      </c>
      <c r="B56" s="1" t="s">
        <v>16</v>
      </c>
      <c r="C56" s="1" t="s">
        <v>32</v>
      </c>
      <c r="D56" s="1">
        <v>78</v>
      </c>
      <c r="E56" s="1" t="s">
        <v>31</v>
      </c>
      <c r="F56" s="1" t="s">
        <v>39</v>
      </c>
      <c r="G56" s="1">
        <v>1.46</v>
      </c>
      <c r="H56" s="1" t="s">
        <v>20</v>
      </c>
      <c r="I56" t="s">
        <v>43</v>
      </c>
      <c r="J56" t="s">
        <v>44</v>
      </c>
      <c r="K56" t="s">
        <v>45</v>
      </c>
      <c r="L56" t="s">
        <v>46</v>
      </c>
      <c r="M56" t="str">
        <f t="shared" si="3"/>
        <v>non-charge-altering-copy1</v>
      </c>
      <c r="N56" t="str">
        <f t="shared" si="0"/>
        <v>3tu4</v>
      </c>
      <c r="O56" t="s">
        <v>33</v>
      </c>
      <c r="P56" t="str">
        <f t="shared" si="1"/>
        <v>H3 F78C</v>
      </c>
    </row>
    <row r="57" spans="1:16">
      <c r="A57" s="1" t="s">
        <v>15</v>
      </c>
      <c r="B57" s="1" t="s">
        <v>16</v>
      </c>
      <c r="C57" s="1" t="s">
        <v>32</v>
      </c>
      <c r="D57" s="1">
        <v>80</v>
      </c>
      <c r="E57" s="1" t="s">
        <v>47</v>
      </c>
      <c r="F57" s="1" t="s">
        <v>32</v>
      </c>
      <c r="G57" s="1">
        <v>0.52</v>
      </c>
      <c r="H57" s="1" t="s">
        <v>20</v>
      </c>
      <c r="I57" t="s">
        <v>43</v>
      </c>
      <c r="J57" t="s">
        <v>44</v>
      </c>
      <c r="K57" t="s">
        <v>45</v>
      </c>
      <c r="L57" t="s">
        <v>46</v>
      </c>
      <c r="M57" t="str">
        <f t="shared" si="3"/>
        <v>non-charge-altering-copy1</v>
      </c>
      <c r="N57" t="str">
        <f t="shared" si="0"/>
        <v>3tu4</v>
      </c>
      <c r="O57" t="s">
        <v>33</v>
      </c>
      <c r="P57" t="str">
        <f t="shared" si="1"/>
        <v>H3 T80A</v>
      </c>
    </row>
    <row r="58" spans="1:16">
      <c r="A58" s="1" t="s">
        <v>15</v>
      </c>
      <c r="B58" s="1" t="s">
        <v>16</v>
      </c>
      <c r="C58" s="1" t="s">
        <v>18</v>
      </c>
      <c r="D58" s="1">
        <v>77</v>
      </c>
      <c r="E58" s="1" t="s">
        <v>17</v>
      </c>
      <c r="F58" s="1" t="s">
        <v>18</v>
      </c>
      <c r="G58" s="1">
        <v>0.97</v>
      </c>
      <c r="H58" s="1" t="s">
        <v>20</v>
      </c>
      <c r="I58" t="s">
        <v>52</v>
      </c>
      <c r="J58" t="s">
        <v>44</v>
      </c>
      <c r="K58" t="s">
        <v>45</v>
      </c>
      <c r="L58" t="s">
        <v>46</v>
      </c>
      <c r="M58" t="str">
        <f t="shared" si="3"/>
        <v>non-charge-altering-copy2</v>
      </c>
      <c r="N58" t="str">
        <f t="shared" si="0"/>
        <v>3tu4</v>
      </c>
      <c r="O58" t="s">
        <v>33</v>
      </c>
      <c r="P58" t="str">
        <f t="shared" si="1"/>
        <v>H3 D77E</v>
      </c>
    </row>
    <row r="59" spans="1:16">
      <c r="A59" s="1" t="s">
        <v>15</v>
      </c>
      <c r="B59" s="1" t="s">
        <v>16</v>
      </c>
      <c r="C59" s="1" t="s">
        <v>18</v>
      </c>
      <c r="D59" s="1">
        <v>78</v>
      </c>
      <c r="E59" s="1" t="s">
        <v>31</v>
      </c>
      <c r="F59" s="1" t="s">
        <v>28</v>
      </c>
      <c r="G59" s="1">
        <v>1.49</v>
      </c>
      <c r="H59" s="1" t="s">
        <v>20</v>
      </c>
      <c r="I59" t="s">
        <v>43</v>
      </c>
      <c r="J59" t="s">
        <v>44</v>
      </c>
      <c r="K59" t="s">
        <v>45</v>
      </c>
      <c r="L59" t="s">
        <v>46</v>
      </c>
      <c r="M59" t="str">
        <f t="shared" si="3"/>
        <v>non-charge-altering-copy2</v>
      </c>
      <c r="N59" t="str">
        <f t="shared" si="0"/>
        <v>3tu4</v>
      </c>
      <c r="O59" t="s">
        <v>33</v>
      </c>
      <c r="P59" t="str">
        <f t="shared" si="1"/>
        <v>H3 F78L</v>
      </c>
    </row>
    <row r="60" spans="1:16">
      <c r="A60" s="1" t="s">
        <v>15</v>
      </c>
      <c r="B60" s="1" t="s">
        <v>16</v>
      </c>
      <c r="C60" s="1" t="s">
        <v>18</v>
      </c>
      <c r="D60" s="1">
        <v>78</v>
      </c>
      <c r="E60" s="1" t="s">
        <v>31</v>
      </c>
      <c r="F60" s="1" t="s">
        <v>39</v>
      </c>
      <c r="G60" s="1">
        <v>1.45</v>
      </c>
      <c r="H60" s="1" t="s">
        <v>20</v>
      </c>
      <c r="I60" t="s">
        <v>43</v>
      </c>
      <c r="J60" t="s">
        <v>44</v>
      </c>
      <c r="K60" t="s">
        <v>45</v>
      </c>
      <c r="L60" t="s">
        <v>46</v>
      </c>
      <c r="M60" t="str">
        <f t="shared" si="3"/>
        <v>non-charge-altering-copy2</v>
      </c>
      <c r="N60" t="str">
        <f t="shared" si="0"/>
        <v>3tu4</v>
      </c>
      <c r="O60" t="s">
        <v>33</v>
      </c>
      <c r="P60" t="str">
        <f t="shared" si="1"/>
        <v>H3 F78C</v>
      </c>
    </row>
    <row r="61" spans="1:16">
      <c r="A61" s="1" t="s">
        <v>15</v>
      </c>
      <c r="B61" s="1" t="s">
        <v>16</v>
      </c>
      <c r="C61" s="1" t="s">
        <v>18</v>
      </c>
      <c r="D61" s="1">
        <v>80</v>
      </c>
      <c r="E61" s="1" t="s">
        <v>47</v>
      </c>
      <c r="F61" s="1" t="s">
        <v>32</v>
      </c>
      <c r="G61" s="1">
        <v>0.52</v>
      </c>
      <c r="H61" s="1" t="s">
        <v>20</v>
      </c>
      <c r="I61" t="s">
        <v>43</v>
      </c>
      <c r="J61" t="s">
        <v>44</v>
      </c>
      <c r="K61" t="s">
        <v>45</v>
      </c>
      <c r="L61" t="s">
        <v>46</v>
      </c>
      <c r="M61" t="str">
        <f t="shared" si="3"/>
        <v>non-charge-altering-copy2</v>
      </c>
      <c r="N61" t="str">
        <f t="shared" si="0"/>
        <v>3tu4</v>
      </c>
      <c r="O61" t="s">
        <v>33</v>
      </c>
      <c r="P61" t="str">
        <f t="shared" si="1"/>
        <v>H3 T80A</v>
      </c>
    </row>
  </sheetData>
  <autoFilter xmlns:etc="http://www.wps.cn/officeDocument/2017/etCustomData" ref="A1:P61" etc:filterBottomFollowUsedRange="0">
    <extLst/>
  </autoFilter>
  <conditionalFormatting sqref="P$1:P$1048576">
    <cfRule type="duplicateValues" dxfId="0" priority="1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75"/>
  <sheetViews>
    <sheetView tabSelected="1" workbookViewId="0">
      <selection activeCell="M2" sqref="M2:M375"/>
    </sheetView>
  </sheetViews>
  <sheetFormatPr defaultColWidth="8.7962962962963" defaultRowHeight="13.8"/>
  <cols>
    <col min="1" max="1" width="14.7037037037037" customWidth="1"/>
    <col min="2" max="2" width="18.7962962962963" customWidth="1"/>
    <col min="12" max="12" width="18.1018518518519" customWidth="1"/>
    <col min="13" max="13" width="24.6018518518519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t="s">
        <v>0</v>
      </c>
      <c r="O1" t="s">
        <v>13</v>
      </c>
      <c r="P1" s="2" t="s">
        <v>14</v>
      </c>
    </row>
    <row r="2" spans="1:16">
      <c r="A2" s="1" t="s">
        <v>15</v>
      </c>
      <c r="B2" s="1" t="s">
        <v>16</v>
      </c>
      <c r="C2" s="1" t="s">
        <v>17</v>
      </c>
      <c r="D2" s="1">
        <v>110</v>
      </c>
      <c r="E2" s="1" t="s">
        <v>18</v>
      </c>
      <c r="F2" s="1" t="s">
        <v>19</v>
      </c>
      <c r="G2" s="1">
        <v>1.21</v>
      </c>
      <c r="H2" s="1" t="s">
        <v>20</v>
      </c>
      <c r="I2" t="s">
        <v>21</v>
      </c>
      <c r="J2" t="s">
        <v>22</v>
      </c>
      <c r="K2" t="s">
        <v>23</v>
      </c>
      <c r="L2" t="s">
        <v>24</v>
      </c>
      <c r="M2" t="str">
        <f>L2&amp;"-"&amp;IF(OR(C2="A",C2="B",C2="C",C2="D"),"copy1",IF(OR(C2="E",C2="F",C2="G",C2="H"),"copy2",""))</f>
        <v>charge-altering-copy1</v>
      </c>
      <c r="N2" t="str">
        <f t="shared" ref="N2:N65" si="0">LEFT(A2,4)</f>
        <v>3tu4</v>
      </c>
      <c r="O2" t="s">
        <v>25</v>
      </c>
      <c r="P2" t="str">
        <f t="shared" ref="P2:P65" si="1">O2&amp;" "&amp;E2&amp;D2&amp;F2</f>
        <v>H2B E110Q</v>
      </c>
    </row>
    <row r="3" spans="1:16">
      <c r="A3" s="1" t="s">
        <v>15</v>
      </c>
      <c r="B3" s="1" t="s">
        <v>16</v>
      </c>
      <c r="C3" s="1" t="s">
        <v>17</v>
      </c>
      <c r="D3" s="1">
        <v>32</v>
      </c>
      <c r="E3" s="1" t="s">
        <v>18</v>
      </c>
      <c r="F3" s="1" t="s">
        <v>32</v>
      </c>
      <c r="G3" s="1">
        <v>0.68</v>
      </c>
      <c r="H3" s="1" t="s">
        <v>20</v>
      </c>
      <c r="I3" t="s">
        <v>21</v>
      </c>
      <c r="J3" t="s">
        <v>22</v>
      </c>
      <c r="K3" t="s">
        <v>23</v>
      </c>
      <c r="L3" t="s">
        <v>24</v>
      </c>
      <c r="M3" t="str">
        <f t="shared" ref="M3:M66" si="2">L3&amp;"-"&amp;IF(OR(C3="A",C3="B",C3="C",C3="D"),"copy1",IF(OR(C3="E",C3="F",C3="G",C3="H"),"copy2",""))</f>
        <v>charge-altering-copy1</v>
      </c>
      <c r="N3" t="str">
        <f t="shared" si="0"/>
        <v>3tu4</v>
      </c>
      <c r="O3" t="s">
        <v>25</v>
      </c>
      <c r="P3" t="str">
        <f t="shared" si="1"/>
        <v>H2B E32A</v>
      </c>
    </row>
    <row r="4" spans="1:16">
      <c r="A4" s="1" t="s">
        <v>15</v>
      </c>
      <c r="B4" s="1" t="s">
        <v>16</v>
      </c>
      <c r="C4" s="1" t="s">
        <v>17</v>
      </c>
      <c r="D4" s="1">
        <v>48</v>
      </c>
      <c r="E4" s="1" t="s">
        <v>17</v>
      </c>
      <c r="F4" s="1" t="s">
        <v>34</v>
      </c>
      <c r="G4" s="1">
        <v>1.27</v>
      </c>
      <c r="H4" s="1" t="s">
        <v>20</v>
      </c>
      <c r="I4" t="s">
        <v>21</v>
      </c>
      <c r="J4" t="s">
        <v>22</v>
      </c>
      <c r="K4" t="s">
        <v>23</v>
      </c>
      <c r="L4" t="s">
        <v>24</v>
      </c>
      <c r="M4" t="str">
        <f t="shared" si="2"/>
        <v>charge-altering-copy1</v>
      </c>
      <c r="N4" t="str">
        <f t="shared" si="0"/>
        <v>3tu4</v>
      </c>
      <c r="O4" t="s">
        <v>25</v>
      </c>
      <c r="P4" t="str">
        <f t="shared" si="1"/>
        <v>H2B D48N</v>
      </c>
    </row>
    <row r="5" spans="1:16">
      <c r="A5" s="1" t="s">
        <v>15</v>
      </c>
      <c r="B5" s="1" t="s">
        <v>16</v>
      </c>
      <c r="C5" s="1" t="s">
        <v>17</v>
      </c>
      <c r="D5" s="1">
        <v>68</v>
      </c>
      <c r="E5" s="1" t="s">
        <v>18</v>
      </c>
      <c r="F5" s="1" t="s">
        <v>19</v>
      </c>
      <c r="G5" s="1">
        <v>0.85</v>
      </c>
      <c r="H5" s="1" t="s">
        <v>20</v>
      </c>
      <c r="I5" t="s">
        <v>21</v>
      </c>
      <c r="J5" t="s">
        <v>22</v>
      </c>
      <c r="K5" t="s">
        <v>23</v>
      </c>
      <c r="L5" t="s">
        <v>24</v>
      </c>
      <c r="M5" t="str">
        <f t="shared" si="2"/>
        <v>charge-altering-copy1</v>
      </c>
      <c r="N5" t="str">
        <f t="shared" si="0"/>
        <v>3tu4</v>
      </c>
      <c r="O5" t="s">
        <v>25</v>
      </c>
      <c r="P5" t="str">
        <f t="shared" si="1"/>
        <v>H2B E68Q</v>
      </c>
    </row>
    <row r="6" spans="1:16">
      <c r="A6" s="1" t="s">
        <v>15</v>
      </c>
      <c r="B6" s="1" t="s">
        <v>16</v>
      </c>
      <c r="C6" s="1" t="s">
        <v>17</v>
      </c>
      <c r="D6" s="1">
        <v>73</v>
      </c>
      <c r="E6" s="1" t="s">
        <v>18</v>
      </c>
      <c r="F6" s="1" t="s">
        <v>19</v>
      </c>
      <c r="G6" s="1">
        <v>0.97</v>
      </c>
      <c r="H6" s="1" t="s">
        <v>20</v>
      </c>
      <c r="I6" t="s">
        <v>21</v>
      </c>
      <c r="J6" t="s">
        <v>22</v>
      </c>
      <c r="K6" t="s">
        <v>23</v>
      </c>
      <c r="L6" t="s">
        <v>24</v>
      </c>
      <c r="M6" t="str">
        <f t="shared" si="2"/>
        <v>charge-altering-copy1</v>
      </c>
      <c r="N6" t="str">
        <f t="shared" si="0"/>
        <v>3tu4</v>
      </c>
      <c r="O6" t="s">
        <v>25</v>
      </c>
      <c r="P6" t="str">
        <f t="shared" si="1"/>
        <v>H2B E73Q</v>
      </c>
    </row>
    <row r="7" spans="1:16">
      <c r="A7" s="1" t="s">
        <v>15</v>
      </c>
      <c r="B7" s="1" t="s">
        <v>16</v>
      </c>
      <c r="C7" s="1" t="s">
        <v>26</v>
      </c>
      <c r="D7" s="1">
        <v>110</v>
      </c>
      <c r="E7" s="1" t="s">
        <v>18</v>
      </c>
      <c r="F7" s="1" t="s">
        <v>19</v>
      </c>
      <c r="G7" s="1">
        <v>1.09</v>
      </c>
      <c r="H7" s="1" t="s">
        <v>20</v>
      </c>
      <c r="I7" t="s">
        <v>21</v>
      </c>
      <c r="J7" t="s">
        <v>22</v>
      </c>
      <c r="K7" t="s">
        <v>23</v>
      </c>
      <c r="L7" t="s">
        <v>24</v>
      </c>
      <c r="M7" t="str">
        <f t="shared" si="2"/>
        <v>charge-altering-copy2</v>
      </c>
      <c r="N7" t="str">
        <f t="shared" si="0"/>
        <v>3tu4</v>
      </c>
      <c r="O7" t="s">
        <v>25</v>
      </c>
      <c r="P7" t="str">
        <f t="shared" si="1"/>
        <v>H2B E110Q</v>
      </c>
    </row>
    <row r="8" spans="1:16">
      <c r="A8" s="1" t="s">
        <v>15</v>
      </c>
      <c r="B8" s="1" t="s">
        <v>16</v>
      </c>
      <c r="C8" s="1" t="s">
        <v>26</v>
      </c>
      <c r="D8" s="1">
        <v>32</v>
      </c>
      <c r="E8" s="1" t="s">
        <v>18</v>
      </c>
      <c r="F8" s="1" t="s">
        <v>32</v>
      </c>
      <c r="G8" s="1">
        <v>0.68</v>
      </c>
      <c r="H8" s="1" t="s">
        <v>20</v>
      </c>
      <c r="I8" t="s">
        <v>21</v>
      </c>
      <c r="J8" t="s">
        <v>22</v>
      </c>
      <c r="K8" t="s">
        <v>23</v>
      </c>
      <c r="L8" t="s">
        <v>24</v>
      </c>
      <c r="M8" t="str">
        <f t="shared" si="2"/>
        <v>charge-altering-copy2</v>
      </c>
      <c r="N8" t="str">
        <f t="shared" si="0"/>
        <v>3tu4</v>
      </c>
      <c r="O8" t="s">
        <v>25</v>
      </c>
      <c r="P8" t="str">
        <f t="shared" si="1"/>
        <v>H2B E32A</v>
      </c>
    </row>
    <row r="9" spans="1:16">
      <c r="A9" s="1" t="s">
        <v>15</v>
      </c>
      <c r="B9" s="1" t="s">
        <v>16</v>
      </c>
      <c r="C9" s="1" t="s">
        <v>26</v>
      </c>
      <c r="D9" s="1">
        <v>48</v>
      </c>
      <c r="E9" s="1" t="s">
        <v>17</v>
      </c>
      <c r="F9" s="1" t="s">
        <v>34</v>
      </c>
      <c r="G9" s="1">
        <v>1.21</v>
      </c>
      <c r="H9" s="1" t="s">
        <v>20</v>
      </c>
      <c r="I9" t="s">
        <v>21</v>
      </c>
      <c r="J9" t="s">
        <v>22</v>
      </c>
      <c r="K9" t="s">
        <v>23</v>
      </c>
      <c r="L9" t="s">
        <v>24</v>
      </c>
      <c r="M9" t="str">
        <f t="shared" si="2"/>
        <v>charge-altering-copy2</v>
      </c>
      <c r="N9" t="str">
        <f t="shared" si="0"/>
        <v>3tu4</v>
      </c>
      <c r="O9" t="s">
        <v>25</v>
      </c>
      <c r="P9" t="str">
        <f t="shared" si="1"/>
        <v>H2B D48N</v>
      </c>
    </row>
    <row r="10" spans="1:16">
      <c r="A10" s="1" t="s">
        <v>15</v>
      </c>
      <c r="B10" s="1" t="s">
        <v>16</v>
      </c>
      <c r="C10" s="1" t="s">
        <v>26</v>
      </c>
      <c r="D10" s="1">
        <v>68</v>
      </c>
      <c r="E10" s="1" t="s">
        <v>18</v>
      </c>
      <c r="F10" s="1" t="s">
        <v>19</v>
      </c>
      <c r="G10" s="1">
        <v>0.85</v>
      </c>
      <c r="H10" s="1" t="s">
        <v>20</v>
      </c>
      <c r="I10" t="s">
        <v>21</v>
      </c>
      <c r="J10" t="s">
        <v>22</v>
      </c>
      <c r="K10" t="s">
        <v>23</v>
      </c>
      <c r="L10" t="s">
        <v>24</v>
      </c>
      <c r="M10" t="str">
        <f t="shared" si="2"/>
        <v>charge-altering-copy2</v>
      </c>
      <c r="N10" t="str">
        <f t="shared" si="0"/>
        <v>3tu4</v>
      </c>
      <c r="O10" t="s">
        <v>25</v>
      </c>
      <c r="P10" t="str">
        <f t="shared" si="1"/>
        <v>H2B E68Q</v>
      </c>
    </row>
    <row r="11" spans="1:16">
      <c r="A11" s="1" t="s">
        <v>15</v>
      </c>
      <c r="B11" s="1" t="s">
        <v>16</v>
      </c>
      <c r="C11" s="1" t="s">
        <v>26</v>
      </c>
      <c r="D11" s="1">
        <v>73</v>
      </c>
      <c r="E11" s="1" t="s">
        <v>18</v>
      </c>
      <c r="F11" s="1" t="s">
        <v>19</v>
      </c>
      <c r="G11" s="1">
        <v>0.97</v>
      </c>
      <c r="H11" s="1" t="s">
        <v>20</v>
      </c>
      <c r="I11" t="s">
        <v>21</v>
      </c>
      <c r="J11" t="s">
        <v>22</v>
      </c>
      <c r="K11" t="s">
        <v>23</v>
      </c>
      <c r="L11" t="s">
        <v>24</v>
      </c>
      <c r="M11" t="str">
        <f t="shared" si="2"/>
        <v>charge-altering-copy2</v>
      </c>
      <c r="N11" t="str">
        <f t="shared" si="0"/>
        <v>3tu4</v>
      </c>
      <c r="O11" t="s">
        <v>25</v>
      </c>
      <c r="P11" t="str">
        <f t="shared" si="1"/>
        <v>H2B E73Q</v>
      </c>
    </row>
    <row r="12" spans="1:16">
      <c r="A12" s="1" t="s">
        <v>15</v>
      </c>
      <c r="B12" s="1" t="s">
        <v>16</v>
      </c>
      <c r="C12" s="1" t="s">
        <v>39</v>
      </c>
      <c r="D12" s="1">
        <v>56</v>
      </c>
      <c r="E12" s="1" t="s">
        <v>18</v>
      </c>
      <c r="F12" s="1" t="s">
        <v>19</v>
      </c>
      <c r="G12" s="1">
        <v>1.52</v>
      </c>
      <c r="H12" s="1" t="s">
        <v>20</v>
      </c>
      <c r="I12" t="s">
        <v>21</v>
      </c>
      <c r="J12" t="s">
        <v>22</v>
      </c>
      <c r="K12" t="s">
        <v>23</v>
      </c>
      <c r="L12" t="s">
        <v>24</v>
      </c>
      <c r="M12" t="str">
        <f t="shared" si="2"/>
        <v>charge-altering-copy1</v>
      </c>
      <c r="N12" t="str">
        <f t="shared" si="0"/>
        <v>3tu4</v>
      </c>
      <c r="O12" t="s">
        <v>40</v>
      </c>
      <c r="P12" t="str">
        <f t="shared" si="1"/>
        <v>H2A E56Q</v>
      </c>
    </row>
    <row r="13" spans="1:16">
      <c r="A13" s="1" t="s">
        <v>15</v>
      </c>
      <c r="B13" s="1" t="s">
        <v>16</v>
      </c>
      <c r="C13" s="1" t="s">
        <v>41</v>
      </c>
      <c r="D13" s="1">
        <v>56</v>
      </c>
      <c r="E13" s="1" t="s">
        <v>18</v>
      </c>
      <c r="F13" s="1" t="s">
        <v>19</v>
      </c>
      <c r="G13" s="1">
        <v>1.43</v>
      </c>
      <c r="H13" s="1" t="s">
        <v>20</v>
      </c>
      <c r="I13" t="s">
        <v>21</v>
      </c>
      <c r="J13" t="s">
        <v>22</v>
      </c>
      <c r="K13" t="s">
        <v>23</v>
      </c>
      <c r="L13" t="s">
        <v>24</v>
      </c>
      <c r="M13" t="str">
        <f t="shared" si="2"/>
        <v>charge-altering-copy2</v>
      </c>
      <c r="N13" t="str">
        <f t="shared" si="0"/>
        <v>3tu4</v>
      </c>
      <c r="O13" t="s">
        <v>40</v>
      </c>
      <c r="P13" t="str">
        <f t="shared" si="1"/>
        <v>H2A E56Q</v>
      </c>
    </row>
    <row r="14" spans="1:16">
      <c r="A14" s="1" t="s">
        <v>15</v>
      </c>
      <c r="B14" s="1" t="s">
        <v>16</v>
      </c>
      <c r="C14" s="1" t="s">
        <v>27</v>
      </c>
      <c r="D14" s="1">
        <v>24</v>
      </c>
      <c r="E14" s="1" t="s">
        <v>17</v>
      </c>
      <c r="F14" s="1" t="s">
        <v>41</v>
      </c>
      <c r="G14" s="1">
        <v>0.72</v>
      </c>
      <c r="H14" s="1" t="s">
        <v>20</v>
      </c>
      <c r="I14" t="s">
        <v>21</v>
      </c>
      <c r="J14" t="s">
        <v>22</v>
      </c>
      <c r="K14" t="s">
        <v>23</v>
      </c>
      <c r="L14" t="s">
        <v>24</v>
      </c>
      <c r="M14" t="str">
        <f t="shared" si="2"/>
        <v>charge-altering-copy1</v>
      </c>
      <c r="N14" t="str">
        <f t="shared" si="0"/>
        <v>3tu4</v>
      </c>
      <c r="O14" t="s">
        <v>30</v>
      </c>
      <c r="P14" t="str">
        <f t="shared" si="1"/>
        <v>H4 D24G</v>
      </c>
    </row>
    <row r="15" spans="1:16">
      <c r="A15" s="1" t="s">
        <v>15</v>
      </c>
      <c r="B15" s="1" t="s">
        <v>16</v>
      </c>
      <c r="C15" s="1" t="s">
        <v>27</v>
      </c>
      <c r="D15" s="1">
        <v>63</v>
      </c>
      <c r="E15" s="1" t="s">
        <v>18</v>
      </c>
      <c r="F15" s="1" t="s">
        <v>19</v>
      </c>
      <c r="G15" s="1">
        <v>1.39</v>
      </c>
      <c r="H15" s="1" t="s">
        <v>20</v>
      </c>
      <c r="I15" t="s">
        <v>21</v>
      </c>
      <c r="J15" t="s">
        <v>22</v>
      </c>
      <c r="K15" t="s">
        <v>23</v>
      </c>
      <c r="L15" t="s">
        <v>24</v>
      </c>
      <c r="M15" t="str">
        <f t="shared" si="2"/>
        <v>charge-altering-copy1</v>
      </c>
      <c r="N15" t="str">
        <f t="shared" si="0"/>
        <v>3tu4</v>
      </c>
      <c r="O15" t="s">
        <v>30</v>
      </c>
      <c r="P15" t="str">
        <f t="shared" si="1"/>
        <v>H4 E63Q</v>
      </c>
    </row>
    <row r="16" spans="1:16">
      <c r="A16" s="1" t="s">
        <v>15</v>
      </c>
      <c r="B16" s="1" t="s">
        <v>16</v>
      </c>
      <c r="C16" s="1" t="s">
        <v>27</v>
      </c>
      <c r="D16" s="1">
        <v>68</v>
      </c>
      <c r="E16" s="1" t="s">
        <v>17</v>
      </c>
      <c r="F16" s="1" t="s">
        <v>54</v>
      </c>
      <c r="G16" s="1">
        <v>0.47</v>
      </c>
      <c r="H16" s="1" t="s">
        <v>20</v>
      </c>
      <c r="I16" t="s">
        <v>21</v>
      </c>
      <c r="J16" t="s">
        <v>22</v>
      </c>
      <c r="K16" t="s">
        <v>23</v>
      </c>
      <c r="L16" t="s">
        <v>24</v>
      </c>
      <c r="M16" t="str">
        <f t="shared" si="2"/>
        <v>charge-altering-copy1</v>
      </c>
      <c r="N16" t="str">
        <f t="shared" si="0"/>
        <v>3tu4</v>
      </c>
      <c r="O16" t="s">
        <v>30</v>
      </c>
      <c r="P16" t="str">
        <f t="shared" si="1"/>
        <v>H4 D68Y</v>
      </c>
    </row>
    <row r="17" spans="1:16">
      <c r="A17" s="1" t="s">
        <v>15</v>
      </c>
      <c r="B17" s="1" t="s">
        <v>16</v>
      </c>
      <c r="C17" s="1" t="s">
        <v>27</v>
      </c>
      <c r="D17" s="1">
        <v>68</v>
      </c>
      <c r="E17" s="1" t="s">
        <v>17</v>
      </c>
      <c r="F17" s="1" t="s">
        <v>34</v>
      </c>
      <c r="G17" s="1">
        <v>0.99</v>
      </c>
      <c r="H17" s="1" t="s">
        <v>20</v>
      </c>
      <c r="I17" t="s">
        <v>21</v>
      </c>
      <c r="J17" t="s">
        <v>22</v>
      </c>
      <c r="K17" t="s">
        <v>23</v>
      </c>
      <c r="L17" t="s">
        <v>24</v>
      </c>
      <c r="M17" t="str">
        <f t="shared" si="2"/>
        <v>charge-altering-copy1</v>
      </c>
      <c r="N17" t="str">
        <f t="shared" si="0"/>
        <v>3tu4</v>
      </c>
      <c r="O17" t="s">
        <v>30</v>
      </c>
      <c r="P17" t="str">
        <f t="shared" si="1"/>
        <v>H4 D68N</v>
      </c>
    </row>
    <row r="18" spans="1:16">
      <c r="A18" s="1" t="s">
        <v>15</v>
      </c>
      <c r="B18" s="1" t="s">
        <v>16</v>
      </c>
      <c r="C18" s="1" t="s">
        <v>27</v>
      </c>
      <c r="D18" s="1">
        <v>74</v>
      </c>
      <c r="E18" s="1" t="s">
        <v>18</v>
      </c>
      <c r="F18" s="1" t="s">
        <v>19</v>
      </c>
      <c r="G18" s="1">
        <v>1.2</v>
      </c>
      <c r="H18" s="1" t="s">
        <v>20</v>
      </c>
      <c r="I18" t="s">
        <v>21</v>
      </c>
      <c r="J18" t="s">
        <v>22</v>
      </c>
      <c r="K18" t="s">
        <v>23</v>
      </c>
      <c r="L18" t="s">
        <v>24</v>
      </c>
      <c r="M18" t="str">
        <f t="shared" si="2"/>
        <v>charge-altering-copy1</v>
      </c>
      <c r="N18" t="str">
        <f t="shared" si="0"/>
        <v>3tu4</v>
      </c>
      <c r="O18" t="s">
        <v>30</v>
      </c>
      <c r="P18" t="str">
        <f t="shared" si="1"/>
        <v>H4 E74Q</v>
      </c>
    </row>
    <row r="19" spans="1:16">
      <c r="A19" s="1" t="s">
        <v>15</v>
      </c>
      <c r="B19" s="1" t="s">
        <v>16</v>
      </c>
      <c r="C19" s="1" t="s">
        <v>31</v>
      </c>
      <c r="D19" s="1">
        <v>24</v>
      </c>
      <c r="E19" s="1" t="s">
        <v>17</v>
      </c>
      <c r="F19" s="1" t="s">
        <v>41</v>
      </c>
      <c r="G19" s="1">
        <v>0.71</v>
      </c>
      <c r="H19" s="1" t="s">
        <v>20</v>
      </c>
      <c r="I19" t="s">
        <v>21</v>
      </c>
      <c r="J19" t="s">
        <v>22</v>
      </c>
      <c r="K19" t="s">
        <v>23</v>
      </c>
      <c r="L19" t="s">
        <v>24</v>
      </c>
      <c r="M19" t="str">
        <f t="shared" si="2"/>
        <v>charge-altering-copy2</v>
      </c>
      <c r="N19" t="str">
        <f t="shared" si="0"/>
        <v>3tu4</v>
      </c>
      <c r="O19" t="s">
        <v>30</v>
      </c>
      <c r="P19" t="str">
        <f t="shared" si="1"/>
        <v>H4 D24G</v>
      </c>
    </row>
    <row r="20" spans="1:16">
      <c r="A20" s="1" t="s">
        <v>15</v>
      </c>
      <c r="B20" s="1" t="s">
        <v>16</v>
      </c>
      <c r="C20" s="1" t="s">
        <v>31</v>
      </c>
      <c r="D20" s="1">
        <v>63</v>
      </c>
      <c r="E20" s="1" t="s">
        <v>18</v>
      </c>
      <c r="F20" s="1" t="s">
        <v>19</v>
      </c>
      <c r="G20" s="1">
        <v>1.39</v>
      </c>
      <c r="H20" s="1" t="s">
        <v>20</v>
      </c>
      <c r="I20" t="s">
        <v>21</v>
      </c>
      <c r="J20" t="s">
        <v>22</v>
      </c>
      <c r="K20" t="s">
        <v>23</v>
      </c>
      <c r="L20" t="s">
        <v>24</v>
      </c>
      <c r="M20" t="str">
        <f t="shared" si="2"/>
        <v>charge-altering-copy2</v>
      </c>
      <c r="N20" t="str">
        <f t="shared" si="0"/>
        <v>3tu4</v>
      </c>
      <c r="O20" t="s">
        <v>30</v>
      </c>
      <c r="P20" t="str">
        <f t="shared" si="1"/>
        <v>H4 E63Q</v>
      </c>
    </row>
    <row r="21" spans="1:16">
      <c r="A21" s="1" t="s">
        <v>15</v>
      </c>
      <c r="B21" s="1" t="s">
        <v>16</v>
      </c>
      <c r="C21" s="1" t="s">
        <v>31</v>
      </c>
      <c r="D21" s="1">
        <v>68</v>
      </c>
      <c r="E21" s="1" t="s">
        <v>17</v>
      </c>
      <c r="F21" s="1" t="s">
        <v>54</v>
      </c>
      <c r="G21" s="1">
        <v>0.47</v>
      </c>
      <c r="H21" s="1" t="s">
        <v>20</v>
      </c>
      <c r="I21" t="s">
        <v>21</v>
      </c>
      <c r="J21" t="s">
        <v>22</v>
      </c>
      <c r="K21" t="s">
        <v>23</v>
      </c>
      <c r="L21" t="s">
        <v>24</v>
      </c>
      <c r="M21" t="str">
        <f t="shared" si="2"/>
        <v>charge-altering-copy2</v>
      </c>
      <c r="N21" t="str">
        <f t="shared" si="0"/>
        <v>3tu4</v>
      </c>
      <c r="O21" t="s">
        <v>30</v>
      </c>
      <c r="P21" t="str">
        <f t="shared" si="1"/>
        <v>H4 D68Y</v>
      </c>
    </row>
    <row r="22" spans="1:16">
      <c r="A22" s="1" t="s">
        <v>15</v>
      </c>
      <c r="B22" s="1" t="s">
        <v>16</v>
      </c>
      <c r="C22" s="1" t="s">
        <v>31</v>
      </c>
      <c r="D22" s="1">
        <v>68</v>
      </c>
      <c r="E22" s="1" t="s">
        <v>17</v>
      </c>
      <c r="F22" s="1" t="s">
        <v>34</v>
      </c>
      <c r="G22" s="1">
        <v>0.99</v>
      </c>
      <c r="H22" s="1" t="s">
        <v>20</v>
      </c>
      <c r="I22" t="s">
        <v>21</v>
      </c>
      <c r="J22" t="s">
        <v>22</v>
      </c>
      <c r="K22" t="s">
        <v>23</v>
      </c>
      <c r="L22" t="s">
        <v>24</v>
      </c>
      <c r="M22" t="str">
        <f t="shared" si="2"/>
        <v>charge-altering-copy2</v>
      </c>
      <c r="N22" t="str">
        <f t="shared" si="0"/>
        <v>3tu4</v>
      </c>
      <c r="O22" t="s">
        <v>30</v>
      </c>
      <c r="P22" t="str">
        <f t="shared" si="1"/>
        <v>H4 D68N</v>
      </c>
    </row>
    <row r="23" spans="1:16">
      <c r="A23" s="1" t="s">
        <v>15</v>
      </c>
      <c r="B23" s="1" t="s">
        <v>16</v>
      </c>
      <c r="C23" s="1" t="s">
        <v>31</v>
      </c>
      <c r="D23" s="1">
        <v>74</v>
      </c>
      <c r="E23" s="1" t="s">
        <v>18</v>
      </c>
      <c r="F23" s="1" t="s">
        <v>19</v>
      </c>
      <c r="G23" s="1">
        <v>1.2</v>
      </c>
      <c r="H23" s="1" t="s">
        <v>20</v>
      </c>
      <c r="I23" t="s">
        <v>21</v>
      </c>
      <c r="J23" t="s">
        <v>22</v>
      </c>
      <c r="K23" t="s">
        <v>23</v>
      </c>
      <c r="L23" t="s">
        <v>24</v>
      </c>
      <c r="M23" t="str">
        <f t="shared" si="2"/>
        <v>charge-altering-copy2</v>
      </c>
      <c r="N23" t="str">
        <f t="shared" si="0"/>
        <v>3tu4</v>
      </c>
      <c r="O23" t="s">
        <v>30</v>
      </c>
      <c r="P23" t="str">
        <f t="shared" si="1"/>
        <v>H4 E74Q</v>
      </c>
    </row>
    <row r="24" spans="1:16">
      <c r="A24" s="1" t="s">
        <v>15</v>
      </c>
      <c r="B24" s="1" t="s">
        <v>16</v>
      </c>
      <c r="C24" s="1" t="s">
        <v>32</v>
      </c>
      <c r="D24" s="1">
        <v>105</v>
      </c>
      <c r="E24" s="1" t="s">
        <v>18</v>
      </c>
      <c r="F24" s="1" t="s">
        <v>19</v>
      </c>
      <c r="G24" s="1">
        <v>1.31</v>
      </c>
      <c r="H24" s="1" t="s">
        <v>20</v>
      </c>
      <c r="I24" t="s">
        <v>21</v>
      </c>
      <c r="J24" t="s">
        <v>22</v>
      </c>
      <c r="K24" t="s">
        <v>23</v>
      </c>
      <c r="L24" t="s">
        <v>24</v>
      </c>
      <c r="M24" t="str">
        <f t="shared" si="2"/>
        <v>charge-altering-copy1</v>
      </c>
      <c r="N24" t="str">
        <f t="shared" si="0"/>
        <v>3tu4</v>
      </c>
      <c r="O24" t="s">
        <v>33</v>
      </c>
      <c r="P24" t="str">
        <f t="shared" si="1"/>
        <v>H3 E105Q</v>
      </c>
    </row>
    <row r="25" spans="1:16">
      <c r="A25" s="1" t="s">
        <v>15</v>
      </c>
      <c r="B25" s="1" t="s">
        <v>16</v>
      </c>
      <c r="C25" s="1" t="s">
        <v>32</v>
      </c>
      <c r="D25" s="1">
        <v>106</v>
      </c>
      <c r="E25" s="1" t="s">
        <v>17</v>
      </c>
      <c r="F25" s="1" t="s">
        <v>34</v>
      </c>
      <c r="G25" s="1">
        <v>1</v>
      </c>
      <c r="H25" s="1" t="s">
        <v>20</v>
      </c>
      <c r="I25" t="s">
        <v>21</v>
      </c>
      <c r="J25" t="s">
        <v>22</v>
      </c>
      <c r="K25" t="s">
        <v>23</v>
      </c>
      <c r="L25" t="s">
        <v>24</v>
      </c>
      <c r="M25" t="str">
        <f t="shared" si="2"/>
        <v>charge-altering-copy1</v>
      </c>
      <c r="N25" t="str">
        <f t="shared" si="0"/>
        <v>3tu4</v>
      </c>
      <c r="O25" t="s">
        <v>33</v>
      </c>
      <c r="P25" t="str">
        <f t="shared" si="1"/>
        <v>H3 D106N</v>
      </c>
    </row>
    <row r="26" spans="1:16">
      <c r="A26" s="1" t="s">
        <v>15</v>
      </c>
      <c r="B26" s="1" t="s">
        <v>16</v>
      </c>
      <c r="C26" s="1" t="s">
        <v>32</v>
      </c>
      <c r="D26" s="1">
        <v>106</v>
      </c>
      <c r="E26" s="1" t="s">
        <v>17</v>
      </c>
      <c r="F26" s="1" t="s">
        <v>54</v>
      </c>
      <c r="G26" s="1">
        <v>0.58</v>
      </c>
      <c r="H26" s="1" t="s">
        <v>20</v>
      </c>
      <c r="I26" t="s">
        <v>21</v>
      </c>
      <c r="J26" t="s">
        <v>22</v>
      </c>
      <c r="K26" t="s">
        <v>23</v>
      </c>
      <c r="L26" t="s">
        <v>24</v>
      </c>
      <c r="M26" t="str">
        <f t="shared" si="2"/>
        <v>charge-altering-copy1</v>
      </c>
      <c r="N26" t="str">
        <f t="shared" si="0"/>
        <v>3tu4</v>
      </c>
      <c r="O26" t="s">
        <v>33</v>
      </c>
      <c r="P26" t="str">
        <f t="shared" si="1"/>
        <v>H3 D106Y</v>
      </c>
    </row>
    <row r="27" spans="1:16">
      <c r="A27" s="1" t="s">
        <v>15</v>
      </c>
      <c r="B27" s="1" t="s">
        <v>16</v>
      </c>
      <c r="C27" s="1" t="s">
        <v>32</v>
      </c>
      <c r="D27" s="1">
        <v>133</v>
      </c>
      <c r="E27" s="1" t="s">
        <v>18</v>
      </c>
      <c r="F27" s="1" t="s">
        <v>19</v>
      </c>
      <c r="G27" s="1">
        <v>0.77</v>
      </c>
      <c r="H27" s="1" t="s">
        <v>20</v>
      </c>
      <c r="I27" t="s">
        <v>21</v>
      </c>
      <c r="J27" t="s">
        <v>22</v>
      </c>
      <c r="K27" t="s">
        <v>23</v>
      </c>
      <c r="L27" t="s">
        <v>24</v>
      </c>
      <c r="M27" t="str">
        <f t="shared" si="2"/>
        <v>charge-altering-copy1</v>
      </c>
      <c r="N27" t="str">
        <f t="shared" si="0"/>
        <v>3tu4</v>
      </c>
      <c r="O27" t="s">
        <v>33</v>
      </c>
      <c r="P27" t="str">
        <f t="shared" si="1"/>
        <v>H3 E133Q</v>
      </c>
    </row>
    <row r="28" spans="1:16">
      <c r="A28" s="1" t="s">
        <v>15</v>
      </c>
      <c r="B28" s="1" t="s">
        <v>16</v>
      </c>
      <c r="C28" s="1" t="s">
        <v>32</v>
      </c>
      <c r="D28" s="1">
        <v>50</v>
      </c>
      <c r="E28" s="1" t="s">
        <v>18</v>
      </c>
      <c r="F28" s="1" t="s">
        <v>19</v>
      </c>
      <c r="G28" s="1">
        <v>1.69</v>
      </c>
      <c r="H28" s="1" t="s">
        <v>20</v>
      </c>
      <c r="I28" t="s">
        <v>21</v>
      </c>
      <c r="J28" t="s">
        <v>22</v>
      </c>
      <c r="K28" t="s">
        <v>23</v>
      </c>
      <c r="L28" t="s">
        <v>24</v>
      </c>
      <c r="M28" t="str">
        <f t="shared" si="2"/>
        <v>charge-altering-copy1</v>
      </c>
      <c r="N28" t="str">
        <f t="shared" si="0"/>
        <v>3tu4</v>
      </c>
      <c r="O28" t="s">
        <v>33</v>
      </c>
      <c r="P28" t="str">
        <f t="shared" si="1"/>
        <v>H3 E50Q</v>
      </c>
    </row>
    <row r="29" spans="1:16">
      <c r="A29" s="1" t="s">
        <v>15</v>
      </c>
      <c r="B29" s="1" t="s">
        <v>16</v>
      </c>
      <c r="C29" s="1" t="s">
        <v>32</v>
      </c>
      <c r="D29" s="1">
        <v>73</v>
      </c>
      <c r="E29" s="1" t="s">
        <v>18</v>
      </c>
      <c r="F29" s="1" t="s">
        <v>19</v>
      </c>
      <c r="G29" s="1">
        <v>0.72</v>
      </c>
      <c r="H29" s="1" t="s">
        <v>20</v>
      </c>
      <c r="I29" t="s">
        <v>21</v>
      </c>
      <c r="J29" t="s">
        <v>22</v>
      </c>
      <c r="K29" t="s">
        <v>23</v>
      </c>
      <c r="L29" t="s">
        <v>24</v>
      </c>
      <c r="M29" t="str">
        <f t="shared" si="2"/>
        <v>charge-altering-copy1</v>
      </c>
      <c r="N29" t="str">
        <f t="shared" si="0"/>
        <v>3tu4</v>
      </c>
      <c r="O29" t="s">
        <v>33</v>
      </c>
      <c r="P29" t="str">
        <f t="shared" si="1"/>
        <v>H3 E73Q</v>
      </c>
    </row>
    <row r="30" spans="1:16">
      <c r="A30" s="1" t="s">
        <v>15</v>
      </c>
      <c r="B30" s="1" t="s">
        <v>16</v>
      </c>
      <c r="C30" s="1" t="s">
        <v>32</v>
      </c>
      <c r="D30" s="1">
        <v>81</v>
      </c>
      <c r="E30" s="1" t="s">
        <v>17</v>
      </c>
      <c r="F30" s="1" t="s">
        <v>34</v>
      </c>
      <c r="G30" s="1">
        <v>0.97</v>
      </c>
      <c r="H30" s="1" t="s">
        <v>20</v>
      </c>
      <c r="I30" t="s">
        <v>21</v>
      </c>
      <c r="J30" t="s">
        <v>22</v>
      </c>
      <c r="K30" t="s">
        <v>23</v>
      </c>
      <c r="L30" t="s">
        <v>24</v>
      </c>
      <c r="M30" t="str">
        <f t="shared" si="2"/>
        <v>charge-altering-copy1</v>
      </c>
      <c r="N30" t="str">
        <f t="shared" si="0"/>
        <v>3tu4</v>
      </c>
      <c r="O30" t="s">
        <v>33</v>
      </c>
      <c r="P30" t="str">
        <f t="shared" si="1"/>
        <v>H3 D81N</v>
      </c>
    </row>
    <row r="31" spans="1:16">
      <c r="A31" s="1" t="s">
        <v>15</v>
      </c>
      <c r="B31" s="1" t="s">
        <v>16</v>
      </c>
      <c r="C31" s="1" t="s">
        <v>32</v>
      </c>
      <c r="D31" s="1">
        <v>94</v>
      </c>
      <c r="E31" s="1" t="s">
        <v>18</v>
      </c>
      <c r="F31" s="1" t="s">
        <v>19</v>
      </c>
      <c r="G31" s="1">
        <v>1.22</v>
      </c>
      <c r="H31" s="1" t="s">
        <v>20</v>
      </c>
      <c r="I31" t="s">
        <v>21</v>
      </c>
      <c r="J31" t="s">
        <v>22</v>
      </c>
      <c r="K31" t="s">
        <v>23</v>
      </c>
      <c r="L31" t="s">
        <v>24</v>
      </c>
      <c r="M31" t="str">
        <f t="shared" si="2"/>
        <v>charge-altering-copy1</v>
      </c>
      <c r="N31" t="str">
        <f t="shared" si="0"/>
        <v>3tu4</v>
      </c>
      <c r="O31" t="s">
        <v>33</v>
      </c>
      <c r="P31" t="str">
        <f t="shared" si="1"/>
        <v>H3 E94Q</v>
      </c>
    </row>
    <row r="32" spans="1:16">
      <c r="A32" s="1" t="s">
        <v>15</v>
      </c>
      <c r="B32" s="1" t="s">
        <v>16</v>
      </c>
      <c r="C32" s="1" t="s">
        <v>32</v>
      </c>
      <c r="D32" s="1">
        <v>97</v>
      </c>
      <c r="E32" s="1" t="s">
        <v>18</v>
      </c>
      <c r="F32" s="1" t="s">
        <v>19</v>
      </c>
      <c r="G32" s="1">
        <v>1.05</v>
      </c>
      <c r="H32" s="1" t="s">
        <v>20</v>
      </c>
      <c r="I32" t="s">
        <v>21</v>
      </c>
      <c r="J32" t="s">
        <v>22</v>
      </c>
      <c r="K32" t="s">
        <v>23</v>
      </c>
      <c r="L32" t="s">
        <v>24</v>
      </c>
      <c r="M32" t="str">
        <f t="shared" si="2"/>
        <v>charge-altering-copy1</v>
      </c>
      <c r="N32" t="str">
        <f t="shared" si="0"/>
        <v>3tu4</v>
      </c>
      <c r="O32" t="s">
        <v>33</v>
      </c>
      <c r="P32" t="str">
        <f t="shared" si="1"/>
        <v>H3 E97Q</v>
      </c>
    </row>
    <row r="33" spans="1:16">
      <c r="A33" s="1" t="s">
        <v>15</v>
      </c>
      <c r="B33" s="1" t="s">
        <v>16</v>
      </c>
      <c r="C33" s="1" t="s">
        <v>18</v>
      </c>
      <c r="D33" s="1">
        <v>105</v>
      </c>
      <c r="E33" s="1" t="s">
        <v>18</v>
      </c>
      <c r="F33" s="1" t="s">
        <v>19</v>
      </c>
      <c r="G33" s="1">
        <v>1.51</v>
      </c>
      <c r="H33" s="1" t="s">
        <v>20</v>
      </c>
      <c r="I33" t="s">
        <v>21</v>
      </c>
      <c r="J33" t="s">
        <v>22</v>
      </c>
      <c r="K33" t="s">
        <v>23</v>
      </c>
      <c r="L33" t="s">
        <v>24</v>
      </c>
      <c r="M33" t="str">
        <f t="shared" si="2"/>
        <v>charge-altering-copy2</v>
      </c>
      <c r="N33" t="str">
        <f t="shared" si="0"/>
        <v>3tu4</v>
      </c>
      <c r="O33" t="s">
        <v>33</v>
      </c>
      <c r="P33" t="str">
        <f t="shared" si="1"/>
        <v>H3 E105Q</v>
      </c>
    </row>
    <row r="34" spans="1:16">
      <c r="A34" s="1" t="s">
        <v>15</v>
      </c>
      <c r="B34" s="1" t="s">
        <v>16</v>
      </c>
      <c r="C34" s="1" t="s">
        <v>18</v>
      </c>
      <c r="D34" s="1">
        <v>106</v>
      </c>
      <c r="E34" s="1" t="s">
        <v>17</v>
      </c>
      <c r="F34" s="1" t="s">
        <v>34</v>
      </c>
      <c r="G34" s="1">
        <v>1</v>
      </c>
      <c r="H34" s="1" t="s">
        <v>20</v>
      </c>
      <c r="I34" t="s">
        <v>21</v>
      </c>
      <c r="J34" t="s">
        <v>22</v>
      </c>
      <c r="K34" t="s">
        <v>23</v>
      </c>
      <c r="L34" t="s">
        <v>24</v>
      </c>
      <c r="M34" t="str">
        <f t="shared" si="2"/>
        <v>charge-altering-copy2</v>
      </c>
      <c r="N34" t="str">
        <f t="shared" si="0"/>
        <v>3tu4</v>
      </c>
      <c r="O34" t="s">
        <v>33</v>
      </c>
      <c r="P34" t="str">
        <f t="shared" si="1"/>
        <v>H3 D106N</v>
      </c>
    </row>
    <row r="35" spans="1:16">
      <c r="A35" s="1" t="s">
        <v>15</v>
      </c>
      <c r="B35" s="1" t="s">
        <v>16</v>
      </c>
      <c r="C35" s="1" t="s">
        <v>18</v>
      </c>
      <c r="D35" s="1">
        <v>106</v>
      </c>
      <c r="E35" s="1" t="s">
        <v>17</v>
      </c>
      <c r="F35" s="1" t="s">
        <v>54</v>
      </c>
      <c r="G35" s="1">
        <v>0.58</v>
      </c>
      <c r="H35" s="1" t="s">
        <v>20</v>
      </c>
      <c r="I35" t="s">
        <v>21</v>
      </c>
      <c r="J35" t="s">
        <v>22</v>
      </c>
      <c r="K35" t="s">
        <v>23</v>
      </c>
      <c r="L35" t="s">
        <v>24</v>
      </c>
      <c r="M35" t="str">
        <f t="shared" si="2"/>
        <v>charge-altering-copy2</v>
      </c>
      <c r="N35" t="str">
        <f t="shared" si="0"/>
        <v>3tu4</v>
      </c>
      <c r="O35" t="s">
        <v>33</v>
      </c>
      <c r="P35" t="str">
        <f t="shared" si="1"/>
        <v>H3 D106Y</v>
      </c>
    </row>
    <row r="36" spans="1:16">
      <c r="A36" s="1" t="s">
        <v>15</v>
      </c>
      <c r="B36" s="1" t="s">
        <v>16</v>
      </c>
      <c r="C36" s="1" t="s">
        <v>18</v>
      </c>
      <c r="D36" s="1">
        <v>133</v>
      </c>
      <c r="E36" s="1" t="s">
        <v>18</v>
      </c>
      <c r="F36" s="1" t="s">
        <v>19</v>
      </c>
      <c r="G36" s="1">
        <v>0.76</v>
      </c>
      <c r="H36" s="1" t="s">
        <v>20</v>
      </c>
      <c r="I36" t="s">
        <v>21</v>
      </c>
      <c r="J36" t="s">
        <v>22</v>
      </c>
      <c r="K36" t="s">
        <v>23</v>
      </c>
      <c r="L36" t="s">
        <v>24</v>
      </c>
      <c r="M36" t="str">
        <f t="shared" si="2"/>
        <v>charge-altering-copy2</v>
      </c>
      <c r="N36" t="str">
        <f t="shared" si="0"/>
        <v>3tu4</v>
      </c>
      <c r="O36" t="s">
        <v>33</v>
      </c>
      <c r="P36" t="str">
        <f t="shared" si="1"/>
        <v>H3 E133Q</v>
      </c>
    </row>
    <row r="37" spans="1:16">
      <c r="A37" s="1" t="s">
        <v>15</v>
      </c>
      <c r="B37" s="1" t="s">
        <v>16</v>
      </c>
      <c r="C37" s="1" t="s">
        <v>18</v>
      </c>
      <c r="D37" s="1">
        <v>50</v>
      </c>
      <c r="E37" s="1" t="s">
        <v>18</v>
      </c>
      <c r="F37" s="1" t="s">
        <v>19</v>
      </c>
      <c r="G37" s="1">
        <v>1.2</v>
      </c>
      <c r="H37" s="1" t="s">
        <v>20</v>
      </c>
      <c r="I37" t="s">
        <v>21</v>
      </c>
      <c r="J37" t="s">
        <v>22</v>
      </c>
      <c r="K37" t="s">
        <v>23</v>
      </c>
      <c r="L37" t="s">
        <v>24</v>
      </c>
      <c r="M37" t="str">
        <f t="shared" si="2"/>
        <v>charge-altering-copy2</v>
      </c>
      <c r="N37" t="str">
        <f t="shared" si="0"/>
        <v>3tu4</v>
      </c>
      <c r="O37" t="s">
        <v>33</v>
      </c>
      <c r="P37" t="str">
        <f t="shared" si="1"/>
        <v>H3 E50Q</v>
      </c>
    </row>
    <row r="38" spans="1:16">
      <c r="A38" s="1" t="s">
        <v>15</v>
      </c>
      <c r="B38" s="1" t="s">
        <v>16</v>
      </c>
      <c r="C38" s="1" t="s">
        <v>18</v>
      </c>
      <c r="D38" s="1">
        <v>73</v>
      </c>
      <c r="E38" s="1" t="s">
        <v>18</v>
      </c>
      <c r="F38" s="1" t="s">
        <v>19</v>
      </c>
      <c r="G38" s="1">
        <v>0.86</v>
      </c>
      <c r="H38" s="1" t="s">
        <v>20</v>
      </c>
      <c r="I38" t="s">
        <v>21</v>
      </c>
      <c r="J38" t="s">
        <v>22</v>
      </c>
      <c r="K38" t="s">
        <v>23</v>
      </c>
      <c r="L38" t="s">
        <v>24</v>
      </c>
      <c r="M38" t="str">
        <f t="shared" si="2"/>
        <v>charge-altering-copy2</v>
      </c>
      <c r="N38" t="str">
        <f t="shared" si="0"/>
        <v>3tu4</v>
      </c>
      <c r="O38" t="s">
        <v>33</v>
      </c>
      <c r="P38" t="str">
        <f t="shared" si="1"/>
        <v>H3 E73Q</v>
      </c>
    </row>
    <row r="39" spans="1:16">
      <c r="A39" s="1" t="s">
        <v>15</v>
      </c>
      <c r="B39" s="1" t="s">
        <v>16</v>
      </c>
      <c r="C39" s="1" t="s">
        <v>18</v>
      </c>
      <c r="D39" s="1">
        <v>81</v>
      </c>
      <c r="E39" s="1" t="s">
        <v>17</v>
      </c>
      <c r="F39" s="1" t="s">
        <v>34</v>
      </c>
      <c r="G39" s="1">
        <v>0.87</v>
      </c>
      <c r="H39" s="1" t="s">
        <v>20</v>
      </c>
      <c r="I39" t="s">
        <v>21</v>
      </c>
      <c r="J39" t="s">
        <v>22</v>
      </c>
      <c r="K39" t="s">
        <v>23</v>
      </c>
      <c r="L39" t="s">
        <v>24</v>
      </c>
      <c r="M39" t="str">
        <f t="shared" si="2"/>
        <v>charge-altering-copy2</v>
      </c>
      <c r="N39" t="str">
        <f t="shared" si="0"/>
        <v>3tu4</v>
      </c>
      <c r="O39" t="s">
        <v>33</v>
      </c>
      <c r="P39" t="str">
        <f t="shared" si="1"/>
        <v>H3 D81N</v>
      </c>
    </row>
    <row r="40" spans="1:16">
      <c r="A40" s="1" t="s">
        <v>15</v>
      </c>
      <c r="B40" s="1" t="s">
        <v>16</v>
      </c>
      <c r="C40" s="1" t="s">
        <v>18</v>
      </c>
      <c r="D40" s="1">
        <v>94</v>
      </c>
      <c r="E40" s="1" t="s">
        <v>18</v>
      </c>
      <c r="F40" s="1" t="s">
        <v>19</v>
      </c>
      <c r="G40" s="1">
        <v>1.23</v>
      </c>
      <c r="H40" s="1" t="s">
        <v>20</v>
      </c>
      <c r="I40" t="s">
        <v>21</v>
      </c>
      <c r="J40" t="s">
        <v>22</v>
      </c>
      <c r="K40" t="s">
        <v>23</v>
      </c>
      <c r="L40" t="s">
        <v>24</v>
      </c>
      <c r="M40" t="str">
        <f t="shared" si="2"/>
        <v>charge-altering-copy2</v>
      </c>
      <c r="N40" t="str">
        <f t="shared" si="0"/>
        <v>3tu4</v>
      </c>
      <c r="O40" t="s">
        <v>33</v>
      </c>
      <c r="P40" t="str">
        <f t="shared" si="1"/>
        <v>H3 E94Q</v>
      </c>
    </row>
    <row r="41" spans="1:16">
      <c r="A41" s="1" t="s">
        <v>15</v>
      </c>
      <c r="B41" s="1" t="s">
        <v>16</v>
      </c>
      <c r="C41" s="1" t="s">
        <v>18</v>
      </c>
      <c r="D41" s="1">
        <v>97</v>
      </c>
      <c r="E41" s="1" t="s">
        <v>18</v>
      </c>
      <c r="F41" s="1" t="s">
        <v>19</v>
      </c>
      <c r="G41" s="1">
        <v>1.05</v>
      </c>
      <c r="H41" s="1" t="s">
        <v>20</v>
      </c>
      <c r="I41" t="s">
        <v>21</v>
      </c>
      <c r="J41" t="s">
        <v>22</v>
      </c>
      <c r="K41" t="s">
        <v>23</v>
      </c>
      <c r="L41" t="s">
        <v>24</v>
      </c>
      <c r="M41" t="str">
        <f t="shared" si="2"/>
        <v>charge-altering-copy2</v>
      </c>
      <c r="N41" t="str">
        <f t="shared" si="0"/>
        <v>3tu4</v>
      </c>
      <c r="O41" t="s">
        <v>33</v>
      </c>
      <c r="P41" t="str">
        <f t="shared" si="1"/>
        <v>H3 E97Q</v>
      </c>
    </row>
    <row r="42" spans="1:16">
      <c r="A42" s="1" t="s">
        <v>15</v>
      </c>
      <c r="B42" s="1" t="s">
        <v>16</v>
      </c>
      <c r="C42" s="1" t="s">
        <v>39</v>
      </c>
      <c r="D42" s="1">
        <v>95</v>
      </c>
      <c r="E42" s="1" t="s">
        <v>35</v>
      </c>
      <c r="F42" s="1" t="s">
        <v>47</v>
      </c>
      <c r="G42" s="1">
        <v>0.67</v>
      </c>
      <c r="H42" s="1" t="s">
        <v>20</v>
      </c>
      <c r="I42" t="s">
        <v>29</v>
      </c>
      <c r="J42" t="s">
        <v>22</v>
      </c>
      <c r="K42" t="s">
        <v>23</v>
      </c>
      <c r="L42" t="s">
        <v>24</v>
      </c>
      <c r="M42" t="str">
        <f t="shared" si="2"/>
        <v>charge-altering-copy1</v>
      </c>
      <c r="N42" t="str">
        <f t="shared" si="0"/>
        <v>3tu4</v>
      </c>
      <c r="O42" t="s">
        <v>40</v>
      </c>
      <c r="P42" t="str">
        <f t="shared" si="1"/>
        <v>H2A K95T</v>
      </c>
    </row>
    <row r="43" spans="1:16">
      <c r="A43" s="1" t="s">
        <v>15</v>
      </c>
      <c r="B43" s="1" t="s">
        <v>16</v>
      </c>
      <c r="C43" s="1" t="s">
        <v>41</v>
      </c>
      <c r="D43" s="1">
        <v>95</v>
      </c>
      <c r="E43" s="1" t="s">
        <v>35</v>
      </c>
      <c r="F43" s="1" t="s">
        <v>47</v>
      </c>
      <c r="G43" s="1">
        <v>0.78</v>
      </c>
      <c r="H43" s="1" t="s">
        <v>20</v>
      </c>
      <c r="I43" t="s">
        <v>29</v>
      </c>
      <c r="J43" t="s">
        <v>22</v>
      </c>
      <c r="K43" t="s">
        <v>23</v>
      </c>
      <c r="L43" t="s">
        <v>24</v>
      </c>
      <c r="M43" t="str">
        <f t="shared" si="2"/>
        <v>charge-altering-copy2</v>
      </c>
      <c r="N43" t="str">
        <f t="shared" si="0"/>
        <v>3tu4</v>
      </c>
      <c r="O43" t="s">
        <v>40</v>
      </c>
      <c r="P43" t="str">
        <f t="shared" si="1"/>
        <v>H2A K95T</v>
      </c>
    </row>
    <row r="44" spans="1:16">
      <c r="A44" s="1" t="s">
        <v>15</v>
      </c>
      <c r="B44" s="1" t="s">
        <v>16</v>
      </c>
      <c r="C44" s="1" t="s">
        <v>27</v>
      </c>
      <c r="D44" s="1">
        <v>79</v>
      </c>
      <c r="E44" s="1" t="s">
        <v>35</v>
      </c>
      <c r="F44" s="1" t="s">
        <v>34</v>
      </c>
      <c r="G44" s="1">
        <v>0.94</v>
      </c>
      <c r="H44" s="1" t="s">
        <v>20</v>
      </c>
      <c r="I44" t="s">
        <v>29</v>
      </c>
      <c r="J44" t="s">
        <v>22</v>
      </c>
      <c r="K44" t="s">
        <v>23</v>
      </c>
      <c r="L44" t="s">
        <v>24</v>
      </c>
      <c r="M44" t="str">
        <f t="shared" si="2"/>
        <v>charge-altering-copy1</v>
      </c>
      <c r="N44" t="str">
        <f t="shared" si="0"/>
        <v>3tu4</v>
      </c>
      <c r="O44" t="s">
        <v>30</v>
      </c>
      <c r="P44" t="str">
        <f t="shared" si="1"/>
        <v>H4 K79N</v>
      </c>
    </row>
    <row r="45" spans="1:16">
      <c r="A45" s="1" t="s">
        <v>15</v>
      </c>
      <c r="B45" s="1" t="s">
        <v>16</v>
      </c>
      <c r="C45" s="1" t="s">
        <v>27</v>
      </c>
      <c r="D45" s="1">
        <v>91</v>
      </c>
      <c r="E45" s="1" t="s">
        <v>35</v>
      </c>
      <c r="F45" s="1" t="s">
        <v>34</v>
      </c>
      <c r="G45" s="1">
        <v>0.71</v>
      </c>
      <c r="H45" s="1" t="s">
        <v>20</v>
      </c>
      <c r="I45" t="s">
        <v>29</v>
      </c>
      <c r="J45" t="s">
        <v>22</v>
      </c>
      <c r="K45" t="s">
        <v>23</v>
      </c>
      <c r="L45" t="s">
        <v>24</v>
      </c>
      <c r="M45" t="str">
        <f t="shared" si="2"/>
        <v>charge-altering-copy1</v>
      </c>
      <c r="N45" t="str">
        <f t="shared" si="0"/>
        <v>3tu4</v>
      </c>
      <c r="O45" t="s">
        <v>30</v>
      </c>
      <c r="P45" t="str">
        <f t="shared" si="1"/>
        <v>H4 K91N</v>
      </c>
    </row>
    <row r="46" spans="1:16">
      <c r="A46" s="1" t="s">
        <v>15</v>
      </c>
      <c r="B46" s="1" t="s">
        <v>16</v>
      </c>
      <c r="C46" s="1" t="s">
        <v>31</v>
      </c>
      <c r="D46" s="1">
        <v>79</v>
      </c>
      <c r="E46" s="1" t="s">
        <v>35</v>
      </c>
      <c r="F46" s="1" t="s">
        <v>34</v>
      </c>
      <c r="G46" s="1">
        <v>0.94</v>
      </c>
      <c r="H46" s="1" t="s">
        <v>20</v>
      </c>
      <c r="I46" t="s">
        <v>29</v>
      </c>
      <c r="J46" t="s">
        <v>22</v>
      </c>
      <c r="K46" t="s">
        <v>23</v>
      </c>
      <c r="L46" t="s">
        <v>24</v>
      </c>
      <c r="M46" t="str">
        <f t="shared" si="2"/>
        <v>charge-altering-copy2</v>
      </c>
      <c r="N46" t="str">
        <f t="shared" si="0"/>
        <v>3tu4</v>
      </c>
      <c r="O46" t="s">
        <v>30</v>
      </c>
      <c r="P46" t="str">
        <f t="shared" si="1"/>
        <v>H4 K79N</v>
      </c>
    </row>
    <row r="47" spans="1:16">
      <c r="A47" s="1" t="s">
        <v>15</v>
      </c>
      <c r="B47" s="1" t="s">
        <v>16</v>
      </c>
      <c r="C47" s="1" t="s">
        <v>31</v>
      </c>
      <c r="D47" s="1">
        <v>91</v>
      </c>
      <c r="E47" s="1" t="s">
        <v>35</v>
      </c>
      <c r="F47" s="1" t="s">
        <v>34</v>
      </c>
      <c r="G47" s="1">
        <v>0.96</v>
      </c>
      <c r="H47" s="1" t="s">
        <v>20</v>
      </c>
      <c r="I47" t="s">
        <v>29</v>
      </c>
      <c r="J47" t="s">
        <v>22</v>
      </c>
      <c r="K47" t="s">
        <v>23</v>
      </c>
      <c r="L47" t="s">
        <v>24</v>
      </c>
      <c r="M47" t="str">
        <f t="shared" si="2"/>
        <v>charge-altering-copy2</v>
      </c>
      <c r="N47" t="str">
        <f t="shared" si="0"/>
        <v>3tu4</v>
      </c>
      <c r="O47" t="s">
        <v>30</v>
      </c>
      <c r="P47" t="str">
        <f t="shared" si="1"/>
        <v>H4 K91N</v>
      </c>
    </row>
    <row r="48" spans="1:16">
      <c r="A48" s="1" t="s">
        <v>15</v>
      </c>
      <c r="B48" s="1" t="s">
        <v>16</v>
      </c>
      <c r="C48" s="1" t="s">
        <v>32</v>
      </c>
      <c r="D48" s="1">
        <v>79</v>
      </c>
      <c r="E48" s="1" t="s">
        <v>35</v>
      </c>
      <c r="F48" s="1" t="s">
        <v>34</v>
      </c>
      <c r="G48" s="1">
        <v>1.04</v>
      </c>
      <c r="H48" s="1" t="s">
        <v>20</v>
      </c>
      <c r="I48" t="s">
        <v>29</v>
      </c>
      <c r="J48" t="s">
        <v>22</v>
      </c>
      <c r="K48" t="s">
        <v>23</v>
      </c>
      <c r="L48" t="s">
        <v>24</v>
      </c>
      <c r="M48" t="str">
        <f t="shared" si="2"/>
        <v>charge-altering-copy1</v>
      </c>
      <c r="N48" t="str">
        <f t="shared" si="0"/>
        <v>3tu4</v>
      </c>
      <c r="O48" t="s">
        <v>33</v>
      </c>
      <c r="P48" t="str">
        <f t="shared" si="1"/>
        <v>H3 K79N</v>
      </c>
    </row>
    <row r="49" spans="1:16">
      <c r="A49" s="1" t="s">
        <v>15</v>
      </c>
      <c r="B49" s="1" t="s">
        <v>16</v>
      </c>
      <c r="C49" s="1" t="s">
        <v>18</v>
      </c>
      <c r="D49" s="1">
        <v>79</v>
      </c>
      <c r="E49" s="1" t="s">
        <v>35</v>
      </c>
      <c r="F49" s="1" t="s">
        <v>34</v>
      </c>
      <c r="G49" s="1">
        <v>1.21</v>
      </c>
      <c r="H49" s="1" t="s">
        <v>20</v>
      </c>
      <c r="I49" t="s">
        <v>29</v>
      </c>
      <c r="J49" t="s">
        <v>22</v>
      </c>
      <c r="K49" t="s">
        <v>23</v>
      </c>
      <c r="L49" t="s">
        <v>24</v>
      </c>
      <c r="M49" t="str">
        <f t="shared" si="2"/>
        <v>charge-altering-copy2</v>
      </c>
      <c r="N49" t="str">
        <f t="shared" si="0"/>
        <v>3tu4</v>
      </c>
      <c r="O49" t="s">
        <v>33</v>
      </c>
      <c r="P49" t="str">
        <f t="shared" si="1"/>
        <v>H3 K79N</v>
      </c>
    </row>
    <row r="50" spans="1:16">
      <c r="A50" s="1" t="s">
        <v>15</v>
      </c>
      <c r="B50" s="1" t="s">
        <v>16</v>
      </c>
      <c r="C50" s="1" t="s">
        <v>17</v>
      </c>
      <c r="D50" s="1">
        <v>46</v>
      </c>
      <c r="E50" s="1" t="s">
        <v>26</v>
      </c>
      <c r="F50" s="1" t="s">
        <v>54</v>
      </c>
      <c r="G50" s="1">
        <v>0.66</v>
      </c>
      <c r="H50" s="1" t="s">
        <v>20</v>
      </c>
      <c r="I50" t="s">
        <v>29</v>
      </c>
      <c r="J50" t="s">
        <v>22</v>
      </c>
      <c r="K50" t="s">
        <v>23</v>
      </c>
      <c r="L50" t="s">
        <v>24</v>
      </c>
      <c r="M50" t="str">
        <f t="shared" si="2"/>
        <v>charge-altering-copy1</v>
      </c>
      <c r="N50" t="str">
        <f t="shared" si="0"/>
        <v>3tu4</v>
      </c>
      <c r="O50" t="s">
        <v>25</v>
      </c>
      <c r="P50" t="str">
        <f t="shared" si="1"/>
        <v>H2B H46Y</v>
      </c>
    </row>
    <row r="51" spans="1:16">
      <c r="A51" s="1" t="s">
        <v>15</v>
      </c>
      <c r="B51" s="1" t="s">
        <v>16</v>
      </c>
      <c r="C51" s="1" t="s">
        <v>17</v>
      </c>
      <c r="D51" s="1">
        <v>83</v>
      </c>
      <c r="E51" s="1" t="s">
        <v>49</v>
      </c>
      <c r="F51" s="1" t="s">
        <v>51</v>
      </c>
      <c r="G51" s="1">
        <v>2.08</v>
      </c>
      <c r="H51" s="1" t="s">
        <v>20</v>
      </c>
      <c r="I51" t="s">
        <v>29</v>
      </c>
      <c r="J51" t="s">
        <v>22</v>
      </c>
      <c r="K51" t="s">
        <v>23</v>
      </c>
      <c r="L51" t="s">
        <v>24</v>
      </c>
      <c r="M51" t="str">
        <f t="shared" si="2"/>
        <v>charge-altering-copy1</v>
      </c>
      <c r="N51" t="str">
        <f t="shared" si="0"/>
        <v>3tu4</v>
      </c>
      <c r="O51" t="s">
        <v>25</v>
      </c>
      <c r="P51" t="str">
        <f t="shared" si="1"/>
        <v>H2B R83P</v>
      </c>
    </row>
    <row r="52" spans="1:16">
      <c r="A52" s="1" t="s">
        <v>15</v>
      </c>
      <c r="B52" s="1" t="s">
        <v>16</v>
      </c>
      <c r="C52" s="1" t="s">
        <v>26</v>
      </c>
      <c r="D52" s="1">
        <v>46</v>
      </c>
      <c r="E52" s="1" t="s">
        <v>26</v>
      </c>
      <c r="F52" s="1" t="s">
        <v>54</v>
      </c>
      <c r="G52" s="1">
        <v>0.54</v>
      </c>
      <c r="H52" s="1" t="s">
        <v>20</v>
      </c>
      <c r="I52" t="s">
        <v>29</v>
      </c>
      <c r="J52" t="s">
        <v>22</v>
      </c>
      <c r="K52" t="s">
        <v>23</v>
      </c>
      <c r="L52" t="s">
        <v>24</v>
      </c>
      <c r="M52" t="str">
        <f t="shared" si="2"/>
        <v>charge-altering-copy2</v>
      </c>
      <c r="N52" t="str">
        <f t="shared" si="0"/>
        <v>3tu4</v>
      </c>
      <c r="O52" t="s">
        <v>25</v>
      </c>
      <c r="P52" t="str">
        <f t="shared" si="1"/>
        <v>H2B H46Y</v>
      </c>
    </row>
    <row r="53" spans="1:16">
      <c r="A53" s="1" t="s">
        <v>15</v>
      </c>
      <c r="B53" s="1" t="s">
        <v>16</v>
      </c>
      <c r="C53" s="1" t="s">
        <v>26</v>
      </c>
      <c r="D53" s="1">
        <v>83</v>
      </c>
      <c r="E53" s="1" t="s">
        <v>49</v>
      </c>
      <c r="F53" s="1" t="s">
        <v>51</v>
      </c>
      <c r="G53" s="1">
        <v>2.08</v>
      </c>
      <c r="H53" s="1" t="s">
        <v>20</v>
      </c>
      <c r="I53" t="s">
        <v>29</v>
      </c>
      <c r="J53" t="s">
        <v>22</v>
      </c>
      <c r="K53" t="s">
        <v>23</v>
      </c>
      <c r="L53" t="s">
        <v>24</v>
      </c>
      <c r="M53" t="str">
        <f t="shared" si="2"/>
        <v>charge-altering-copy2</v>
      </c>
      <c r="N53" t="str">
        <f t="shared" si="0"/>
        <v>3tu4</v>
      </c>
      <c r="O53" t="s">
        <v>25</v>
      </c>
      <c r="P53" t="str">
        <f t="shared" si="1"/>
        <v>H2B R83P</v>
      </c>
    </row>
    <row r="54" spans="1:16">
      <c r="A54" s="1" t="s">
        <v>15</v>
      </c>
      <c r="B54" s="1" t="s">
        <v>16</v>
      </c>
      <c r="C54" s="1" t="s">
        <v>39</v>
      </c>
      <c r="D54" s="1">
        <v>17</v>
      </c>
      <c r="E54" s="1" t="s">
        <v>49</v>
      </c>
      <c r="F54" s="1" t="s">
        <v>51</v>
      </c>
      <c r="G54" s="1">
        <v>1.84</v>
      </c>
      <c r="H54" s="1" t="s">
        <v>20</v>
      </c>
      <c r="I54" t="s">
        <v>29</v>
      </c>
      <c r="J54" t="s">
        <v>22</v>
      </c>
      <c r="K54" t="s">
        <v>23</v>
      </c>
      <c r="L54" t="s">
        <v>24</v>
      </c>
      <c r="M54" t="str">
        <f t="shared" si="2"/>
        <v>charge-altering-copy1</v>
      </c>
      <c r="N54" t="str">
        <f t="shared" si="0"/>
        <v>3tu4</v>
      </c>
      <c r="O54" t="s">
        <v>40</v>
      </c>
      <c r="P54" t="str">
        <f t="shared" si="1"/>
        <v>H2A R17P</v>
      </c>
    </row>
    <row r="55" spans="1:16">
      <c r="A55" s="1" t="s">
        <v>15</v>
      </c>
      <c r="B55" s="1" t="s">
        <v>16</v>
      </c>
      <c r="C55" s="1" t="s">
        <v>39</v>
      </c>
      <c r="D55" s="1">
        <v>29</v>
      </c>
      <c r="E55" s="1" t="s">
        <v>49</v>
      </c>
      <c r="F55" s="1" t="s">
        <v>51</v>
      </c>
      <c r="G55" s="1">
        <v>1.96</v>
      </c>
      <c r="H55" s="1" t="s">
        <v>20</v>
      </c>
      <c r="I55" t="s">
        <v>29</v>
      </c>
      <c r="J55" t="s">
        <v>22</v>
      </c>
      <c r="K55" t="s">
        <v>23</v>
      </c>
      <c r="L55" t="s">
        <v>24</v>
      </c>
      <c r="M55" t="str">
        <f t="shared" si="2"/>
        <v>charge-altering-copy1</v>
      </c>
      <c r="N55" t="str">
        <f t="shared" si="0"/>
        <v>3tu4</v>
      </c>
      <c r="O55" t="s">
        <v>40</v>
      </c>
      <c r="P55" t="str">
        <f t="shared" si="1"/>
        <v>H2A R29P</v>
      </c>
    </row>
    <row r="56" spans="1:16">
      <c r="A56" s="1" t="s">
        <v>15</v>
      </c>
      <c r="B56" s="1" t="s">
        <v>16</v>
      </c>
      <c r="C56" s="1" t="s">
        <v>39</v>
      </c>
      <c r="D56" s="1">
        <v>29</v>
      </c>
      <c r="E56" s="1" t="s">
        <v>49</v>
      </c>
      <c r="F56" s="1" t="s">
        <v>19</v>
      </c>
      <c r="G56" s="1">
        <v>0.86</v>
      </c>
      <c r="H56" s="1" t="s">
        <v>20</v>
      </c>
      <c r="I56" t="s">
        <v>29</v>
      </c>
      <c r="J56" t="s">
        <v>22</v>
      </c>
      <c r="K56" t="s">
        <v>23</v>
      </c>
      <c r="L56" t="s">
        <v>24</v>
      </c>
      <c r="M56" t="str">
        <f t="shared" si="2"/>
        <v>charge-altering-copy1</v>
      </c>
      <c r="N56" t="str">
        <f t="shared" si="0"/>
        <v>3tu4</v>
      </c>
      <c r="O56" t="s">
        <v>40</v>
      </c>
      <c r="P56" t="str">
        <f t="shared" si="1"/>
        <v>H2A R29Q</v>
      </c>
    </row>
    <row r="57" spans="1:16">
      <c r="A57" s="1" t="s">
        <v>15</v>
      </c>
      <c r="B57" s="1" t="s">
        <v>16</v>
      </c>
      <c r="C57" s="1" t="s">
        <v>39</v>
      </c>
      <c r="D57" s="1">
        <v>77</v>
      </c>
      <c r="E57" s="1" t="s">
        <v>49</v>
      </c>
      <c r="F57" s="1" t="s">
        <v>39</v>
      </c>
      <c r="G57" s="1">
        <v>1.03</v>
      </c>
      <c r="H57" s="1" t="s">
        <v>20</v>
      </c>
      <c r="I57" t="s">
        <v>29</v>
      </c>
      <c r="J57" t="s">
        <v>22</v>
      </c>
      <c r="K57" t="s">
        <v>23</v>
      </c>
      <c r="L57" t="s">
        <v>24</v>
      </c>
      <c r="M57" t="str">
        <f t="shared" si="2"/>
        <v>charge-altering-copy1</v>
      </c>
      <c r="N57" t="str">
        <f t="shared" si="0"/>
        <v>3tu4</v>
      </c>
      <c r="O57" t="s">
        <v>40</v>
      </c>
      <c r="P57" t="str">
        <f t="shared" si="1"/>
        <v>H2A R77C</v>
      </c>
    </row>
    <row r="58" spans="1:16">
      <c r="A58" s="1" t="s">
        <v>15</v>
      </c>
      <c r="B58" s="1" t="s">
        <v>16</v>
      </c>
      <c r="C58" s="1" t="s">
        <v>41</v>
      </c>
      <c r="D58" s="1">
        <v>17</v>
      </c>
      <c r="E58" s="1" t="s">
        <v>49</v>
      </c>
      <c r="F58" s="1" t="s">
        <v>51</v>
      </c>
      <c r="G58" s="1">
        <v>1.84</v>
      </c>
      <c r="H58" s="1" t="s">
        <v>20</v>
      </c>
      <c r="I58" t="s">
        <v>29</v>
      </c>
      <c r="J58" t="s">
        <v>22</v>
      </c>
      <c r="K58" t="s">
        <v>23</v>
      </c>
      <c r="L58" t="s">
        <v>24</v>
      </c>
      <c r="M58" t="str">
        <f t="shared" si="2"/>
        <v>charge-altering-copy2</v>
      </c>
      <c r="N58" t="str">
        <f t="shared" si="0"/>
        <v>3tu4</v>
      </c>
      <c r="O58" t="s">
        <v>40</v>
      </c>
      <c r="P58" t="str">
        <f t="shared" si="1"/>
        <v>H2A R17P</v>
      </c>
    </row>
    <row r="59" spans="1:16">
      <c r="A59" s="1" t="s">
        <v>15</v>
      </c>
      <c r="B59" s="1" t="s">
        <v>16</v>
      </c>
      <c r="C59" s="1" t="s">
        <v>41</v>
      </c>
      <c r="D59" s="1">
        <v>29</v>
      </c>
      <c r="E59" s="1" t="s">
        <v>49</v>
      </c>
      <c r="F59" s="1" t="s">
        <v>51</v>
      </c>
      <c r="G59" s="1">
        <v>2.42</v>
      </c>
      <c r="H59" s="1" t="s">
        <v>20</v>
      </c>
      <c r="I59" t="s">
        <v>29</v>
      </c>
      <c r="J59" t="s">
        <v>22</v>
      </c>
      <c r="K59" t="s">
        <v>23</v>
      </c>
      <c r="L59" t="s">
        <v>24</v>
      </c>
      <c r="M59" t="str">
        <f t="shared" si="2"/>
        <v>charge-altering-copy2</v>
      </c>
      <c r="N59" t="str">
        <f t="shared" si="0"/>
        <v>3tu4</v>
      </c>
      <c r="O59" t="s">
        <v>40</v>
      </c>
      <c r="P59" t="str">
        <f t="shared" si="1"/>
        <v>H2A R29P</v>
      </c>
    </row>
    <row r="60" spans="1:16">
      <c r="A60" s="1" t="s">
        <v>15</v>
      </c>
      <c r="B60" s="1" t="s">
        <v>16</v>
      </c>
      <c r="C60" s="1" t="s">
        <v>41</v>
      </c>
      <c r="D60" s="1">
        <v>29</v>
      </c>
      <c r="E60" s="1" t="s">
        <v>49</v>
      </c>
      <c r="F60" s="1" t="s">
        <v>19</v>
      </c>
      <c r="G60" s="1">
        <v>1.11</v>
      </c>
      <c r="H60" s="1" t="s">
        <v>20</v>
      </c>
      <c r="I60" t="s">
        <v>29</v>
      </c>
      <c r="J60" t="s">
        <v>22</v>
      </c>
      <c r="K60" t="s">
        <v>23</v>
      </c>
      <c r="L60" t="s">
        <v>24</v>
      </c>
      <c r="M60" t="str">
        <f t="shared" si="2"/>
        <v>charge-altering-copy2</v>
      </c>
      <c r="N60" t="str">
        <f t="shared" si="0"/>
        <v>3tu4</v>
      </c>
      <c r="O60" t="s">
        <v>40</v>
      </c>
      <c r="P60" t="str">
        <f t="shared" si="1"/>
        <v>H2A R29Q</v>
      </c>
    </row>
    <row r="61" spans="1:16">
      <c r="A61" s="1" t="s">
        <v>15</v>
      </c>
      <c r="B61" s="1" t="s">
        <v>16</v>
      </c>
      <c r="C61" s="1" t="s">
        <v>41</v>
      </c>
      <c r="D61" s="1">
        <v>77</v>
      </c>
      <c r="E61" s="1" t="s">
        <v>49</v>
      </c>
      <c r="F61" s="1" t="s">
        <v>39</v>
      </c>
      <c r="G61" s="1">
        <v>1.03</v>
      </c>
      <c r="H61" s="1" t="s">
        <v>20</v>
      </c>
      <c r="I61" t="s">
        <v>29</v>
      </c>
      <c r="J61" t="s">
        <v>22</v>
      </c>
      <c r="K61" t="s">
        <v>23</v>
      </c>
      <c r="L61" t="s">
        <v>24</v>
      </c>
      <c r="M61" t="str">
        <f t="shared" si="2"/>
        <v>charge-altering-copy2</v>
      </c>
      <c r="N61" t="str">
        <f t="shared" si="0"/>
        <v>3tu4</v>
      </c>
      <c r="O61" t="s">
        <v>40</v>
      </c>
      <c r="P61" t="str">
        <f t="shared" si="1"/>
        <v>H2A R77C</v>
      </c>
    </row>
    <row r="62" spans="1:16">
      <c r="A62" s="1" t="s">
        <v>15</v>
      </c>
      <c r="B62" s="1" t="s">
        <v>16</v>
      </c>
      <c r="C62" s="1" t="s">
        <v>27</v>
      </c>
      <c r="D62" s="1">
        <v>39</v>
      </c>
      <c r="E62" s="1" t="s">
        <v>49</v>
      </c>
      <c r="F62" s="1" t="s">
        <v>41</v>
      </c>
      <c r="G62" s="1">
        <v>1.75</v>
      </c>
      <c r="H62" s="1" t="s">
        <v>20</v>
      </c>
      <c r="I62" t="s">
        <v>29</v>
      </c>
      <c r="J62" t="s">
        <v>22</v>
      </c>
      <c r="K62" t="s">
        <v>23</v>
      </c>
      <c r="L62" t="s">
        <v>24</v>
      </c>
      <c r="M62" t="str">
        <f t="shared" si="2"/>
        <v>charge-altering-copy1</v>
      </c>
      <c r="N62" t="str">
        <f t="shared" si="0"/>
        <v>3tu4</v>
      </c>
      <c r="O62" t="s">
        <v>30</v>
      </c>
      <c r="P62" t="str">
        <f t="shared" si="1"/>
        <v>H4 R39G</v>
      </c>
    </row>
    <row r="63" spans="1:16">
      <c r="A63" s="1" t="s">
        <v>15</v>
      </c>
      <c r="B63" s="1" t="s">
        <v>16</v>
      </c>
      <c r="C63" s="1" t="s">
        <v>27</v>
      </c>
      <c r="D63" s="1">
        <v>39</v>
      </c>
      <c r="E63" s="1" t="s">
        <v>49</v>
      </c>
      <c r="F63" s="1" t="s">
        <v>39</v>
      </c>
      <c r="G63" s="1">
        <v>1.3</v>
      </c>
      <c r="H63" s="1" t="s">
        <v>20</v>
      </c>
      <c r="I63" t="s">
        <v>29</v>
      </c>
      <c r="J63" t="s">
        <v>22</v>
      </c>
      <c r="K63" t="s">
        <v>23</v>
      </c>
      <c r="L63" t="s">
        <v>24</v>
      </c>
      <c r="M63" t="str">
        <f t="shared" si="2"/>
        <v>charge-altering-copy1</v>
      </c>
      <c r="N63" t="str">
        <f t="shared" si="0"/>
        <v>3tu4</v>
      </c>
      <c r="O63" t="s">
        <v>30</v>
      </c>
      <c r="P63" t="str">
        <f t="shared" si="1"/>
        <v>H4 R39C</v>
      </c>
    </row>
    <row r="64" spans="1:16">
      <c r="A64" s="1" t="s">
        <v>15</v>
      </c>
      <c r="B64" s="1" t="s">
        <v>16</v>
      </c>
      <c r="C64" s="1" t="s">
        <v>27</v>
      </c>
      <c r="D64" s="1">
        <v>40</v>
      </c>
      <c r="E64" s="1" t="s">
        <v>49</v>
      </c>
      <c r="F64" s="1" t="s">
        <v>39</v>
      </c>
      <c r="G64" s="1">
        <v>1.65</v>
      </c>
      <c r="H64" s="1" t="s">
        <v>20</v>
      </c>
      <c r="I64" t="s">
        <v>29</v>
      </c>
      <c r="J64" t="s">
        <v>22</v>
      </c>
      <c r="K64" t="s">
        <v>23</v>
      </c>
      <c r="L64" t="s">
        <v>24</v>
      </c>
      <c r="M64" t="str">
        <f t="shared" si="2"/>
        <v>charge-altering-copy1</v>
      </c>
      <c r="N64" t="str">
        <f t="shared" si="0"/>
        <v>3tu4</v>
      </c>
      <c r="O64" t="s">
        <v>30</v>
      </c>
      <c r="P64" t="str">
        <f t="shared" si="1"/>
        <v>H4 R40C</v>
      </c>
    </row>
    <row r="65" spans="1:16">
      <c r="A65" s="1" t="s">
        <v>15</v>
      </c>
      <c r="B65" s="1" t="s">
        <v>16</v>
      </c>
      <c r="C65" s="1" t="s">
        <v>27</v>
      </c>
      <c r="D65" s="1">
        <v>45</v>
      </c>
      <c r="E65" s="1" t="s">
        <v>49</v>
      </c>
      <c r="F65" s="1" t="s">
        <v>19</v>
      </c>
      <c r="G65" s="1">
        <v>0.92</v>
      </c>
      <c r="H65" s="1" t="s">
        <v>20</v>
      </c>
      <c r="I65" t="s">
        <v>29</v>
      </c>
      <c r="J65" t="s">
        <v>22</v>
      </c>
      <c r="K65" t="s">
        <v>23</v>
      </c>
      <c r="L65" t="s">
        <v>24</v>
      </c>
      <c r="M65" t="str">
        <f t="shared" si="2"/>
        <v>charge-altering-copy1</v>
      </c>
      <c r="N65" t="str">
        <f t="shared" si="0"/>
        <v>3tu4</v>
      </c>
      <c r="O65" t="s">
        <v>30</v>
      </c>
      <c r="P65" t="str">
        <f t="shared" si="1"/>
        <v>H4 R45Q</v>
      </c>
    </row>
    <row r="66" spans="1:16">
      <c r="A66" s="1" t="s">
        <v>15</v>
      </c>
      <c r="B66" s="1" t="s">
        <v>16</v>
      </c>
      <c r="C66" s="1" t="s">
        <v>27</v>
      </c>
      <c r="D66" s="1">
        <v>67</v>
      </c>
      <c r="E66" s="1" t="s">
        <v>49</v>
      </c>
      <c r="F66" s="1" t="s">
        <v>51</v>
      </c>
      <c r="G66" s="1">
        <v>1.99</v>
      </c>
      <c r="H66" s="1" t="s">
        <v>20</v>
      </c>
      <c r="I66" t="s">
        <v>29</v>
      </c>
      <c r="J66" t="s">
        <v>22</v>
      </c>
      <c r="K66" t="s">
        <v>23</v>
      </c>
      <c r="L66" t="s">
        <v>24</v>
      </c>
      <c r="M66" t="str">
        <f t="shared" si="2"/>
        <v>charge-altering-copy1</v>
      </c>
      <c r="N66" t="str">
        <f t="shared" ref="N66:N129" si="3">LEFT(A66,4)</f>
        <v>3tu4</v>
      </c>
      <c r="O66" t="s">
        <v>30</v>
      </c>
      <c r="P66" t="str">
        <f t="shared" ref="P66:P129" si="4">O66&amp;" "&amp;E66&amp;D66&amp;F66</f>
        <v>H4 R67P</v>
      </c>
    </row>
    <row r="67" spans="1:16">
      <c r="A67" s="1" t="s">
        <v>15</v>
      </c>
      <c r="B67" s="1" t="s">
        <v>16</v>
      </c>
      <c r="C67" s="1" t="s">
        <v>27</v>
      </c>
      <c r="D67" s="1">
        <v>75</v>
      </c>
      <c r="E67" s="1" t="s">
        <v>26</v>
      </c>
      <c r="F67" s="1" t="s">
        <v>19</v>
      </c>
      <c r="G67" s="1">
        <v>0.75</v>
      </c>
      <c r="H67" s="1" t="s">
        <v>20</v>
      </c>
      <c r="I67" t="s">
        <v>29</v>
      </c>
      <c r="J67" t="s">
        <v>22</v>
      </c>
      <c r="K67" t="s">
        <v>23</v>
      </c>
      <c r="L67" t="s">
        <v>24</v>
      </c>
      <c r="M67" t="str">
        <f t="shared" ref="M67:M130" si="5">L67&amp;"-"&amp;IF(OR(C67="A",C67="B",C67="C",C67="D"),"copy1",IF(OR(C67="E",C67="F",C67="G",C67="H"),"copy2",""))</f>
        <v>charge-altering-copy1</v>
      </c>
      <c r="N67" t="str">
        <f t="shared" si="3"/>
        <v>3tu4</v>
      </c>
      <c r="O67" t="s">
        <v>30</v>
      </c>
      <c r="P67" t="str">
        <f t="shared" si="4"/>
        <v>H4 H75Q</v>
      </c>
    </row>
    <row r="68" spans="1:16">
      <c r="A68" s="1" t="s">
        <v>15</v>
      </c>
      <c r="B68" s="1" t="s">
        <v>16</v>
      </c>
      <c r="C68" s="1" t="s">
        <v>27</v>
      </c>
      <c r="D68" s="1">
        <v>78</v>
      </c>
      <c r="E68" s="1" t="s">
        <v>49</v>
      </c>
      <c r="F68" s="1" t="s">
        <v>39</v>
      </c>
      <c r="G68" s="1">
        <v>1.15</v>
      </c>
      <c r="H68" s="1" t="s">
        <v>20</v>
      </c>
      <c r="I68" t="s">
        <v>29</v>
      </c>
      <c r="J68" t="s">
        <v>22</v>
      </c>
      <c r="K68" t="s">
        <v>23</v>
      </c>
      <c r="L68" t="s">
        <v>24</v>
      </c>
      <c r="M68" t="str">
        <f t="shared" si="5"/>
        <v>charge-altering-copy1</v>
      </c>
      <c r="N68" t="str">
        <f t="shared" si="3"/>
        <v>3tu4</v>
      </c>
      <c r="O68" t="s">
        <v>30</v>
      </c>
      <c r="P68" t="str">
        <f t="shared" si="4"/>
        <v>H4 R78C</v>
      </c>
    </row>
    <row r="69" spans="1:16">
      <c r="A69" s="1" t="s">
        <v>15</v>
      </c>
      <c r="B69" s="1" t="s">
        <v>16</v>
      </c>
      <c r="C69" s="1" t="s">
        <v>27</v>
      </c>
      <c r="D69" s="1">
        <v>92</v>
      </c>
      <c r="E69" s="1" t="s">
        <v>49</v>
      </c>
      <c r="F69" s="1" t="s">
        <v>28</v>
      </c>
      <c r="G69" s="1">
        <v>0.87</v>
      </c>
      <c r="H69" s="1" t="s">
        <v>20</v>
      </c>
      <c r="I69" t="s">
        <v>29</v>
      </c>
      <c r="J69" t="s">
        <v>22</v>
      </c>
      <c r="K69" t="s">
        <v>23</v>
      </c>
      <c r="L69" t="s">
        <v>24</v>
      </c>
      <c r="M69" t="str">
        <f t="shared" si="5"/>
        <v>charge-altering-copy1</v>
      </c>
      <c r="N69" t="str">
        <f t="shared" si="3"/>
        <v>3tu4</v>
      </c>
      <c r="O69" t="s">
        <v>30</v>
      </c>
      <c r="P69" t="str">
        <f t="shared" si="4"/>
        <v>H4 R92L</v>
      </c>
    </row>
    <row r="70" spans="1:16">
      <c r="A70" s="1" t="s">
        <v>15</v>
      </c>
      <c r="B70" s="1" t="s">
        <v>16</v>
      </c>
      <c r="C70" s="1" t="s">
        <v>27</v>
      </c>
      <c r="D70" s="1">
        <v>92</v>
      </c>
      <c r="E70" s="1" t="s">
        <v>49</v>
      </c>
      <c r="F70" s="1" t="s">
        <v>47</v>
      </c>
      <c r="G70" s="1">
        <v>0.56</v>
      </c>
      <c r="H70" s="1" t="s">
        <v>20</v>
      </c>
      <c r="I70" t="s">
        <v>29</v>
      </c>
      <c r="J70" t="s">
        <v>22</v>
      </c>
      <c r="K70" t="s">
        <v>23</v>
      </c>
      <c r="L70" t="s">
        <v>24</v>
      </c>
      <c r="M70" t="str">
        <f t="shared" si="5"/>
        <v>charge-altering-copy1</v>
      </c>
      <c r="N70" t="str">
        <f t="shared" si="3"/>
        <v>3tu4</v>
      </c>
      <c r="O70" t="s">
        <v>30</v>
      </c>
      <c r="P70" t="str">
        <f t="shared" si="4"/>
        <v>H4 R92T</v>
      </c>
    </row>
    <row r="71" spans="1:16">
      <c r="A71" s="1" t="s">
        <v>15</v>
      </c>
      <c r="B71" s="1" t="s">
        <v>16</v>
      </c>
      <c r="C71" s="1" t="s">
        <v>31</v>
      </c>
      <c r="D71" s="1">
        <v>39</v>
      </c>
      <c r="E71" s="1" t="s">
        <v>49</v>
      </c>
      <c r="F71" s="1" t="s">
        <v>41</v>
      </c>
      <c r="G71" s="1">
        <v>1.66</v>
      </c>
      <c r="H71" s="1" t="s">
        <v>20</v>
      </c>
      <c r="I71" t="s">
        <v>29</v>
      </c>
      <c r="J71" t="s">
        <v>22</v>
      </c>
      <c r="K71" t="s">
        <v>23</v>
      </c>
      <c r="L71" t="s">
        <v>24</v>
      </c>
      <c r="M71" t="str">
        <f t="shared" si="5"/>
        <v>charge-altering-copy2</v>
      </c>
      <c r="N71" t="str">
        <f t="shared" si="3"/>
        <v>3tu4</v>
      </c>
      <c r="O71" t="s">
        <v>30</v>
      </c>
      <c r="P71" t="str">
        <f t="shared" si="4"/>
        <v>H4 R39G</v>
      </c>
    </row>
    <row r="72" spans="1:16">
      <c r="A72" s="1" t="s">
        <v>15</v>
      </c>
      <c r="B72" s="1" t="s">
        <v>16</v>
      </c>
      <c r="C72" s="1" t="s">
        <v>31</v>
      </c>
      <c r="D72" s="1">
        <v>39</v>
      </c>
      <c r="E72" s="1" t="s">
        <v>49</v>
      </c>
      <c r="F72" s="1" t="s">
        <v>39</v>
      </c>
      <c r="G72" s="1">
        <v>1.22</v>
      </c>
      <c r="H72" s="1" t="s">
        <v>20</v>
      </c>
      <c r="I72" t="s">
        <v>29</v>
      </c>
      <c r="J72" t="s">
        <v>22</v>
      </c>
      <c r="K72" t="s">
        <v>23</v>
      </c>
      <c r="L72" t="s">
        <v>24</v>
      </c>
      <c r="M72" t="str">
        <f t="shared" si="5"/>
        <v>charge-altering-copy2</v>
      </c>
      <c r="N72" t="str">
        <f t="shared" si="3"/>
        <v>3tu4</v>
      </c>
      <c r="O72" t="s">
        <v>30</v>
      </c>
      <c r="P72" t="str">
        <f t="shared" si="4"/>
        <v>H4 R39C</v>
      </c>
    </row>
    <row r="73" spans="1:16">
      <c r="A73" s="1" t="s">
        <v>15</v>
      </c>
      <c r="B73" s="1" t="s">
        <v>16</v>
      </c>
      <c r="C73" s="1" t="s">
        <v>31</v>
      </c>
      <c r="D73" s="1">
        <v>40</v>
      </c>
      <c r="E73" s="1" t="s">
        <v>49</v>
      </c>
      <c r="F73" s="1" t="s">
        <v>39</v>
      </c>
      <c r="G73" s="1">
        <v>1.41</v>
      </c>
      <c r="H73" s="1" t="s">
        <v>20</v>
      </c>
      <c r="I73" t="s">
        <v>29</v>
      </c>
      <c r="J73" t="s">
        <v>22</v>
      </c>
      <c r="K73" t="s">
        <v>23</v>
      </c>
      <c r="L73" t="s">
        <v>24</v>
      </c>
      <c r="M73" t="str">
        <f t="shared" si="5"/>
        <v>charge-altering-copy2</v>
      </c>
      <c r="N73" t="str">
        <f t="shared" si="3"/>
        <v>3tu4</v>
      </c>
      <c r="O73" t="s">
        <v>30</v>
      </c>
      <c r="P73" t="str">
        <f t="shared" si="4"/>
        <v>H4 R40C</v>
      </c>
    </row>
    <row r="74" spans="1:16">
      <c r="A74" s="1" t="s">
        <v>15</v>
      </c>
      <c r="B74" s="1" t="s">
        <v>16</v>
      </c>
      <c r="C74" s="1" t="s">
        <v>31</v>
      </c>
      <c r="D74" s="1">
        <v>45</v>
      </c>
      <c r="E74" s="1" t="s">
        <v>49</v>
      </c>
      <c r="F74" s="1" t="s">
        <v>19</v>
      </c>
      <c r="G74" s="1">
        <v>1.28</v>
      </c>
      <c r="H74" s="1" t="s">
        <v>20</v>
      </c>
      <c r="I74" t="s">
        <v>29</v>
      </c>
      <c r="J74" t="s">
        <v>22</v>
      </c>
      <c r="K74" t="s">
        <v>23</v>
      </c>
      <c r="L74" t="s">
        <v>24</v>
      </c>
      <c r="M74" t="str">
        <f t="shared" si="5"/>
        <v>charge-altering-copy2</v>
      </c>
      <c r="N74" t="str">
        <f t="shared" si="3"/>
        <v>3tu4</v>
      </c>
      <c r="O74" t="s">
        <v>30</v>
      </c>
      <c r="P74" t="str">
        <f t="shared" si="4"/>
        <v>H4 R45Q</v>
      </c>
    </row>
    <row r="75" spans="1:16">
      <c r="A75" s="1" t="s">
        <v>15</v>
      </c>
      <c r="B75" s="1" t="s">
        <v>16</v>
      </c>
      <c r="C75" s="1" t="s">
        <v>31</v>
      </c>
      <c r="D75" s="1">
        <v>67</v>
      </c>
      <c r="E75" s="1" t="s">
        <v>49</v>
      </c>
      <c r="F75" s="1" t="s">
        <v>51</v>
      </c>
      <c r="G75" s="1">
        <v>1.99</v>
      </c>
      <c r="H75" s="1" t="s">
        <v>20</v>
      </c>
      <c r="I75" t="s">
        <v>29</v>
      </c>
      <c r="J75" t="s">
        <v>22</v>
      </c>
      <c r="K75" t="s">
        <v>23</v>
      </c>
      <c r="L75" t="s">
        <v>24</v>
      </c>
      <c r="M75" t="str">
        <f t="shared" si="5"/>
        <v>charge-altering-copy2</v>
      </c>
      <c r="N75" t="str">
        <f t="shared" si="3"/>
        <v>3tu4</v>
      </c>
      <c r="O75" t="s">
        <v>30</v>
      </c>
      <c r="P75" t="str">
        <f t="shared" si="4"/>
        <v>H4 R67P</v>
      </c>
    </row>
    <row r="76" spans="1:16">
      <c r="A76" s="1" t="s">
        <v>15</v>
      </c>
      <c r="B76" s="1" t="s">
        <v>16</v>
      </c>
      <c r="C76" s="1" t="s">
        <v>31</v>
      </c>
      <c r="D76" s="1">
        <v>75</v>
      </c>
      <c r="E76" s="1" t="s">
        <v>26</v>
      </c>
      <c r="F76" s="1" t="s">
        <v>19</v>
      </c>
      <c r="G76" s="1">
        <v>0.65</v>
      </c>
      <c r="H76" s="1" t="s">
        <v>20</v>
      </c>
      <c r="I76" t="s">
        <v>29</v>
      </c>
      <c r="J76" t="s">
        <v>22</v>
      </c>
      <c r="K76" t="s">
        <v>23</v>
      </c>
      <c r="L76" t="s">
        <v>24</v>
      </c>
      <c r="M76" t="str">
        <f t="shared" si="5"/>
        <v>charge-altering-copy2</v>
      </c>
      <c r="N76" t="str">
        <f t="shared" si="3"/>
        <v>3tu4</v>
      </c>
      <c r="O76" t="s">
        <v>30</v>
      </c>
      <c r="P76" t="str">
        <f t="shared" si="4"/>
        <v>H4 H75Q</v>
      </c>
    </row>
    <row r="77" spans="1:16">
      <c r="A77" s="1" t="s">
        <v>15</v>
      </c>
      <c r="B77" s="1" t="s">
        <v>16</v>
      </c>
      <c r="C77" s="1" t="s">
        <v>31</v>
      </c>
      <c r="D77" s="1">
        <v>78</v>
      </c>
      <c r="E77" s="1" t="s">
        <v>49</v>
      </c>
      <c r="F77" s="1" t="s">
        <v>39</v>
      </c>
      <c r="G77" s="1">
        <v>1.15</v>
      </c>
      <c r="H77" s="1" t="s">
        <v>20</v>
      </c>
      <c r="I77" t="s">
        <v>29</v>
      </c>
      <c r="J77" t="s">
        <v>22</v>
      </c>
      <c r="K77" t="s">
        <v>23</v>
      </c>
      <c r="L77" t="s">
        <v>24</v>
      </c>
      <c r="M77" t="str">
        <f t="shared" si="5"/>
        <v>charge-altering-copy2</v>
      </c>
      <c r="N77" t="str">
        <f t="shared" si="3"/>
        <v>3tu4</v>
      </c>
      <c r="O77" t="s">
        <v>30</v>
      </c>
      <c r="P77" t="str">
        <f t="shared" si="4"/>
        <v>H4 R78C</v>
      </c>
    </row>
    <row r="78" spans="1:16">
      <c r="A78" s="1" t="s">
        <v>15</v>
      </c>
      <c r="B78" s="1" t="s">
        <v>16</v>
      </c>
      <c r="C78" s="1" t="s">
        <v>31</v>
      </c>
      <c r="D78" s="1">
        <v>92</v>
      </c>
      <c r="E78" s="1" t="s">
        <v>49</v>
      </c>
      <c r="F78" s="1" t="s">
        <v>28</v>
      </c>
      <c r="G78" s="1">
        <v>0.92</v>
      </c>
      <c r="H78" s="1" t="s">
        <v>20</v>
      </c>
      <c r="I78" t="s">
        <v>29</v>
      </c>
      <c r="J78" t="s">
        <v>22</v>
      </c>
      <c r="K78" t="s">
        <v>23</v>
      </c>
      <c r="L78" t="s">
        <v>24</v>
      </c>
      <c r="M78" t="str">
        <f t="shared" si="5"/>
        <v>charge-altering-copy2</v>
      </c>
      <c r="N78" t="str">
        <f t="shared" si="3"/>
        <v>3tu4</v>
      </c>
      <c r="O78" t="s">
        <v>30</v>
      </c>
      <c r="P78" t="str">
        <f t="shared" si="4"/>
        <v>H4 R92L</v>
      </c>
    </row>
    <row r="79" spans="1:16">
      <c r="A79" s="1" t="s">
        <v>15</v>
      </c>
      <c r="B79" s="1" t="s">
        <v>16</v>
      </c>
      <c r="C79" s="1" t="s">
        <v>31</v>
      </c>
      <c r="D79" s="1">
        <v>92</v>
      </c>
      <c r="E79" s="1" t="s">
        <v>49</v>
      </c>
      <c r="F79" s="1" t="s">
        <v>47</v>
      </c>
      <c r="G79" s="1">
        <v>0.59</v>
      </c>
      <c r="H79" s="1" t="s">
        <v>20</v>
      </c>
      <c r="I79" t="s">
        <v>29</v>
      </c>
      <c r="J79" t="s">
        <v>22</v>
      </c>
      <c r="K79" t="s">
        <v>23</v>
      </c>
      <c r="L79" t="s">
        <v>24</v>
      </c>
      <c r="M79" t="str">
        <f t="shared" si="5"/>
        <v>charge-altering-copy2</v>
      </c>
      <c r="N79" t="str">
        <f t="shared" si="3"/>
        <v>3tu4</v>
      </c>
      <c r="O79" t="s">
        <v>30</v>
      </c>
      <c r="P79" t="str">
        <f t="shared" si="4"/>
        <v>H4 R92T</v>
      </c>
    </row>
    <row r="80" spans="1:16">
      <c r="A80" s="1" t="s">
        <v>15</v>
      </c>
      <c r="B80" s="1" t="s">
        <v>16</v>
      </c>
      <c r="C80" s="1" t="s">
        <v>32</v>
      </c>
      <c r="D80" s="1">
        <v>113</v>
      </c>
      <c r="E80" s="1" t="s">
        <v>26</v>
      </c>
      <c r="F80" s="1" t="s">
        <v>34</v>
      </c>
      <c r="G80" s="1">
        <v>1.02</v>
      </c>
      <c r="H80" s="1" t="s">
        <v>20</v>
      </c>
      <c r="I80" t="s">
        <v>29</v>
      </c>
      <c r="J80" t="s">
        <v>22</v>
      </c>
      <c r="K80" t="s">
        <v>23</v>
      </c>
      <c r="L80" t="s">
        <v>24</v>
      </c>
      <c r="M80" t="str">
        <f t="shared" si="5"/>
        <v>charge-altering-copy1</v>
      </c>
      <c r="N80" t="str">
        <f t="shared" si="3"/>
        <v>3tu4</v>
      </c>
      <c r="O80" t="s">
        <v>33</v>
      </c>
      <c r="P80" t="str">
        <f t="shared" si="4"/>
        <v>H3 H113N</v>
      </c>
    </row>
    <row r="81" spans="1:16">
      <c r="A81" s="1" t="s">
        <v>15</v>
      </c>
      <c r="B81" s="1" t="s">
        <v>16</v>
      </c>
      <c r="C81" s="1" t="s">
        <v>32</v>
      </c>
      <c r="D81" s="1">
        <v>116</v>
      </c>
      <c r="E81" s="1" t="s">
        <v>49</v>
      </c>
      <c r="F81" s="1" t="s">
        <v>19</v>
      </c>
      <c r="G81" s="1">
        <v>1.25</v>
      </c>
      <c r="H81" s="1" t="s">
        <v>20</v>
      </c>
      <c r="I81" t="s">
        <v>29</v>
      </c>
      <c r="J81" t="s">
        <v>22</v>
      </c>
      <c r="K81" t="s">
        <v>23</v>
      </c>
      <c r="L81" t="s">
        <v>24</v>
      </c>
      <c r="M81" t="str">
        <f t="shared" si="5"/>
        <v>charge-altering-copy1</v>
      </c>
      <c r="N81" t="str">
        <f t="shared" si="3"/>
        <v>3tu4</v>
      </c>
      <c r="O81" t="s">
        <v>33</v>
      </c>
      <c r="P81" t="str">
        <f t="shared" si="4"/>
        <v>H3 R116Q</v>
      </c>
    </row>
    <row r="82" spans="1:16">
      <c r="A82" s="1" t="s">
        <v>15</v>
      </c>
      <c r="B82" s="1" t="s">
        <v>16</v>
      </c>
      <c r="C82" s="1" t="s">
        <v>32</v>
      </c>
      <c r="D82" s="1">
        <v>116</v>
      </c>
      <c r="E82" s="1" t="s">
        <v>49</v>
      </c>
      <c r="F82" s="1" t="s">
        <v>51</v>
      </c>
      <c r="G82" s="1">
        <v>2.21</v>
      </c>
      <c r="H82" s="1" t="s">
        <v>20</v>
      </c>
      <c r="I82" t="s">
        <v>29</v>
      </c>
      <c r="J82" t="s">
        <v>22</v>
      </c>
      <c r="K82" t="s">
        <v>23</v>
      </c>
      <c r="L82" t="s">
        <v>24</v>
      </c>
      <c r="M82" t="str">
        <f t="shared" si="5"/>
        <v>charge-altering-copy1</v>
      </c>
      <c r="N82" t="str">
        <f t="shared" si="3"/>
        <v>3tu4</v>
      </c>
      <c r="O82" t="s">
        <v>33</v>
      </c>
      <c r="P82" t="str">
        <f t="shared" si="4"/>
        <v>H3 R116P</v>
      </c>
    </row>
    <row r="83" spans="1:16">
      <c r="A83" s="1" t="s">
        <v>15</v>
      </c>
      <c r="B83" s="1" t="s">
        <v>16</v>
      </c>
      <c r="C83" s="1" t="s">
        <v>32</v>
      </c>
      <c r="D83" s="1">
        <v>129</v>
      </c>
      <c r="E83" s="1" t="s">
        <v>49</v>
      </c>
      <c r="F83" s="1" t="s">
        <v>39</v>
      </c>
      <c r="G83" s="1">
        <v>0.79</v>
      </c>
      <c r="H83" s="1" t="s">
        <v>20</v>
      </c>
      <c r="I83" t="s">
        <v>29</v>
      </c>
      <c r="J83" t="s">
        <v>22</v>
      </c>
      <c r="K83" t="s">
        <v>23</v>
      </c>
      <c r="L83" t="s">
        <v>24</v>
      </c>
      <c r="M83" t="str">
        <f t="shared" si="5"/>
        <v>charge-altering-copy1</v>
      </c>
      <c r="N83" t="str">
        <f t="shared" si="3"/>
        <v>3tu4</v>
      </c>
      <c r="O83" t="s">
        <v>33</v>
      </c>
      <c r="P83" t="str">
        <f t="shared" si="4"/>
        <v>H3 R129C</v>
      </c>
    </row>
    <row r="84" spans="1:16">
      <c r="A84" s="1" t="s">
        <v>15</v>
      </c>
      <c r="B84" s="1" t="s">
        <v>16</v>
      </c>
      <c r="C84" s="1" t="s">
        <v>32</v>
      </c>
      <c r="D84" s="1">
        <v>129</v>
      </c>
      <c r="E84" s="1" t="s">
        <v>49</v>
      </c>
      <c r="F84" s="1" t="s">
        <v>19</v>
      </c>
      <c r="G84" s="1">
        <v>1.07</v>
      </c>
      <c r="H84" s="1" t="s">
        <v>20</v>
      </c>
      <c r="I84" t="s">
        <v>29</v>
      </c>
      <c r="J84" t="s">
        <v>22</v>
      </c>
      <c r="K84" t="s">
        <v>23</v>
      </c>
      <c r="L84" t="s">
        <v>24</v>
      </c>
      <c r="M84" t="str">
        <f t="shared" si="5"/>
        <v>charge-altering-copy1</v>
      </c>
      <c r="N84" t="str">
        <f t="shared" si="3"/>
        <v>3tu4</v>
      </c>
      <c r="O84" t="s">
        <v>33</v>
      </c>
      <c r="P84" t="str">
        <f t="shared" si="4"/>
        <v>H3 R129Q</v>
      </c>
    </row>
    <row r="85" spans="1:16">
      <c r="A85" s="1" t="s">
        <v>15</v>
      </c>
      <c r="B85" s="1" t="s">
        <v>16</v>
      </c>
      <c r="C85" s="1" t="s">
        <v>32</v>
      </c>
      <c r="D85" s="1">
        <v>131</v>
      </c>
      <c r="E85" s="1" t="s">
        <v>49</v>
      </c>
      <c r="F85" s="1" t="s">
        <v>39</v>
      </c>
      <c r="G85" s="1">
        <v>1.05</v>
      </c>
      <c r="H85" s="1" t="s">
        <v>20</v>
      </c>
      <c r="I85" t="s">
        <v>29</v>
      </c>
      <c r="J85" t="s">
        <v>22</v>
      </c>
      <c r="K85" t="s">
        <v>23</v>
      </c>
      <c r="L85" t="s">
        <v>24</v>
      </c>
      <c r="M85" t="str">
        <f t="shared" si="5"/>
        <v>charge-altering-copy1</v>
      </c>
      <c r="N85" t="str">
        <f t="shared" si="3"/>
        <v>3tu4</v>
      </c>
      <c r="O85" t="s">
        <v>33</v>
      </c>
      <c r="P85" t="str">
        <f t="shared" si="4"/>
        <v>H3 R131C</v>
      </c>
    </row>
    <row r="86" spans="1:16">
      <c r="A86" s="1" t="s">
        <v>15</v>
      </c>
      <c r="B86" s="1" t="s">
        <v>16</v>
      </c>
      <c r="C86" s="1" t="s">
        <v>32</v>
      </c>
      <c r="D86" s="1">
        <v>131</v>
      </c>
      <c r="E86" s="1" t="s">
        <v>49</v>
      </c>
      <c r="F86" s="1" t="s">
        <v>41</v>
      </c>
      <c r="G86" s="1">
        <v>1.43</v>
      </c>
      <c r="H86" s="1" t="s">
        <v>20</v>
      </c>
      <c r="I86" t="s">
        <v>29</v>
      </c>
      <c r="J86" t="s">
        <v>22</v>
      </c>
      <c r="K86" t="s">
        <v>23</v>
      </c>
      <c r="L86" t="s">
        <v>24</v>
      </c>
      <c r="M86" t="str">
        <f t="shared" si="5"/>
        <v>charge-altering-copy1</v>
      </c>
      <c r="N86" t="str">
        <f t="shared" si="3"/>
        <v>3tu4</v>
      </c>
      <c r="O86" t="s">
        <v>33</v>
      </c>
      <c r="P86" t="str">
        <f t="shared" si="4"/>
        <v>H3 R131G</v>
      </c>
    </row>
    <row r="87" spans="1:16">
      <c r="A87" s="1" t="s">
        <v>15</v>
      </c>
      <c r="B87" s="1" t="s">
        <v>16</v>
      </c>
      <c r="C87" s="1" t="s">
        <v>32</v>
      </c>
      <c r="D87" s="1">
        <v>131</v>
      </c>
      <c r="E87" s="1" t="s">
        <v>49</v>
      </c>
      <c r="F87" s="1" t="s">
        <v>51</v>
      </c>
      <c r="G87" s="1">
        <v>2.33</v>
      </c>
      <c r="H87" s="1" t="s">
        <v>20</v>
      </c>
      <c r="I87" t="s">
        <v>29</v>
      </c>
      <c r="J87" t="s">
        <v>22</v>
      </c>
      <c r="K87" t="s">
        <v>23</v>
      </c>
      <c r="L87" t="s">
        <v>24</v>
      </c>
      <c r="M87" t="str">
        <f t="shared" si="5"/>
        <v>charge-altering-copy1</v>
      </c>
      <c r="N87" t="str">
        <f t="shared" si="3"/>
        <v>3tu4</v>
      </c>
      <c r="O87" t="s">
        <v>33</v>
      </c>
      <c r="P87" t="str">
        <f t="shared" si="4"/>
        <v>H3 R131P</v>
      </c>
    </row>
    <row r="88" spans="1:16">
      <c r="A88" s="1" t="s">
        <v>15</v>
      </c>
      <c r="B88" s="1" t="s">
        <v>16</v>
      </c>
      <c r="C88" s="1" t="s">
        <v>32</v>
      </c>
      <c r="D88" s="1">
        <v>52</v>
      </c>
      <c r="E88" s="1" t="s">
        <v>49</v>
      </c>
      <c r="F88" s="1" t="s">
        <v>39</v>
      </c>
      <c r="G88" s="1">
        <v>0.91</v>
      </c>
      <c r="H88" s="1" t="s">
        <v>20</v>
      </c>
      <c r="I88" t="s">
        <v>29</v>
      </c>
      <c r="J88" t="s">
        <v>22</v>
      </c>
      <c r="K88" t="s">
        <v>23</v>
      </c>
      <c r="L88" t="s">
        <v>24</v>
      </c>
      <c r="M88" t="str">
        <f t="shared" si="5"/>
        <v>charge-altering-copy1</v>
      </c>
      <c r="N88" t="str">
        <f t="shared" si="3"/>
        <v>3tu4</v>
      </c>
      <c r="O88" t="s">
        <v>33</v>
      </c>
      <c r="P88" t="str">
        <f t="shared" si="4"/>
        <v>H3 R52C</v>
      </c>
    </row>
    <row r="89" spans="1:16">
      <c r="A89" s="1" t="s">
        <v>15</v>
      </c>
      <c r="B89" s="1" t="s">
        <v>16</v>
      </c>
      <c r="C89" s="1" t="s">
        <v>32</v>
      </c>
      <c r="D89" s="1">
        <v>72</v>
      </c>
      <c r="E89" s="1" t="s">
        <v>49</v>
      </c>
      <c r="F89" s="1" t="s">
        <v>51</v>
      </c>
      <c r="G89" s="1">
        <v>2.14</v>
      </c>
      <c r="H89" s="1" t="s">
        <v>20</v>
      </c>
      <c r="I89" t="s">
        <v>29</v>
      </c>
      <c r="J89" t="s">
        <v>22</v>
      </c>
      <c r="K89" t="s">
        <v>23</v>
      </c>
      <c r="L89" t="s">
        <v>24</v>
      </c>
      <c r="M89" t="str">
        <f t="shared" si="5"/>
        <v>charge-altering-copy1</v>
      </c>
      <c r="N89" t="str">
        <f t="shared" si="3"/>
        <v>3tu4</v>
      </c>
      <c r="O89" t="s">
        <v>33</v>
      </c>
      <c r="P89" t="str">
        <f t="shared" si="4"/>
        <v>H3 R72P</v>
      </c>
    </row>
    <row r="90" spans="1:16">
      <c r="A90" s="1" t="s">
        <v>15</v>
      </c>
      <c r="B90" s="1" t="s">
        <v>16</v>
      </c>
      <c r="C90" s="1" t="s">
        <v>32</v>
      </c>
      <c r="D90" s="1">
        <v>72</v>
      </c>
      <c r="E90" s="1" t="s">
        <v>49</v>
      </c>
      <c r="F90" s="1" t="s">
        <v>19</v>
      </c>
      <c r="G90" s="1">
        <v>0.75</v>
      </c>
      <c r="H90" s="1" t="s">
        <v>20</v>
      </c>
      <c r="I90" t="s">
        <v>29</v>
      </c>
      <c r="J90" t="s">
        <v>22</v>
      </c>
      <c r="K90" t="s">
        <v>23</v>
      </c>
      <c r="L90" t="s">
        <v>24</v>
      </c>
      <c r="M90" t="str">
        <f t="shared" si="5"/>
        <v>charge-altering-copy1</v>
      </c>
      <c r="N90" t="str">
        <f t="shared" si="3"/>
        <v>3tu4</v>
      </c>
      <c r="O90" t="s">
        <v>33</v>
      </c>
      <c r="P90" t="str">
        <f t="shared" si="4"/>
        <v>H3 R72Q</v>
      </c>
    </row>
    <row r="91" spans="1:16">
      <c r="A91" s="1" t="s">
        <v>15</v>
      </c>
      <c r="B91" s="1" t="s">
        <v>16</v>
      </c>
      <c r="C91" s="1" t="s">
        <v>32</v>
      </c>
      <c r="D91" s="1">
        <v>83</v>
      </c>
      <c r="E91" s="1" t="s">
        <v>49</v>
      </c>
      <c r="F91" s="1" t="s">
        <v>39</v>
      </c>
      <c r="G91" s="1">
        <v>1.16</v>
      </c>
      <c r="H91" s="1" t="s">
        <v>20</v>
      </c>
      <c r="I91" t="s">
        <v>29</v>
      </c>
      <c r="J91" t="s">
        <v>22</v>
      </c>
      <c r="K91" t="s">
        <v>23</v>
      </c>
      <c r="L91" t="s">
        <v>24</v>
      </c>
      <c r="M91" t="str">
        <f t="shared" si="5"/>
        <v>charge-altering-copy1</v>
      </c>
      <c r="N91" t="str">
        <f t="shared" si="3"/>
        <v>3tu4</v>
      </c>
      <c r="O91" t="s">
        <v>33</v>
      </c>
      <c r="P91" t="str">
        <f t="shared" si="4"/>
        <v>H3 R83C</v>
      </c>
    </row>
    <row r="92" spans="1:16">
      <c r="A92" s="1" t="s">
        <v>15</v>
      </c>
      <c r="B92" s="1" t="s">
        <v>16</v>
      </c>
      <c r="C92" s="1" t="s">
        <v>32</v>
      </c>
      <c r="D92" s="1">
        <v>83</v>
      </c>
      <c r="E92" s="1" t="s">
        <v>49</v>
      </c>
      <c r="F92" s="1" t="s">
        <v>48</v>
      </c>
      <c r="G92" s="1">
        <v>1.27</v>
      </c>
      <c r="H92" s="1" t="s">
        <v>20</v>
      </c>
      <c r="I92" t="s">
        <v>29</v>
      </c>
      <c r="J92" t="s">
        <v>22</v>
      </c>
      <c r="K92" t="s">
        <v>23</v>
      </c>
      <c r="L92" t="s">
        <v>24</v>
      </c>
      <c r="M92" t="str">
        <f t="shared" si="5"/>
        <v>charge-altering-copy1</v>
      </c>
      <c r="N92" t="str">
        <f t="shared" si="3"/>
        <v>3tu4</v>
      </c>
      <c r="O92" t="s">
        <v>33</v>
      </c>
      <c r="P92" t="str">
        <f t="shared" si="4"/>
        <v>H3 R83S</v>
      </c>
    </row>
    <row r="93" spans="1:16">
      <c r="A93" s="1" t="s">
        <v>15</v>
      </c>
      <c r="B93" s="1" t="s">
        <v>16</v>
      </c>
      <c r="C93" s="1" t="s">
        <v>18</v>
      </c>
      <c r="D93" s="1">
        <v>113</v>
      </c>
      <c r="E93" s="1" t="s">
        <v>26</v>
      </c>
      <c r="F93" s="1" t="s">
        <v>34</v>
      </c>
      <c r="G93" s="1">
        <v>0.91</v>
      </c>
      <c r="H93" s="1" t="s">
        <v>20</v>
      </c>
      <c r="I93" t="s">
        <v>29</v>
      </c>
      <c r="J93" t="s">
        <v>22</v>
      </c>
      <c r="K93" t="s">
        <v>23</v>
      </c>
      <c r="L93" t="s">
        <v>24</v>
      </c>
      <c r="M93" t="str">
        <f t="shared" si="5"/>
        <v>charge-altering-copy2</v>
      </c>
      <c r="N93" t="str">
        <f t="shared" si="3"/>
        <v>3tu4</v>
      </c>
      <c r="O93" t="s">
        <v>33</v>
      </c>
      <c r="P93" t="str">
        <f t="shared" si="4"/>
        <v>H3 H113N</v>
      </c>
    </row>
    <row r="94" spans="1:16">
      <c r="A94" s="1" t="s">
        <v>15</v>
      </c>
      <c r="B94" s="1" t="s">
        <v>16</v>
      </c>
      <c r="C94" s="1" t="s">
        <v>18</v>
      </c>
      <c r="D94" s="1">
        <v>116</v>
      </c>
      <c r="E94" s="1" t="s">
        <v>49</v>
      </c>
      <c r="F94" s="1" t="s">
        <v>19</v>
      </c>
      <c r="G94" s="1">
        <v>1.14</v>
      </c>
      <c r="H94" s="1" t="s">
        <v>20</v>
      </c>
      <c r="I94" t="s">
        <v>29</v>
      </c>
      <c r="J94" t="s">
        <v>22</v>
      </c>
      <c r="K94" t="s">
        <v>23</v>
      </c>
      <c r="L94" t="s">
        <v>24</v>
      </c>
      <c r="M94" t="str">
        <f t="shared" si="5"/>
        <v>charge-altering-copy2</v>
      </c>
      <c r="N94" t="str">
        <f t="shared" si="3"/>
        <v>3tu4</v>
      </c>
      <c r="O94" t="s">
        <v>33</v>
      </c>
      <c r="P94" t="str">
        <f t="shared" si="4"/>
        <v>H3 R116Q</v>
      </c>
    </row>
    <row r="95" spans="1:16">
      <c r="A95" s="1" t="s">
        <v>15</v>
      </c>
      <c r="B95" s="1" t="s">
        <v>16</v>
      </c>
      <c r="C95" s="1" t="s">
        <v>18</v>
      </c>
      <c r="D95" s="1">
        <v>116</v>
      </c>
      <c r="E95" s="1" t="s">
        <v>49</v>
      </c>
      <c r="F95" s="1" t="s">
        <v>51</v>
      </c>
      <c r="G95" s="1">
        <v>2.1</v>
      </c>
      <c r="H95" s="1" t="s">
        <v>20</v>
      </c>
      <c r="I95" t="s">
        <v>29</v>
      </c>
      <c r="J95" t="s">
        <v>22</v>
      </c>
      <c r="K95" t="s">
        <v>23</v>
      </c>
      <c r="L95" t="s">
        <v>24</v>
      </c>
      <c r="M95" t="str">
        <f t="shared" si="5"/>
        <v>charge-altering-copy2</v>
      </c>
      <c r="N95" t="str">
        <f t="shared" si="3"/>
        <v>3tu4</v>
      </c>
      <c r="O95" t="s">
        <v>33</v>
      </c>
      <c r="P95" t="str">
        <f t="shared" si="4"/>
        <v>H3 R116P</v>
      </c>
    </row>
    <row r="96" spans="1:16">
      <c r="A96" s="1" t="s">
        <v>15</v>
      </c>
      <c r="B96" s="1" t="s">
        <v>16</v>
      </c>
      <c r="C96" s="1" t="s">
        <v>18</v>
      </c>
      <c r="D96" s="1">
        <v>129</v>
      </c>
      <c r="E96" s="1" t="s">
        <v>49</v>
      </c>
      <c r="F96" s="1" t="s">
        <v>39</v>
      </c>
      <c r="G96" s="1">
        <v>0.79</v>
      </c>
      <c r="H96" s="1" t="s">
        <v>20</v>
      </c>
      <c r="I96" t="s">
        <v>29</v>
      </c>
      <c r="J96" t="s">
        <v>22</v>
      </c>
      <c r="K96" t="s">
        <v>23</v>
      </c>
      <c r="L96" t="s">
        <v>24</v>
      </c>
      <c r="M96" t="str">
        <f t="shared" si="5"/>
        <v>charge-altering-copy2</v>
      </c>
      <c r="N96" t="str">
        <f t="shared" si="3"/>
        <v>3tu4</v>
      </c>
      <c r="O96" t="s">
        <v>33</v>
      </c>
      <c r="P96" t="str">
        <f t="shared" si="4"/>
        <v>H3 R129C</v>
      </c>
    </row>
    <row r="97" spans="1:16">
      <c r="A97" s="1" t="s">
        <v>15</v>
      </c>
      <c r="B97" s="1" t="s">
        <v>16</v>
      </c>
      <c r="C97" s="1" t="s">
        <v>18</v>
      </c>
      <c r="D97" s="1">
        <v>129</v>
      </c>
      <c r="E97" s="1" t="s">
        <v>49</v>
      </c>
      <c r="F97" s="1" t="s">
        <v>19</v>
      </c>
      <c r="G97" s="1">
        <v>1.07</v>
      </c>
      <c r="H97" s="1" t="s">
        <v>20</v>
      </c>
      <c r="I97" t="s">
        <v>29</v>
      </c>
      <c r="J97" t="s">
        <v>22</v>
      </c>
      <c r="K97" t="s">
        <v>23</v>
      </c>
      <c r="L97" t="s">
        <v>24</v>
      </c>
      <c r="M97" t="str">
        <f t="shared" si="5"/>
        <v>charge-altering-copy2</v>
      </c>
      <c r="N97" t="str">
        <f t="shared" si="3"/>
        <v>3tu4</v>
      </c>
      <c r="O97" t="s">
        <v>33</v>
      </c>
      <c r="P97" t="str">
        <f t="shared" si="4"/>
        <v>H3 R129Q</v>
      </c>
    </row>
    <row r="98" spans="1:16">
      <c r="A98" s="1" t="s">
        <v>15</v>
      </c>
      <c r="B98" s="1" t="s">
        <v>16</v>
      </c>
      <c r="C98" s="1" t="s">
        <v>18</v>
      </c>
      <c r="D98" s="1">
        <v>131</v>
      </c>
      <c r="E98" s="1" t="s">
        <v>49</v>
      </c>
      <c r="F98" s="1" t="s">
        <v>39</v>
      </c>
      <c r="G98" s="1">
        <v>1.01</v>
      </c>
      <c r="H98" s="1" t="s">
        <v>20</v>
      </c>
      <c r="I98" t="s">
        <v>29</v>
      </c>
      <c r="J98" t="s">
        <v>22</v>
      </c>
      <c r="K98" t="s">
        <v>23</v>
      </c>
      <c r="L98" t="s">
        <v>24</v>
      </c>
      <c r="M98" t="str">
        <f t="shared" si="5"/>
        <v>charge-altering-copy2</v>
      </c>
      <c r="N98" t="str">
        <f t="shared" si="3"/>
        <v>3tu4</v>
      </c>
      <c r="O98" t="s">
        <v>33</v>
      </c>
      <c r="P98" t="str">
        <f t="shared" si="4"/>
        <v>H3 R131C</v>
      </c>
    </row>
    <row r="99" spans="1:16">
      <c r="A99" s="1" t="s">
        <v>15</v>
      </c>
      <c r="B99" s="1" t="s">
        <v>16</v>
      </c>
      <c r="C99" s="1" t="s">
        <v>18</v>
      </c>
      <c r="D99" s="1">
        <v>131</v>
      </c>
      <c r="E99" s="1" t="s">
        <v>49</v>
      </c>
      <c r="F99" s="1" t="s">
        <v>41</v>
      </c>
      <c r="G99" s="1">
        <v>1.38</v>
      </c>
      <c r="H99" s="1" t="s">
        <v>20</v>
      </c>
      <c r="I99" t="s">
        <v>29</v>
      </c>
      <c r="J99" t="s">
        <v>22</v>
      </c>
      <c r="K99" t="s">
        <v>23</v>
      </c>
      <c r="L99" t="s">
        <v>24</v>
      </c>
      <c r="M99" t="str">
        <f t="shared" si="5"/>
        <v>charge-altering-copy2</v>
      </c>
      <c r="N99" t="str">
        <f t="shared" si="3"/>
        <v>3tu4</v>
      </c>
      <c r="O99" t="s">
        <v>33</v>
      </c>
      <c r="P99" t="str">
        <f t="shared" si="4"/>
        <v>H3 R131G</v>
      </c>
    </row>
    <row r="100" spans="1:16">
      <c r="A100" s="1" t="s">
        <v>15</v>
      </c>
      <c r="B100" s="1" t="s">
        <v>16</v>
      </c>
      <c r="C100" s="1" t="s">
        <v>18</v>
      </c>
      <c r="D100" s="1">
        <v>131</v>
      </c>
      <c r="E100" s="1" t="s">
        <v>49</v>
      </c>
      <c r="F100" s="1" t="s">
        <v>51</v>
      </c>
      <c r="G100" s="1">
        <v>2.39</v>
      </c>
      <c r="H100" s="1" t="s">
        <v>20</v>
      </c>
      <c r="I100" t="s">
        <v>29</v>
      </c>
      <c r="J100" t="s">
        <v>22</v>
      </c>
      <c r="K100" t="s">
        <v>23</v>
      </c>
      <c r="L100" t="s">
        <v>24</v>
      </c>
      <c r="M100" t="str">
        <f t="shared" si="5"/>
        <v>charge-altering-copy2</v>
      </c>
      <c r="N100" t="str">
        <f t="shared" si="3"/>
        <v>3tu4</v>
      </c>
      <c r="O100" t="s">
        <v>33</v>
      </c>
      <c r="P100" t="str">
        <f t="shared" si="4"/>
        <v>H3 R131P</v>
      </c>
    </row>
    <row r="101" spans="1:16">
      <c r="A101" s="1" t="s">
        <v>15</v>
      </c>
      <c r="B101" s="1" t="s">
        <v>16</v>
      </c>
      <c r="C101" s="1" t="s">
        <v>18</v>
      </c>
      <c r="D101" s="1">
        <v>52</v>
      </c>
      <c r="E101" s="1" t="s">
        <v>49</v>
      </c>
      <c r="F101" s="1" t="s">
        <v>39</v>
      </c>
      <c r="G101" s="1">
        <v>1.03</v>
      </c>
      <c r="H101" s="1" t="s">
        <v>20</v>
      </c>
      <c r="I101" t="s">
        <v>29</v>
      </c>
      <c r="J101" t="s">
        <v>22</v>
      </c>
      <c r="K101" t="s">
        <v>23</v>
      </c>
      <c r="L101" t="s">
        <v>24</v>
      </c>
      <c r="M101" t="str">
        <f t="shared" si="5"/>
        <v>charge-altering-copy2</v>
      </c>
      <c r="N101" t="str">
        <f t="shared" si="3"/>
        <v>3tu4</v>
      </c>
      <c r="O101" t="s">
        <v>33</v>
      </c>
      <c r="P101" t="str">
        <f t="shared" si="4"/>
        <v>H3 R52C</v>
      </c>
    </row>
    <row r="102" spans="1:16">
      <c r="A102" s="1" t="s">
        <v>15</v>
      </c>
      <c r="B102" s="1" t="s">
        <v>16</v>
      </c>
      <c r="C102" s="1" t="s">
        <v>18</v>
      </c>
      <c r="D102" s="1">
        <v>72</v>
      </c>
      <c r="E102" s="1" t="s">
        <v>49</v>
      </c>
      <c r="F102" s="1" t="s">
        <v>51</v>
      </c>
      <c r="G102" s="1">
        <v>2.14</v>
      </c>
      <c r="H102" s="1" t="s">
        <v>20</v>
      </c>
      <c r="I102" t="s">
        <v>29</v>
      </c>
      <c r="J102" t="s">
        <v>22</v>
      </c>
      <c r="K102" t="s">
        <v>23</v>
      </c>
      <c r="L102" t="s">
        <v>24</v>
      </c>
      <c r="M102" t="str">
        <f t="shared" si="5"/>
        <v>charge-altering-copy2</v>
      </c>
      <c r="N102" t="str">
        <f t="shared" si="3"/>
        <v>3tu4</v>
      </c>
      <c r="O102" t="s">
        <v>33</v>
      </c>
      <c r="P102" t="str">
        <f t="shared" si="4"/>
        <v>H3 R72P</v>
      </c>
    </row>
    <row r="103" spans="1:16">
      <c r="A103" s="1" t="s">
        <v>15</v>
      </c>
      <c r="B103" s="1" t="s">
        <v>16</v>
      </c>
      <c r="C103" s="1" t="s">
        <v>18</v>
      </c>
      <c r="D103" s="1">
        <v>72</v>
      </c>
      <c r="E103" s="1" t="s">
        <v>49</v>
      </c>
      <c r="F103" s="1" t="s">
        <v>19</v>
      </c>
      <c r="G103" s="1">
        <v>0.75</v>
      </c>
      <c r="H103" s="1" t="s">
        <v>20</v>
      </c>
      <c r="I103" t="s">
        <v>29</v>
      </c>
      <c r="J103" t="s">
        <v>22</v>
      </c>
      <c r="K103" t="s">
        <v>23</v>
      </c>
      <c r="L103" t="s">
        <v>24</v>
      </c>
      <c r="M103" t="str">
        <f t="shared" si="5"/>
        <v>charge-altering-copy2</v>
      </c>
      <c r="N103" t="str">
        <f t="shared" si="3"/>
        <v>3tu4</v>
      </c>
      <c r="O103" t="s">
        <v>33</v>
      </c>
      <c r="P103" t="str">
        <f t="shared" si="4"/>
        <v>H3 R72Q</v>
      </c>
    </row>
    <row r="104" spans="1:16">
      <c r="A104" s="1" t="s">
        <v>15</v>
      </c>
      <c r="B104" s="1" t="s">
        <v>16</v>
      </c>
      <c r="C104" s="1" t="s">
        <v>18</v>
      </c>
      <c r="D104" s="1">
        <v>83</v>
      </c>
      <c r="E104" s="1" t="s">
        <v>49</v>
      </c>
      <c r="F104" s="1" t="s">
        <v>39</v>
      </c>
      <c r="G104" s="1">
        <v>1.16</v>
      </c>
      <c r="H104" s="1" t="s">
        <v>20</v>
      </c>
      <c r="I104" t="s">
        <v>29</v>
      </c>
      <c r="J104" t="s">
        <v>22</v>
      </c>
      <c r="K104" t="s">
        <v>23</v>
      </c>
      <c r="L104" t="s">
        <v>24</v>
      </c>
      <c r="M104" t="str">
        <f t="shared" si="5"/>
        <v>charge-altering-copy2</v>
      </c>
      <c r="N104" t="str">
        <f t="shared" si="3"/>
        <v>3tu4</v>
      </c>
      <c r="O104" t="s">
        <v>33</v>
      </c>
      <c r="P104" t="str">
        <f t="shared" si="4"/>
        <v>H3 R83C</v>
      </c>
    </row>
    <row r="105" spans="1:16">
      <c r="A105" s="1" t="s">
        <v>15</v>
      </c>
      <c r="B105" s="1" t="s">
        <v>16</v>
      </c>
      <c r="C105" s="1" t="s">
        <v>18</v>
      </c>
      <c r="D105" s="1">
        <v>83</v>
      </c>
      <c r="E105" s="1" t="s">
        <v>49</v>
      </c>
      <c r="F105" s="1" t="s">
        <v>48</v>
      </c>
      <c r="G105" s="1">
        <v>1.27</v>
      </c>
      <c r="H105" s="1" t="s">
        <v>20</v>
      </c>
      <c r="I105" t="s">
        <v>29</v>
      </c>
      <c r="J105" t="s">
        <v>22</v>
      </c>
      <c r="K105" t="s">
        <v>23</v>
      </c>
      <c r="L105" t="s">
        <v>24</v>
      </c>
      <c r="M105" t="str">
        <f t="shared" si="5"/>
        <v>charge-altering-copy2</v>
      </c>
      <c r="N105" t="str">
        <f t="shared" si="3"/>
        <v>3tu4</v>
      </c>
      <c r="O105" t="s">
        <v>33</v>
      </c>
      <c r="P105" t="str">
        <f t="shared" si="4"/>
        <v>H3 R83S</v>
      </c>
    </row>
    <row r="106" spans="1:16">
      <c r="A106" s="1" t="s">
        <v>15</v>
      </c>
      <c r="B106" s="1" t="s">
        <v>16</v>
      </c>
      <c r="C106" s="1" t="s">
        <v>17</v>
      </c>
      <c r="D106" s="1">
        <v>44</v>
      </c>
      <c r="E106" s="1" t="s">
        <v>19</v>
      </c>
      <c r="F106" s="1" t="s">
        <v>18</v>
      </c>
      <c r="G106" s="1">
        <v>0.55</v>
      </c>
      <c r="H106" s="1" t="s">
        <v>20</v>
      </c>
      <c r="I106" t="s">
        <v>55</v>
      </c>
      <c r="J106" t="s">
        <v>56</v>
      </c>
      <c r="K106" t="s">
        <v>57</v>
      </c>
      <c r="L106" t="s">
        <v>24</v>
      </c>
      <c r="M106" t="str">
        <f t="shared" si="5"/>
        <v>charge-altering-copy1</v>
      </c>
      <c r="N106" t="str">
        <f t="shared" si="3"/>
        <v>3tu4</v>
      </c>
      <c r="O106" t="s">
        <v>25</v>
      </c>
      <c r="P106" t="str">
        <f t="shared" si="4"/>
        <v>H2B Q44E</v>
      </c>
    </row>
    <row r="107" spans="1:16">
      <c r="A107" s="1" t="s">
        <v>15</v>
      </c>
      <c r="B107" s="1" t="s">
        <v>16</v>
      </c>
      <c r="C107" s="1" t="s">
        <v>17</v>
      </c>
      <c r="D107" s="1">
        <v>50</v>
      </c>
      <c r="E107" s="1" t="s">
        <v>41</v>
      </c>
      <c r="F107" s="1" t="s">
        <v>17</v>
      </c>
      <c r="G107" s="1">
        <v>0.43</v>
      </c>
      <c r="H107" s="1" t="s">
        <v>20</v>
      </c>
      <c r="I107" t="s">
        <v>55</v>
      </c>
      <c r="J107" t="s">
        <v>56</v>
      </c>
      <c r="K107" t="s">
        <v>57</v>
      </c>
      <c r="L107" t="s">
        <v>24</v>
      </c>
      <c r="M107" t="str">
        <f t="shared" si="5"/>
        <v>charge-altering-copy1</v>
      </c>
      <c r="N107" t="str">
        <f t="shared" si="3"/>
        <v>3tu4</v>
      </c>
      <c r="O107" t="s">
        <v>25</v>
      </c>
      <c r="P107" t="str">
        <f t="shared" si="4"/>
        <v>H2B G50D</v>
      </c>
    </row>
    <row r="108" spans="1:16">
      <c r="A108" s="1" t="s">
        <v>15</v>
      </c>
      <c r="B108" s="1" t="s">
        <v>16</v>
      </c>
      <c r="C108" s="1" t="s">
        <v>26</v>
      </c>
      <c r="D108" s="1">
        <v>44</v>
      </c>
      <c r="E108" s="1" t="s">
        <v>19</v>
      </c>
      <c r="F108" s="1" t="s">
        <v>18</v>
      </c>
      <c r="G108" s="1">
        <v>0.69</v>
      </c>
      <c r="H108" s="1" t="s">
        <v>20</v>
      </c>
      <c r="I108" t="s">
        <v>55</v>
      </c>
      <c r="J108" t="s">
        <v>56</v>
      </c>
      <c r="K108" t="s">
        <v>57</v>
      </c>
      <c r="L108" t="s">
        <v>24</v>
      </c>
      <c r="M108" t="str">
        <f t="shared" si="5"/>
        <v>charge-altering-copy2</v>
      </c>
      <c r="N108" t="str">
        <f t="shared" si="3"/>
        <v>3tu4</v>
      </c>
      <c r="O108" t="s">
        <v>25</v>
      </c>
      <c r="P108" t="str">
        <f t="shared" si="4"/>
        <v>H2B Q44E</v>
      </c>
    </row>
    <row r="109" spans="1:16">
      <c r="A109" s="1" t="s">
        <v>15</v>
      </c>
      <c r="B109" s="1" t="s">
        <v>16</v>
      </c>
      <c r="C109" s="1" t="s">
        <v>26</v>
      </c>
      <c r="D109" s="1">
        <v>50</v>
      </c>
      <c r="E109" s="1" t="s">
        <v>41</v>
      </c>
      <c r="F109" s="1" t="s">
        <v>17</v>
      </c>
      <c r="G109" s="1">
        <v>0.46</v>
      </c>
      <c r="H109" s="1" t="s">
        <v>20</v>
      </c>
      <c r="I109" t="s">
        <v>55</v>
      </c>
      <c r="J109" t="s">
        <v>56</v>
      </c>
      <c r="K109" t="s">
        <v>57</v>
      </c>
      <c r="L109" t="s">
        <v>24</v>
      </c>
      <c r="M109" t="str">
        <f t="shared" si="5"/>
        <v>charge-altering-copy2</v>
      </c>
      <c r="N109" t="str">
        <f t="shared" si="3"/>
        <v>3tu4</v>
      </c>
      <c r="O109" t="s">
        <v>25</v>
      </c>
      <c r="P109" t="str">
        <f t="shared" si="4"/>
        <v>H2B G50D</v>
      </c>
    </row>
    <row r="110" spans="1:16">
      <c r="A110" s="1" t="s">
        <v>15</v>
      </c>
      <c r="B110" s="1" t="s">
        <v>16</v>
      </c>
      <c r="C110" s="1" t="s">
        <v>39</v>
      </c>
      <c r="D110" s="1">
        <v>106</v>
      </c>
      <c r="E110" s="1" t="s">
        <v>41</v>
      </c>
      <c r="F110" s="1" t="s">
        <v>17</v>
      </c>
      <c r="G110" s="1">
        <v>0.51</v>
      </c>
      <c r="H110" s="1" t="s">
        <v>20</v>
      </c>
      <c r="I110" t="s">
        <v>55</v>
      </c>
      <c r="J110" t="s">
        <v>56</v>
      </c>
      <c r="K110" t="s">
        <v>57</v>
      </c>
      <c r="L110" t="s">
        <v>24</v>
      </c>
      <c r="M110" t="str">
        <f t="shared" si="5"/>
        <v>charge-altering-copy1</v>
      </c>
      <c r="N110" t="str">
        <f t="shared" si="3"/>
        <v>3tu4</v>
      </c>
      <c r="O110" t="s">
        <v>40</v>
      </c>
      <c r="P110" t="str">
        <f t="shared" si="4"/>
        <v>H2A G106D</v>
      </c>
    </row>
    <row r="111" spans="1:16">
      <c r="A111" s="1" t="s">
        <v>15</v>
      </c>
      <c r="B111" s="1" t="s">
        <v>16</v>
      </c>
      <c r="C111" s="1" t="s">
        <v>39</v>
      </c>
      <c r="D111" s="1">
        <v>37</v>
      </c>
      <c r="E111" s="1" t="s">
        <v>41</v>
      </c>
      <c r="F111" s="1" t="s">
        <v>17</v>
      </c>
      <c r="G111" s="1">
        <v>0.95</v>
      </c>
      <c r="H111" s="1" t="s">
        <v>20</v>
      </c>
      <c r="I111" t="s">
        <v>55</v>
      </c>
      <c r="J111" t="s">
        <v>56</v>
      </c>
      <c r="K111" t="s">
        <v>57</v>
      </c>
      <c r="L111" t="s">
        <v>24</v>
      </c>
      <c r="M111" t="str">
        <f t="shared" si="5"/>
        <v>charge-altering-copy1</v>
      </c>
      <c r="N111" t="str">
        <f t="shared" si="3"/>
        <v>3tu4</v>
      </c>
      <c r="O111" t="s">
        <v>40</v>
      </c>
      <c r="P111" t="str">
        <f t="shared" si="4"/>
        <v>H2A G37D</v>
      </c>
    </row>
    <row r="112" spans="1:16">
      <c r="A112" s="1" t="s">
        <v>15</v>
      </c>
      <c r="B112" s="1" t="s">
        <v>16</v>
      </c>
      <c r="C112" s="1" t="s">
        <v>41</v>
      </c>
      <c r="D112" s="1">
        <v>106</v>
      </c>
      <c r="E112" s="1" t="s">
        <v>41</v>
      </c>
      <c r="F112" s="1" t="s">
        <v>17</v>
      </c>
      <c r="G112" s="1">
        <v>0.51</v>
      </c>
      <c r="H112" s="1" t="s">
        <v>20</v>
      </c>
      <c r="I112" t="s">
        <v>55</v>
      </c>
      <c r="J112" t="s">
        <v>56</v>
      </c>
      <c r="K112" t="s">
        <v>57</v>
      </c>
      <c r="L112" t="s">
        <v>24</v>
      </c>
      <c r="M112" t="str">
        <f t="shared" si="5"/>
        <v>charge-altering-copy2</v>
      </c>
      <c r="N112" t="str">
        <f t="shared" si="3"/>
        <v>3tu4</v>
      </c>
      <c r="O112" t="s">
        <v>40</v>
      </c>
      <c r="P112" t="str">
        <f t="shared" si="4"/>
        <v>H2A G106D</v>
      </c>
    </row>
    <row r="113" spans="1:16">
      <c r="A113" s="1" t="s">
        <v>15</v>
      </c>
      <c r="B113" s="1" t="s">
        <v>16</v>
      </c>
      <c r="C113" s="1" t="s">
        <v>41</v>
      </c>
      <c r="D113" s="1">
        <v>37</v>
      </c>
      <c r="E113" s="1" t="s">
        <v>41</v>
      </c>
      <c r="F113" s="1" t="s">
        <v>17</v>
      </c>
      <c r="G113" s="1">
        <v>0.95</v>
      </c>
      <c r="H113" s="1" t="s">
        <v>20</v>
      </c>
      <c r="I113" t="s">
        <v>55</v>
      </c>
      <c r="J113" t="s">
        <v>56</v>
      </c>
      <c r="K113" t="s">
        <v>57</v>
      </c>
      <c r="L113" t="s">
        <v>24</v>
      </c>
      <c r="M113" t="str">
        <f t="shared" si="5"/>
        <v>charge-altering-copy2</v>
      </c>
      <c r="N113" t="str">
        <f t="shared" si="3"/>
        <v>3tu4</v>
      </c>
      <c r="O113" t="s">
        <v>40</v>
      </c>
      <c r="P113" t="str">
        <f t="shared" si="4"/>
        <v>H2A G37D</v>
      </c>
    </row>
    <row r="114" spans="1:16">
      <c r="A114" s="1" t="s">
        <v>15</v>
      </c>
      <c r="B114" s="1" t="s">
        <v>16</v>
      </c>
      <c r="C114" s="1" t="s">
        <v>27</v>
      </c>
      <c r="D114" s="1">
        <v>99</v>
      </c>
      <c r="E114" s="1" t="s">
        <v>41</v>
      </c>
      <c r="F114" s="1" t="s">
        <v>17</v>
      </c>
      <c r="G114" s="1">
        <v>0.49</v>
      </c>
      <c r="H114" s="1" t="s">
        <v>20</v>
      </c>
      <c r="I114" t="s">
        <v>55</v>
      </c>
      <c r="J114" t="s">
        <v>56</v>
      </c>
      <c r="K114" t="s">
        <v>57</v>
      </c>
      <c r="L114" t="s">
        <v>24</v>
      </c>
      <c r="M114" t="str">
        <f t="shared" si="5"/>
        <v>charge-altering-copy1</v>
      </c>
      <c r="N114" t="str">
        <f t="shared" si="3"/>
        <v>3tu4</v>
      </c>
      <c r="O114" t="s">
        <v>30</v>
      </c>
      <c r="P114" t="str">
        <f t="shared" si="4"/>
        <v>H4 G99D</v>
      </c>
    </row>
    <row r="115" spans="1:16">
      <c r="A115" s="1" t="s">
        <v>15</v>
      </c>
      <c r="B115" s="1" t="s">
        <v>16</v>
      </c>
      <c r="C115" s="1" t="s">
        <v>27</v>
      </c>
      <c r="D115" s="1">
        <v>101</v>
      </c>
      <c r="E115" s="1" t="s">
        <v>41</v>
      </c>
      <c r="F115" s="1" t="s">
        <v>17</v>
      </c>
      <c r="G115" s="1">
        <v>0.29</v>
      </c>
      <c r="H115" s="1" t="s">
        <v>20</v>
      </c>
      <c r="I115" t="s">
        <v>55</v>
      </c>
      <c r="J115" t="s">
        <v>56</v>
      </c>
      <c r="K115" t="s">
        <v>57</v>
      </c>
      <c r="L115" t="s">
        <v>24</v>
      </c>
      <c r="M115" t="str">
        <f t="shared" si="5"/>
        <v>charge-altering-copy1</v>
      </c>
      <c r="N115" t="str">
        <f t="shared" si="3"/>
        <v>3tu4</v>
      </c>
      <c r="O115" t="s">
        <v>30</v>
      </c>
      <c r="P115" t="str">
        <f t="shared" si="4"/>
        <v>H4 G101D</v>
      </c>
    </row>
    <row r="116" spans="1:16">
      <c r="A116" s="1" t="s">
        <v>15</v>
      </c>
      <c r="B116" s="1" t="s">
        <v>16</v>
      </c>
      <c r="C116" s="1" t="s">
        <v>27</v>
      </c>
      <c r="D116" s="1">
        <v>65</v>
      </c>
      <c r="E116" s="1" t="s">
        <v>42</v>
      </c>
      <c r="F116" s="1" t="s">
        <v>18</v>
      </c>
      <c r="G116" s="1">
        <v>0.18</v>
      </c>
      <c r="H116" s="1" t="s">
        <v>20</v>
      </c>
      <c r="I116" t="s">
        <v>55</v>
      </c>
      <c r="J116" t="s">
        <v>56</v>
      </c>
      <c r="K116" t="s">
        <v>57</v>
      </c>
      <c r="L116" t="s">
        <v>24</v>
      </c>
      <c r="M116" t="str">
        <f t="shared" si="5"/>
        <v>charge-altering-copy1</v>
      </c>
      <c r="N116" t="str">
        <f t="shared" si="3"/>
        <v>3tu4</v>
      </c>
      <c r="O116" t="s">
        <v>30</v>
      </c>
      <c r="P116" t="str">
        <f t="shared" si="4"/>
        <v>H4 V65E</v>
      </c>
    </row>
    <row r="117" spans="1:16">
      <c r="A117" s="1" t="s">
        <v>15</v>
      </c>
      <c r="B117" s="1" t="s">
        <v>16</v>
      </c>
      <c r="C117" s="1" t="s">
        <v>27</v>
      </c>
      <c r="D117" s="1">
        <v>94</v>
      </c>
      <c r="E117" s="1" t="s">
        <v>41</v>
      </c>
      <c r="F117" s="1" t="s">
        <v>18</v>
      </c>
      <c r="G117" s="1">
        <v>0.72</v>
      </c>
      <c r="H117" s="1" t="s">
        <v>20</v>
      </c>
      <c r="I117" t="s">
        <v>55</v>
      </c>
      <c r="J117" t="s">
        <v>56</v>
      </c>
      <c r="K117" t="s">
        <v>57</v>
      </c>
      <c r="L117" t="s">
        <v>24</v>
      </c>
      <c r="M117" t="str">
        <f t="shared" si="5"/>
        <v>charge-altering-copy1</v>
      </c>
      <c r="N117" t="str">
        <f t="shared" si="3"/>
        <v>3tu4</v>
      </c>
      <c r="O117" t="s">
        <v>30</v>
      </c>
      <c r="P117" t="str">
        <f t="shared" si="4"/>
        <v>H4 G94E</v>
      </c>
    </row>
    <row r="118" spans="1:16">
      <c r="A118" s="1" t="s">
        <v>15</v>
      </c>
      <c r="B118" s="1" t="s">
        <v>16</v>
      </c>
      <c r="C118" s="1" t="s">
        <v>27</v>
      </c>
      <c r="D118" s="1">
        <v>98</v>
      </c>
      <c r="E118" s="1" t="s">
        <v>54</v>
      </c>
      <c r="F118" s="1" t="s">
        <v>17</v>
      </c>
      <c r="G118" s="1">
        <v>2.74</v>
      </c>
      <c r="H118" s="1" t="s">
        <v>20</v>
      </c>
      <c r="I118" t="s">
        <v>55</v>
      </c>
      <c r="J118" t="s">
        <v>56</v>
      </c>
      <c r="K118" t="s">
        <v>57</v>
      </c>
      <c r="L118" t="s">
        <v>24</v>
      </c>
      <c r="M118" t="str">
        <f t="shared" si="5"/>
        <v>charge-altering-copy1</v>
      </c>
      <c r="N118" t="str">
        <f t="shared" si="3"/>
        <v>3tu4</v>
      </c>
      <c r="O118" t="s">
        <v>30</v>
      </c>
      <c r="P118" t="str">
        <f t="shared" si="4"/>
        <v>H4 Y98D</v>
      </c>
    </row>
    <row r="119" spans="1:16">
      <c r="A119" s="1" t="s">
        <v>15</v>
      </c>
      <c r="B119" s="1" t="s">
        <v>16</v>
      </c>
      <c r="C119" s="1" t="s">
        <v>31</v>
      </c>
      <c r="D119" s="1">
        <v>99</v>
      </c>
      <c r="E119" s="1" t="s">
        <v>41</v>
      </c>
      <c r="F119" s="1" t="s">
        <v>17</v>
      </c>
      <c r="G119" s="1">
        <v>0.38</v>
      </c>
      <c r="H119" s="1" t="s">
        <v>20</v>
      </c>
      <c r="I119" t="s">
        <v>55</v>
      </c>
      <c r="J119" t="s">
        <v>56</v>
      </c>
      <c r="K119" t="s">
        <v>57</v>
      </c>
      <c r="L119" t="s">
        <v>24</v>
      </c>
      <c r="M119" t="str">
        <f t="shared" si="5"/>
        <v>charge-altering-copy2</v>
      </c>
      <c r="N119" t="str">
        <f t="shared" si="3"/>
        <v>3tu4</v>
      </c>
      <c r="O119" t="s">
        <v>30</v>
      </c>
      <c r="P119" t="str">
        <f t="shared" si="4"/>
        <v>H4 G99D</v>
      </c>
    </row>
    <row r="120" spans="1:16">
      <c r="A120" s="1" t="s">
        <v>15</v>
      </c>
      <c r="B120" s="1" t="s">
        <v>16</v>
      </c>
      <c r="C120" s="1" t="s">
        <v>31</v>
      </c>
      <c r="D120" s="1">
        <v>101</v>
      </c>
      <c r="E120" s="1" t="s">
        <v>41</v>
      </c>
      <c r="F120" s="1" t="s">
        <v>17</v>
      </c>
      <c r="G120" s="1">
        <v>0.54</v>
      </c>
      <c r="H120" s="1" t="s">
        <v>20</v>
      </c>
      <c r="I120" t="s">
        <v>55</v>
      </c>
      <c r="J120" t="s">
        <v>56</v>
      </c>
      <c r="K120" t="s">
        <v>57</v>
      </c>
      <c r="L120" t="s">
        <v>24</v>
      </c>
      <c r="M120" t="str">
        <f t="shared" si="5"/>
        <v>charge-altering-copy2</v>
      </c>
      <c r="N120" t="str">
        <f t="shared" si="3"/>
        <v>3tu4</v>
      </c>
      <c r="O120" t="s">
        <v>30</v>
      </c>
      <c r="P120" t="str">
        <f t="shared" si="4"/>
        <v>H4 G101D</v>
      </c>
    </row>
    <row r="121" spans="1:16">
      <c r="A121" s="1" t="s">
        <v>15</v>
      </c>
      <c r="B121" s="1" t="s">
        <v>16</v>
      </c>
      <c r="C121" s="1" t="s">
        <v>31</v>
      </c>
      <c r="D121" s="1">
        <v>65</v>
      </c>
      <c r="E121" s="1" t="s">
        <v>42</v>
      </c>
      <c r="F121" s="1" t="s">
        <v>18</v>
      </c>
      <c r="G121" s="1">
        <v>0.18</v>
      </c>
      <c r="H121" s="1" t="s">
        <v>20</v>
      </c>
      <c r="I121" t="s">
        <v>55</v>
      </c>
      <c r="J121" t="s">
        <v>56</v>
      </c>
      <c r="K121" t="s">
        <v>57</v>
      </c>
      <c r="L121" t="s">
        <v>24</v>
      </c>
      <c r="M121" t="str">
        <f t="shared" si="5"/>
        <v>charge-altering-copy2</v>
      </c>
      <c r="N121" t="str">
        <f t="shared" si="3"/>
        <v>3tu4</v>
      </c>
      <c r="O121" t="s">
        <v>30</v>
      </c>
      <c r="P121" t="str">
        <f t="shared" si="4"/>
        <v>H4 V65E</v>
      </c>
    </row>
    <row r="122" spans="1:16">
      <c r="A122" s="1" t="s">
        <v>15</v>
      </c>
      <c r="B122" s="1" t="s">
        <v>16</v>
      </c>
      <c r="C122" s="1" t="s">
        <v>31</v>
      </c>
      <c r="D122" s="1">
        <v>94</v>
      </c>
      <c r="E122" s="1" t="s">
        <v>41</v>
      </c>
      <c r="F122" s="1" t="s">
        <v>18</v>
      </c>
      <c r="G122" s="1">
        <v>0.72</v>
      </c>
      <c r="H122" s="1" t="s">
        <v>20</v>
      </c>
      <c r="I122" t="s">
        <v>55</v>
      </c>
      <c r="J122" t="s">
        <v>56</v>
      </c>
      <c r="K122" t="s">
        <v>57</v>
      </c>
      <c r="L122" t="s">
        <v>24</v>
      </c>
      <c r="M122" t="str">
        <f t="shared" si="5"/>
        <v>charge-altering-copy2</v>
      </c>
      <c r="N122" t="str">
        <f t="shared" si="3"/>
        <v>3tu4</v>
      </c>
      <c r="O122" t="s">
        <v>30</v>
      </c>
      <c r="P122" t="str">
        <f t="shared" si="4"/>
        <v>H4 G94E</v>
      </c>
    </row>
    <row r="123" spans="1:16">
      <c r="A123" s="1" t="s">
        <v>15</v>
      </c>
      <c r="B123" s="1" t="s">
        <v>16</v>
      </c>
      <c r="C123" s="1" t="s">
        <v>31</v>
      </c>
      <c r="D123" s="1">
        <v>98</v>
      </c>
      <c r="E123" s="1" t="s">
        <v>54</v>
      </c>
      <c r="F123" s="1" t="s">
        <v>17</v>
      </c>
      <c r="G123" s="1">
        <v>2.73</v>
      </c>
      <c r="H123" s="1" t="s">
        <v>20</v>
      </c>
      <c r="I123" t="s">
        <v>55</v>
      </c>
      <c r="J123" t="s">
        <v>56</v>
      </c>
      <c r="K123" t="s">
        <v>57</v>
      </c>
      <c r="L123" t="s">
        <v>24</v>
      </c>
      <c r="M123" t="str">
        <f t="shared" si="5"/>
        <v>charge-altering-copy2</v>
      </c>
      <c r="N123" t="str">
        <f t="shared" si="3"/>
        <v>3tu4</v>
      </c>
      <c r="O123" t="s">
        <v>30</v>
      </c>
      <c r="P123" t="str">
        <f t="shared" si="4"/>
        <v>H4 Y98D</v>
      </c>
    </row>
    <row r="124" spans="1:16">
      <c r="A124" s="1" t="s">
        <v>15</v>
      </c>
      <c r="B124" s="1" t="s">
        <v>16</v>
      </c>
      <c r="C124" s="1" t="s">
        <v>32</v>
      </c>
      <c r="D124" s="1">
        <v>44</v>
      </c>
      <c r="E124" s="1" t="s">
        <v>41</v>
      </c>
      <c r="F124" s="1" t="s">
        <v>17</v>
      </c>
      <c r="G124" s="1">
        <v>0.38</v>
      </c>
      <c r="H124" s="1" t="s">
        <v>20</v>
      </c>
      <c r="I124" t="s">
        <v>55</v>
      </c>
      <c r="J124" t="s">
        <v>56</v>
      </c>
      <c r="K124" t="s">
        <v>57</v>
      </c>
      <c r="L124" t="s">
        <v>24</v>
      </c>
      <c r="M124" t="str">
        <f t="shared" si="5"/>
        <v>charge-altering-copy1</v>
      </c>
      <c r="N124" t="str">
        <f t="shared" si="3"/>
        <v>3tu4</v>
      </c>
      <c r="O124" t="s">
        <v>33</v>
      </c>
      <c r="P124" t="str">
        <f t="shared" si="4"/>
        <v>H3 G44D</v>
      </c>
    </row>
    <row r="125" spans="1:16">
      <c r="A125" s="1" t="s">
        <v>15</v>
      </c>
      <c r="B125" s="1" t="s">
        <v>16</v>
      </c>
      <c r="C125" s="1" t="s">
        <v>32</v>
      </c>
      <c r="D125" s="1">
        <v>47</v>
      </c>
      <c r="E125" s="1" t="s">
        <v>32</v>
      </c>
      <c r="F125" s="1" t="s">
        <v>18</v>
      </c>
      <c r="G125" s="1">
        <v>0.14</v>
      </c>
      <c r="H125" s="1" t="s">
        <v>20</v>
      </c>
      <c r="I125" t="s">
        <v>55</v>
      </c>
      <c r="J125" t="s">
        <v>56</v>
      </c>
      <c r="K125" t="s">
        <v>57</v>
      </c>
      <c r="L125" t="s">
        <v>24</v>
      </c>
      <c r="M125" t="str">
        <f t="shared" si="5"/>
        <v>charge-altering-copy1</v>
      </c>
      <c r="N125" t="str">
        <f t="shared" si="3"/>
        <v>3tu4</v>
      </c>
      <c r="O125" t="s">
        <v>33</v>
      </c>
      <c r="P125" t="str">
        <f t="shared" si="4"/>
        <v>H3 A47E</v>
      </c>
    </row>
    <row r="126" spans="1:16">
      <c r="A126" s="1" t="s">
        <v>15</v>
      </c>
      <c r="B126" s="1" t="s">
        <v>16</v>
      </c>
      <c r="C126" s="1" t="s">
        <v>32</v>
      </c>
      <c r="D126" s="1">
        <v>55</v>
      </c>
      <c r="E126" s="1" t="s">
        <v>19</v>
      </c>
      <c r="F126" s="1" t="s">
        <v>18</v>
      </c>
      <c r="G126" s="1">
        <v>1.34</v>
      </c>
      <c r="H126" s="1" t="s">
        <v>20</v>
      </c>
      <c r="I126" t="s">
        <v>55</v>
      </c>
      <c r="J126" t="s">
        <v>56</v>
      </c>
      <c r="K126" t="s">
        <v>57</v>
      </c>
      <c r="L126" t="s">
        <v>24</v>
      </c>
      <c r="M126" t="str">
        <f t="shared" si="5"/>
        <v>charge-altering-copy1</v>
      </c>
      <c r="N126" t="str">
        <f t="shared" si="3"/>
        <v>3tu4</v>
      </c>
      <c r="O126" t="s">
        <v>33</v>
      </c>
      <c r="P126" t="str">
        <f t="shared" si="4"/>
        <v>H3 Q55E</v>
      </c>
    </row>
    <row r="127" spans="1:16">
      <c r="A127" s="1" t="s">
        <v>15</v>
      </c>
      <c r="B127" s="1" t="s">
        <v>16</v>
      </c>
      <c r="C127" s="1" t="s">
        <v>32</v>
      </c>
      <c r="D127" s="1">
        <v>88</v>
      </c>
      <c r="E127" s="1" t="s">
        <v>32</v>
      </c>
      <c r="F127" s="1" t="s">
        <v>18</v>
      </c>
      <c r="G127" s="1">
        <v>0.92</v>
      </c>
      <c r="H127" s="1" t="s">
        <v>20</v>
      </c>
      <c r="I127" t="s">
        <v>55</v>
      </c>
      <c r="J127" t="s">
        <v>56</v>
      </c>
      <c r="K127" t="s">
        <v>57</v>
      </c>
      <c r="L127" t="s">
        <v>24</v>
      </c>
      <c r="M127" t="str">
        <f t="shared" si="5"/>
        <v>charge-altering-copy1</v>
      </c>
      <c r="N127" t="str">
        <f t="shared" si="3"/>
        <v>3tu4</v>
      </c>
      <c r="O127" t="s">
        <v>33</v>
      </c>
      <c r="P127" t="str">
        <f t="shared" si="4"/>
        <v>H3 A88E</v>
      </c>
    </row>
    <row r="128" spans="1:16">
      <c r="A128" s="1" t="s">
        <v>15</v>
      </c>
      <c r="B128" s="1" t="s">
        <v>16</v>
      </c>
      <c r="C128" s="1" t="s">
        <v>18</v>
      </c>
      <c r="D128" s="1">
        <v>44</v>
      </c>
      <c r="E128" s="1" t="s">
        <v>41</v>
      </c>
      <c r="F128" s="1" t="s">
        <v>17</v>
      </c>
      <c r="G128" s="1">
        <v>0.42</v>
      </c>
      <c r="H128" s="1" t="s">
        <v>20</v>
      </c>
      <c r="I128" t="s">
        <v>55</v>
      </c>
      <c r="J128" t="s">
        <v>56</v>
      </c>
      <c r="K128" t="s">
        <v>57</v>
      </c>
      <c r="L128" t="s">
        <v>24</v>
      </c>
      <c r="M128" t="str">
        <f t="shared" si="5"/>
        <v>charge-altering-copy2</v>
      </c>
      <c r="N128" t="str">
        <f t="shared" si="3"/>
        <v>3tu4</v>
      </c>
      <c r="O128" t="s">
        <v>33</v>
      </c>
      <c r="P128" t="str">
        <f t="shared" si="4"/>
        <v>H3 G44D</v>
      </c>
    </row>
    <row r="129" spans="1:16">
      <c r="A129" s="1" t="s">
        <v>15</v>
      </c>
      <c r="B129" s="1" t="s">
        <v>16</v>
      </c>
      <c r="C129" s="1" t="s">
        <v>18</v>
      </c>
      <c r="D129" s="1">
        <v>47</v>
      </c>
      <c r="E129" s="1" t="s">
        <v>32</v>
      </c>
      <c r="F129" s="1" t="s">
        <v>18</v>
      </c>
      <c r="G129" s="1">
        <v>0.14</v>
      </c>
      <c r="H129" s="1" t="s">
        <v>20</v>
      </c>
      <c r="I129" t="s">
        <v>55</v>
      </c>
      <c r="J129" t="s">
        <v>56</v>
      </c>
      <c r="K129" t="s">
        <v>57</v>
      </c>
      <c r="L129" t="s">
        <v>24</v>
      </c>
      <c r="M129" t="str">
        <f t="shared" si="5"/>
        <v>charge-altering-copy2</v>
      </c>
      <c r="N129" t="str">
        <f t="shared" si="3"/>
        <v>3tu4</v>
      </c>
      <c r="O129" t="s">
        <v>33</v>
      </c>
      <c r="P129" t="str">
        <f t="shared" si="4"/>
        <v>H3 A47E</v>
      </c>
    </row>
    <row r="130" spans="1:16">
      <c r="A130" s="1" t="s">
        <v>15</v>
      </c>
      <c r="B130" s="1" t="s">
        <v>16</v>
      </c>
      <c r="C130" s="1" t="s">
        <v>18</v>
      </c>
      <c r="D130" s="1">
        <v>55</v>
      </c>
      <c r="E130" s="1" t="s">
        <v>19</v>
      </c>
      <c r="F130" s="1" t="s">
        <v>18</v>
      </c>
      <c r="G130" s="1">
        <v>1.43</v>
      </c>
      <c r="H130" s="1" t="s">
        <v>20</v>
      </c>
      <c r="I130" t="s">
        <v>55</v>
      </c>
      <c r="J130" t="s">
        <v>56</v>
      </c>
      <c r="K130" t="s">
        <v>57</v>
      </c>
      <c r="L130" t="s">
        <v>24</v>
      </c>
      <c r="M130" t="str">
        <f t="shared" si="5"/>
        <v>charge-altering-copy2</v>
      </c>
      <c r="N130" t="str">
        <f t="shared" ref="N130:N193" si="6">LEFT(A130,4)</f>
        <v>3tu4</v>
      </c>
      <c r="O130" t="s">
        <v>33</v>
      </c>
      <c r="P130" t="str">
        <f t="shared" ref="P130:P193" si="7">O130&amp;" "&amp;E130&amp;D130&amp;F130</f>
        <v>H3 Q55E</v>
      </c>
    </row>
    <row r="131" spans="1:16">
      <c r="A131" s="1" t="s">
        <v>15</v>
      </c>
      <c r="B131" s="1" t="s">
        <v>16</v>
      </c>
      <c r="C131" s="1" t="s">
        <v>18</v>
      </c>
      <c r="D131" s="1">
        <v>88</v>
      </c>
      <c r="E131" s="1" t="s">
        <v>32</v>
      </c>
      <c r="F131" s="1" t="s">
        <v>18</v>
      </c>
      <c r="G131" s="1">
        <v>0.92</v>
      </c>
      <c r="H131" s="1" t="s">
        <v>20</v>
      </c>
      <c r="I131" t="s">
        <v>55</v>
      </c>
      <c r="J131" t="s">
        <v>56</v>
      </c>
      <c r="K131" t="s">
        <v>57</v>
      </c>
      <c r="L131" t="s">
        <v>24</v>
      </c>
      <c r="M131" t="str">
        <f t="shared" ref="M131:M194" si="8">L131&amp;"-"&amp;IF(OR(C131="A",C131="B",C131="C",C131="D"),"copy1",IF(OR(C131="E",C131="F",C131="G",C131="H"),"copy2",""))</f>
        <v>charge-altering-copy2</v>
      </c>
      <c r="N131" t="str">
        <f t="shared" si="6"/>
        <v>3tu4</v>
      </c>
      <c r="O131" t="s">
        <v>33</v>
      </c>
      <c r="P131" t="str">
        <f t="shared" si="7"/>
        <v>H3 A88E</v>
      </c>
    </row>
    <row r="132" spans="1:16">
      <c r="A132" s="1" t="s">
        <v>15</v>
      </c>
      <c r="B132" s="1" t="s">
        <v>16</v>
      </c>
      <c r="C132" s="1" t="s">
        <v>17</v>
      </c>
      <c r="D132" s="1">
        <v>33</v>
      </c>
      <c r="E132" s="1" t="s">
        <v>48</v>
      </c>
      <c r="F132" s="1" t="s">
        <v>49</v>
      </c>
      <c r="G132" s="1">
        <v>-0.09</v>
      </c>
      <c r="H132" s="1" t="s">
        <v>58</v>
      </c>
      <c r="I132" t="s">
        <v>59</v>
      </c>
      <c r="J132" t="s">
        <v>56</v>
      </c>
      <c r="K132" t="s">
        <v>57</v>
      </c>
      <c r="L132" t="s">
        <v>24</v>
      </c>
      <c r="M132" t="str">
        <f t="shared" si="8"/>
        <v>charge-altering-copy1</v>
      </c>
      <c r="N132" t="str">
        <f t="shared" si="6"/>
        <v>3tu4</v>
      </c>
      <c r="O132" t="s">
        <v>25</v>
      </c>
      <c r="P132" t="str">
        <f t="shared" si="7"/>
        <v>H2B S33R</v>
      </c>
    </row>
    <row r="133" spans="1:16">
      <c r="A133" s="1" t="s">
        <v>15</v>
      </c>
      <c r="B133" s="1" t="s">
        <v>16</v>
      </c>
      <c r="C133" s="1" t="s">
        <v>17</v>
      </c>
      <c r="D133" s="1">
        <v>44</v>
      </c>
      <c r="E133" s="1" t="s">
        <v>19</v>
      </c>
      <c r="F133" s="1" t="s">
        <v>26</v>
      </c>
      <c r="G133" s="1">
        <v>0.71</v>
      </c>
      <c r="H133" s="1" t="s">
        <v>20</v>
      </c>
      <c r="I133" t="s">
        <v>59</v>
      </c>
      <c r="J133" t="s">
        <v>56</v>
      </c>
      <c r="K133" t="s">
        <v>57</v>
      </c>
      <c r="L133" t="s">
        <v>24</v>
      </c>
      <c r="M133" t="str">
        <f t="shared" si="8"/>
        <v>charge-altering-copy1</v>
      </c>
      <c r="N133" t="str">
        <f t="shared" si="6"/>
        <v>3tu4</v>
      </c>
      <c r="O133" t="s">
        <v>25</v>
      </c>
      <c r="P133" t="str">
        <f t="shared" si="7"/>
        <v>H2B Q44H</v>
      </c>
    </row>
    <row r="134" spans="1:16">
      <c r="A134" s="1" t="s">
        <v>15</v>
      </c>
      <c r="B134" s="1" t="s">
        <v>16</v>
      </c>
      <c r="C134" s="1" t="s">
        <v>26</v>
      </c>
      <c r="D134" s="1">
        <v>33</v>
      </c>
      <c r="E134" s="1" t="s">
        <v>48</v>
      </c>
      <c r="F134" s="1" t="s">
        <v>49</v>
      </c>
      <c r="G134" s="1">
        <v>0.05</v>
      </c>
      <c r="H134" s="1" t="s">
        <v>20</v>
      </c>
      <c r="I134" t="s">
        <v>59</v>
      </c>
      <c r="J134" t="s">
        <v>56</v>
      </c>
      <c r="K134" t="s">
        <v>57</v>
      </c>
      <c r="L134" t="s">
        <v>24</v>
      </c>
      <c r="M134" t="str">
        <f t="shared" si="8"/>
        <v>charge-altering-copy2</v>
      </c>
      <c r="N134" t="str">
        <f t="shared" si="6"/>
        <v>3tu4</v>
      </c>
      <c r="O134" t="s">
        <v>25</v>
      </c>
      <c r="P134" t="str">
        <f t="shared" si="7"/>
        <v>H2B S33R</v>
      </c>
    </row>
    <row r="135" spans="1:16">
      <c r="A135" s="1" t="s">
        <v>15</v>
      </c>
      <c r="B135" s="1" t="s">
        <v>16</v>
      </c>
      <c r="C135" s="1" t="s">
        <v>26</v>
      </c>
      <c r="D135" s="1">
        <v>44</v>
      </c>
      <c r="E135" s="1" t="s">
        <v>19</v>
      </c>
      <c r="F135" s="1" t="s">
        <v>26</v>
      </c>
      <c r="G135" s="1">
        <v>0.83</v>
      </c>
      <c r="H135" s="1" t="s">
        <v>20</v>
      </c>
      <c r="I135" t="s">
        <v>59</v>
      </c>
      <c r="J135" t="s">
        <v>56</v>
      </c>
      <c r="K135" t="s">
        <v>57</v>
      </c>
      <c r="L135" t="s">
        <v>24</v>
      </c>
      <c r="M135" t="str">
        <f t="shared" si="8"/>
        <v>charge-altering-copy2</v>
      </c>
      <c r="N135" t="str">
        <f t="shared" si="6"/>
        <v>3tu4</v>
      </c>
      <c r="O135" t="s">
        <v>25</v>
      </c>
      <c r="P135" t="str">
        <f t="shared" si="7"/>
        <v>H2B Q44H</v>
      </c>
    </row>
    <row r="136" spans="1:16">
      <c r="A136" s="1" t="s">
        <v>15</v>
      </c>
      <c r="B136" s="1" t="s">
        <v>16</v>
      </c>
      <c r="C136" s="1" t="s">
        <v>39</v>
      </c>
      <c r="D136" s="1">
        <v>104</v>
      </c>
      <c r="E136" s="1" t="s">
        <v>19</v>
      </c>
      <c r="F136" s="1" t="s">
        <v>26</v>
      </c>
      <c r="G136" s="1">
        <v>0.57</v>
      </c>
      <c r="H136" s="1" t="s">
        <v>20</v>
      </c>
      <c r="I136" t="s">
        <v>59</v>
      </c>
      <c r="J136" t="s">
        <v>56</v>
      </c>
      <c r="K136" t="s">
        <v>57</v>
      </c>
      <c r="L136" t="s">
        <v>24</v>
      </c>
      <c r="M136" t="str">
        <f t="shared" si="8"/>
        <v>charge-altering-copy1</v>
      </c>
      <c r="N136" t="str">
        <f t="shared" si="6"/>
        <v>3tu4</v>
      </c>
      <c r="O136" t="s">
        <v>40</v>
      </c>
      <c r="P136" t="str">
        <f t="shared" si="7"/>
        <v>H2A Q104H</v>
      </c>
    </row>
    <row r="137" spans="1:16">
      <c r="A137" s="1" t="s">
        <v>15</v>
      </c>
      <c r="B137" s="1" t="s">
        <v>16</v>
      </c>
      <c r="C137" s="1" t="s">
        <v>39</v>
      </c>
      <c r="D137" s="1">
        <v>115</v>
      </c>
      <c r="E137" s="1" t="s">
        <v>28</v>
      </c>
      <c r="F137" s="1" t="s">
        <v>26</v>
      </c>
      <c r="G137" s="1">
        <v>1.2</v>
      </c>
      <c r="H137" s="1" t="s">
        <v>20</v>
      </c>
      <c r="I137" t="s">
        <v>59</v>
      </c>
      <c r="J137" t="s">
        <v>56</v>
      </c>
      <c r="K137" t="s">
        <v>57</v>
      </c>
      <c r="L137" t="s">
        <v>24</v>
      </c>
      <c r="M137" t="str">
        <f t="shared" si="8"/>
        <v>charge-altering-copy1</v>
      </c>
      <c r="N137" t="str">
        <f t="shared" si="6"/>
        <v>3tu4</v>
      </c>
      <c r="O137" t="s">
        <v>40</v>
      </c>
      <c r="P137" t="str">
        <f t="shared" si="7"/>
        <v>H2A L115H</v>
      </c>
    </row>
    <row r="138" spans="1:16">
      <c r="A138" s="1" t="s">
        <v>15</v>
      </c>
      <c r="B138" s="1" t="s">
        <v>16</v>
      </c>
      <c r="C138" s="1" t="s">
        <v>41</v>
      </c>
      <c r="D138" s="1">
        <v>104</v>
      </c>
      <c r="E138" s="1" t="s">
        <v>19</v>
      </c>
      <c r="F138" s="1" t="s">
        <v>26</v>
      </c>
      <c r="G138" s="1">
        <v>0.57</v>
      </c>
      <c r="H138" s="1" t="s">
        <v>20</v>
      </c>
      <c r="I138" t="s">
        <v>59</v>
      </c>
      <c r="J138" t="s">
        <v>56</v>
      </c>
      <c r="K138" t="s">
        <v>57</v>
      </c>
      <c r="L138" t="s">
        <v>24</v>
      </c>
      <c r="M138" t="str">
        <f t="shared" si="8"/>
        <v>charge-altering-copy2</v>
      </c>
      <c r="N138" t="str">
        <f t="shared" si="6"/>
        <v>3tu4</v>
      </c>
      <c r="O138" t="s">
        <v>40</v>
      </c>
      <c r="P138" t="str">
        <f t="shared" si="7"/>
        <v>H2A Q104H</v>
      </c>
    </row>
    <row r="139" spans="1:16">
      <c r="A139" s="1" t="s">
        <v>15</v>
      </c>
      <c r="B139" s="1" t="s">
        <v>16</v>
      </c>
      <c r="C139" s="1" t="s">
        <v>41</v>
      </c>
      <c r="D139" s="1">
        <v>115</v>
      </c>
      <c r="E139" s="1" t="s">
        <v>28</v>
      </c>
      <c r="F139" s="1" t="s">
        <v>26</v>
      </c>
      <c r="G139" s="1">
        <v>1.2</v>
      </c>
      <c r="H139" s="1" t="s">
        <v>20</v>
      </c>
      <c r="I139" t="s">
        <v>59</v>
      </c>
      <c r="J139" t="s">
        <v>56</v>
      </c>
      <c r="K139" t="s">
        <v>57</v>
      </c>
      <c r="L139" t="s">
        <v>24</v>
      </c>
      <c r="M139" t="str">
        <f t="shared" si="8"/>
        <v>charge-altering-copy2</v>
      </c>
      <c r="N139" t="str">
        <f t="shared" si="6"/>
        <v>3tu4</v>
      </c>
      <c r="O139" t="s">
        <v>40</v>
      </c>
      <c r="P139" t="str">
        <f t="shared" si="7"/>
        <v>H2A L115H</v>
      </c>
    </row>
    <row r="140" spans="1:16">
      <c r="A140" s="1" t="s">
        <v>15</v>
      </c>
      <c r="B140" s="1" t="s">
        <v>16</v>
      </c>
      <c r="C140" s="1" t="s">
        <v>32</v>
      </c>
      <c r="D140" s="1">
        <v>108</v>
      </c>
      <c r="E140" s="1" t="s">
        <v>34</v>
      </c>
      <c r="F140" s="1" t="s">
        <v>35</v>
      </c>
      <c r="G140" s="1">
        <v>1.05</v>
      </c>
      <c r="H140" s="1" t="s">
        <v>20</v>
      </c>
      <c r="I140" t="s">
        <v>59</v>
      </c>
      <c r="J140" t="s">
        <v>56</v>
      </c>
      <c r="K140" t="s">
        <v>57</v>
      </c>
      <c r="L140" t="s">
        <v>24</v>
      </c>
      <c r="M140" t="str">
        <f t="shared" si="8"/>
        <v>charge-altering-copy1</v>
      </c>
      <c r="N140" t="str">
        <f t="shared" si="6"/>
        <v>3tu4</v>
      </c>
      <c r="O140" t="s">
        <v>33</v>
      </c>
      <c r="P140" t="str">
        <f t="shared" si="7"/>
        <v>H3 N108K</v>
      </c>
    </row>
    <row r="141" spans="1:16">
      <c r="A141" s="1" t="s">
        <v>15</v>
      </c>
      <c r="B141" s="1" t="s">
        <v>16</v>
      </c>
      <c r="C141" s="1" t="s">
        <v>32</v>
      </c>
      <c r="D141" s="1">
        <v>125</v>
      </c>
      <c r="E141" s="1" t="s">
        <v>19</v>
      </c>
      <c r="F141" s="1" t="s">
        <v>26</v>
      </c>
      <c r="G141" s="1">
        <v>0.52</v>
      </c>
      <c r="H141" s="1" t="s">
        <v>20</v>
      </c>
      <c r="I141" t="s">
        <v>59</v>
      </c>
      <c r="J141" t="s">
        <v>56</v>
      </c>
      <c r="K141" t="s">
        <v>57</v>
      </c>
      <c r="L141" t="s">
        <v>24</v>
      </c>
      <c r="M141" t="str">
        <f t="shared" si="8"/>
        <v>charge-altering-copy1</v>
      </c>
      <c r="N141" t="str">
        <f t="shared" si="6"/>
        <v>3tu4</v>
      </c>
      <c r="O141" t="s">
        <v>33</v>
      </c>
      <c r="P141" t="str">
        <f t="shared" si="7"/>
        <v>H3 Q125H</v>
      </c>
    </row>
    <row r="142" spans="1:16">
      <c r="A142" s="1" t="s">
        <v>15</v>
      </c>
      <c r="B142" s="1" t="s">
        <v>16</v>
      </c>
      <c r="C142" s="1" t="s">
        <v>32</v>
      </c>
      <c r="D142" s="1">
        <v>125</v>
      </c>
      <c r="E142" s="1" t="s">
        <v>19</v>
      </c>
      <c r="F142" s="1" t="s">
        <v>35</v>
      </c>
      <c r="G142" s="1">
        <v>0.36</v>
      </c>
      <c r="H142" s="1" t="s">
        <v>20</v>
      </c>
      <c r="I142" t="s">
        <v>59</v>
      </c>
      <c r="J142" t="s">
        <v>56</v>
      </c>
      <c r="K142" t="s">
        <v>57</v>
      </c>
      <c r="L142" t="s">
        <v>24</v>
      </c>
      <c r="M142" t="str">
        <f t="shared" si="8"/>
        <v>charge-altering-copy1</v>
      </c>
      <c r="N142" t="str">
        <f t="shared" si="6"/>
        <v>3tu4</v>
      </c>
      <c r="O142" t="s">
        <v>33</v>
      </c>
      <c r="P142" t="str">
        <f t="shared" si="7"/>
        <v>H3 Q125K</v>
      </c>
    </row>
    <row r="143" spans="1:16">
      <c r="A143" s="1" t="s">
        <v>15</v>
      </c>
      <c r="B143" s="1" t="s">
        <v>16</v>
      </c>
      <c r="C143" s="1" t="s">
        <v>32</v>
      </c>
      <c r="D143" s="1">
        <v>55</v>
      </c>
      <c r="E143" s="1" t="s">
        <v>19</v>
      </c>
      <c r="F143" s="1" t="s">
        <v>26</v>
      </c>
      <c r="G143" s="1">
        <v>1.23</v>
      </c>
      <c r="H143" s="1" t="s">
        <v>20</v>
      </c>
      <c r="I143" t="s">
        <v>59</v>
      </c>
      <c r="J143" t="s">
        <v>56</v>
      </c>
      <c r="K143" t="s">
        <v>57</v>
      </c>
      <c r="L143" t="s">
        <v>24</v>
      </c>
      <c r="M143" t="str">
        <f t="shared" si="8"/>
        <v>charge-altering-copy1</v>
      </c>
      <c r="N143" t="str">
        <f t="shared" si="6"/>
        <v>3tu4</v>
      </c>
      <c r="O143" t="s">
        <v>33</v>
      </c>
      <c r="P143" t="str">
        <f t="shared" si="7"/>
        <v>H3 Q55H</v>
      </c>
    </row>
    <row r="144" spans="1:16">
      <c r="A144" s="1" t="s">
        <v>15</v>
      </c>
      <c r="B144" s="1" t="s">
        <v>16</v>
      </c>
      <c r="C144" s="1" t="s">
        <v>18</v>
      </c>
      <c r="D144" s="1">
        <v>108</v>
      </c>
      <c r="E144" s="1" t="s">
        <v>34</v>
      </c>
      <c r="F144" s="1" t="s">
        <v>35</v>
      </c>
      <c r="G144" s="1">
        <v>1.05</v>
      </c>
      <c r="H144" s="1" t="s">
        <v>20</v>
      </c>
      <c r="I144" t="s">
        <v>59</v>
      </c>
      <c r="J144" t="s">
        <v>56</v>
      </c>
      <c r="K144" t="s">
        <v>57</v>
      </c>
      <c r="L144" t="s">
        <v>24</v>
      </c>
      <c r="M144" t="str">
        <f t="shared" si="8"/>
        <v>charge-altering-copy2</v>
      </c>
      <c r="N144" t="str">
        <f t="shared" si="6"/>
        <v>3tu4</v>
      </c>
      <c r="O144" t="s">
        <v>33</v>
      </c>
      <c r="P144" t="str">
        <f t="shared" si="7"/>
        <v>H3 N108K</v>
      </c>
    </row>
    <row r="145" spans="1:16">
      <c r="A145" s="1" t="s">
        <v>15</v>
      </c>
      <c r="B145" s="1" t="s">
        <v>16</v>
      </c>
      <c r="C145" s="1" t="s">
        <v>18</v>
      </c>
      <c r="D145" s="1">
        <v>125</v>
      </c>
      <c r="E145" s="1" t="s">
        <v>19</v>
      </c>
      <c r="F145" s="1" t="s">
        <v>26</v>
      </c>
      <c r="G145" s="1">
        <v>0.52</v>
      </c>
      <c r="H145" s="1" t="s">
        <v>20</v>
      </c>
      <c r="I145" t="s">
        <v>59</v>
      </c>
      <c r="J145" t="s">
        <v>56</v>
      </c>
      <c r="K145" t="s">
        <v>57</v>
      </c>
      <c r="L145" t="s">
        <v>24</v>
      </c>
      <c r="M145" t="str">
        <f t="shared" si="8"/>
        <v>charge-altering-copy2</v>
      </c>
      <c r="N145" t="str">
        <f t="shared" si="6"/>
        <v>3tu4</v>
      </c>
      <c r="O145" t="s">
        <v>33</v>
      </c>
      <c r="P145" t="str">
        <f t="shared" si="7"/>
        <v>H3 Q125H</v>
      </c>
    </row>
    <row r="146" spans="1:16">
      <c r="A146" s="1" t="s">
        <v>15</v>
      </c>
      <c r="B146" s="1" t="s">
        <v>16</v>
      </c>
      <c r="C146" s="1" t="s">
        <v>18</v>
      </c>
      <c r="D146" s="1">
        <v>125</v>
      </c>
      <c r="E146" s="1" t="s">
        <v>19</v>
      </c>
      <c r="F146" s="1" t="s">
        <v>35</v>
      </c>
      <c r="G146" s="1">
        <v>0.36</v>
      </c>
      <c r="H146" s="1" t="s">
        <v>20</v>
      </c>
      <c r="I146" t="s">
        <v>59</v>
      </c>
      <c r="J146" t="s">
        <v>56</v>
      </c>
      <c r="K146" t="s">
        <v>57</v>
      </c>
      <c r="L146" t="s">
        <v>24</v>
      </c>
      <c r="M146" t="str">
        <f t="shared" si="8"/>
        <v>charge-altering-copy2</v>
      </c>
      <c r="N146" t="str">
        <f t="shared" si="6"/>
        <v>3tu4</v>
      </c>
      <c r="O146" t="s">
        <v>33</v>
      </c>
      <c r="P146" t="str">
        <f t="shared" si="7"/>
        <v>H3 Q125K</v>
      </c>
    </row>
    <row r="147" spans="1:16">
      <c r="A147" s="1" t="s">
        <v>15</v>
      </c>
      <c r="B147" s="1" t="s">
        <v>16</v>
      </c>
      <c r="C147" s="1" t="s">
        <v>18</v>
      </c>
      <c r="D147" s="1">
        <v>55</v>
      </c>
      <c r="E147" s="1" t="s">
        <v>19</v>
      </c>
      <c r="F147" s="1" t="s">
        <v>26</v>
      </c>
      <c r="G147" s="1">
        <v>1.28</v>
      </c>
      <c r="H147" s="1" t="s">
        <v>20</v>
      </c>
      <c r="I147" t="s">
        <v>59</v>
      </c>
      <c r="J147" t="s">
        <v>56</v>
      </c>
      <c r="K147" t="s">
        <v>57</v>
      </c>
      <c r="L147" t="s">
        <v>24</v>
      </c>
      <c r="M147" t="str">
        <f t="shared" si="8"/>
        <v>charge-altering-copy2</v>
      </c>
      <c r="N147" t="str">
        <f t="shared" si="6"/>
        <v>3tu4</v>
      </c>
      <c r="O147" t="s">
        <v>33</v>
      </c>
      <c r="P147" t="str">
        <f t="shared" si="7"/>
        <v>H3 Q55H</v>
      </c>
    </row>
    <row r="148" spans="1:16">
      <c r="A148" s="1" t="s">
        <v>15</v>
      </c>
      <c r="B148" s="1" t="s">
        <v>16</v>
      </c>
      <c r="C148" s="1" t="s">
        <v>17</v>
      </c>
      <c r="D148" s="1">
        <v>110</v>
      </c>
      <c r="E148" s="1" t="s">
        <v>18</v>
      </c>
      <c r="F148" s="1" t="s">
        <v>35</v>
      </c>
      <c r="G148" s="1">
        <v>0.88</v>
      </c>
      <c r="H148" s="1" t="s">
        <v>20</v>
      </c>
      <c r="I148" t="s">
        <v>36</v>
      </c>
      <c r="J148" t="s">
        <v>37</v>
      </c>
      <c r="K148" t="s">
        <v>38</v>
      </c>
      <c r="L148" t="s">
        <v>24</v>
      </c>
      <c r="M148" t="str">
        <f t="shared" si="8"/>
        <v>charge-altering-copy1</v>
      </c>
      <c r="N148" t="str">
        <f t="shared" si="6"/>
        <v>3tu4</v>
      </c>
      <c r="O148" t="s">
        <v>25</v>
      </c>
      <c r="P148" t="str">
        <f t="shared" si="7"/>
        <v>H2B E110K</v>
      </c>
    </row>
    <row r="149" spans="1:16">
      <c r="A149" s="1" t="s">
        <v>15</v>
      </c>
      <c r="B149" s="1" t="s">
        <v>16</v>
      </c>
      <c r="C149" s="1" t="s">
        <v>17</v>
      </c>
      <c r="D149" s="1">
        <v>73</v>
      </c>
      <c r="E149" s="1" t="s">
        <v>18</v>
      </c>
      <c r="F149" s="1" t="s">
        <v>35</v>
      </c>
      <c r="G149" s="1">
        <v>0.72</v>
      </c>
      <c r="H149" s="1" t="s">
        <v>20</v>
      </c>
      <c r="I149" t="s">
        <v>36</v>
      </c>
      <c r="J149" t="s">
        <v>37</v>
      </c>
      <c r="K149" t="s">
        <v>38</v>
      </c>
      <c r="L149" t="s">
        <v>24</v>
      </c>
      <c r="M149" t="str">
        <f t="shared" si="8"/>
        <v>charge-altering-copy1</v>
      </c>
      <c r="N149" t="str">
        <f t="shared" si="6"/>
        <v>3tu4</v>
      </c>
      <c r="O149" t="s">
        <v>25</v>
      </c>
      <c r="P149" t="str">
        <f t="shared" si="7"/>
        <v>H2B E73K</v>
      </c>
    </row>
    <row r="150" spans="1:16">
      <c r="A150" s="1" t="s">
        <v>15</v>
      </c>
      <c r="B150" s="1" t="s">
        <v>16</v>
      </c>
      <c r="C150" s="1" t="s">
        <v>26</v>
      </c>
      <c r="D150" s="1">
        <v>110</v>
      </c>
      <c r="E150" s="1" t="s">
        <v>18</v>
      </c>
      <c r="F150" s="1" t="s">
        <v>35</v>
      </c>
      <c r="G150" s="1">
        <v>0.72</v>
      </c>
      <c r="H150" s="1" t="s">
        <v>20</v>
      </c>
      <c r="I150" t="s">
        <v>36</v>
      </c>
      <c r="J150" t="s">
        <v>37</v>
      </c>
      <c r="K150" t="s">
        <v>38</v>
      </c>
      <c r="L150" t="s">
        <v>24</v>
      </c>
      <c r="M150" t="str">
        <f t="shared" si="8"/>
        <v>charge-altering-copy2</v>
      </c>
      <c r="N150" t="str">
        <f t="shared" si="6"/>
        <v>3tu4</v>
      </c>
      <c r="O150" t="s">
        <v>25</v>
      </c>
      <c r="P150" t="str">
        <f t="shared" si="7"/>
        <v>H2B E110K</v>
      </c>
    </row>
    <row r="151" spans="1:16">
      <c r="A151" s="1" t="s">
        <v>15</v>
      </c>
      <c r="B151" s="1" t="s">
        <v>16</v>
      </c>
      <c r="C151" s="1" t="s">
        <v>26</v>
      </c>
      <c r="D151" s="1">
        <v>73</v>
      </c>
      <c r="E151" s="1" t="s">
        <v>18</v>
      </c>
      <c r="F151" s="1" t="s">
        <v>35</v>
      </c>
      <c r="G151" s="1">
        <v>0.72</v>
      </c>
      <c r="H151" s="1" t="s">
        <v>20</v>
      </c>
      <c r="I151" t="s">
        <v>36</v>
      </c>
      <c r="J151" t="s">
        <v>37</v>
      </c>
      <c r="K151" t="s">
        <v>38</v>
      </c>
      <c r="L151" t="s">
        <v>24</v>
      </c>
      <c r="M151" t="str">
        <f t="shared" si="8"/>
        <v>charge-altering-copy2</v>
      </c>
      <c r="N151" t="str">
        <f t="shared" si="6"/>
        <v>3tu4</v>
      </c>
      <c r="O151" t="s">
        <v>25</v>
      </c>
      <c r="P151" t="str">
        <f t="shared" si="7"/>
        <v>H2B E73K</v>
      </c>
    </row>
    <row r="152" spans="1:16">
      <c r="A152" s="1" t="s">
        <v>15</v>
      </c>
      <c r="B152" s="1" t="s">
        <v>16</v>
      </c>
      <c r="C152" s="1" t="s">
        <v>39</v>
      </c>
      <c r="D152" s="1">
        <v>61</v>
      </c>
      <c r="E152" s="1" t="s">
        <v>18</v>
      </c>
      <c r="F152" s="1" t="s">
        <v>35</v>
      </c>
      <c r="G152" s="1">
        <v>1.08</v>
      </c>
      <c r="H152" s="1" t="s">
        <v>20</v>
      </c>
      <c r="I152" t="s">
        <v>36</v>
      </c>
      <c r="J152" t="s">
        <v>37</v>
      </c>
      <c r="K152" t="s">
        <v>38</v>
      </c>
      <c r="L152" t="s">
        <v>24</v>
      </c>
      <c r="M152" t="str">
        <f t="shared" si="8"/>
        <v>charge-altering-copy1</v>
      </c>
      <c r="N152" t="str">
        <f t="shared" si="6"/>
        <v>3tu4</v>
      </c>
      <c r="O152" t="s">
        <v>40</v>
      </c>
      <c r="P152" t="str">
        <f t="shared" si="7"/>
        <v>H2A E61K</v>
      </c>
    </row>
    <row r="153" spans="1:16">
      <c r="A153" s="1" t="s">
        <v>15</v>
      </c>
      <c r="B153" s="1" t="s">
        <v>16</v>
      </c>
      <c r="C153" s="1" t="s">
        <v>39</v>
      </c>
      <c r="D153" s="1">
        <v>92</v>
      </c>
      <c r="E153" s="1" t="s">
        <v>18</v>
      </c>
      <c r="F153" s="1" t="s">
        <v>35</v>
      </c>
      <c r="G153" s="1">
        <v>1.21</v>
      </c>
      <c r="H153" s="1" t="s">
        <v>20</v>
      </c>
      <c r="I153" t="s">
        <v>36</v>
      </c>
      <c r="J153" t="s">
        <v>37</v>
      </c>
      <c r="K153" t="s">
        <v>38</v>
      </c>
      <c r="L153" t="s">
        <v>24</v>
      </c>
      <c r="M153" t="str">
        <f t="shared" si="8"/>
        <v>charge-altering-copy1</v>
      </c>
      <c r="N153" t="str">
        <f t="shared" si="6"/>
        <v>3tu4</v>
      </c>
      <c r="O153" t="s">
        <v>40</v>
      </c>
      <c r="P153" t="str">
        <f t="shared" si="7"/>
        <v>H2A E92K</v>
      </c>
    </row>
    <row r="154" spans="1:16">
      <c r="A154" s="1" t="s">
        <v>15</v>
      </c>
      <c r="B154" s="1" t="s">
        <v>16</v>
      </c>
      <c r="C154" s="1" t="s">
        <v>41</v>
      </c>
      <c r="D154" s="1">
        <v>61</v>
      </c>
      <c r="E154" s="1" t="s">
        <v>18</v>
      </c>
      <c r="F154" s="1" t="s">
        <v>35</v>
      </c>
      <c r="G154" s="1">
        <v>1.08</v>
      </c>
      <c r="H154" s="1" t="s">
        <v>20</v>
      </c>
      <c r="I154" t="s">
        <v>36</v>
      </c>
      <c r="J154" t="s">
        <v>37</v>
      </c>
      <c r="K154" t="s">
        <v>38</v>
      </c>
      <c r="L154" t="s">
        <v>24</v>
      </c>
      <c r="M154" t="str">
        <f t="shared" si="8"/>
        <v>charge-altering-copy2</v>
      </c>
      <c r="N154" t="str">
        <f t="shared" si="6"/>
        <v>3tu4</v>
      </c>
      <c r="O154" t="s">
        <v>40</v>
      </c>
      <c r="P154" t="str">
        <f t="shared" si="7"/>
        <v>H2A E61K</v>
      </c>
    </row>
    <row r="155" spans="1:16">
      <c r="A155" s="1" t="s">
        <v>15</v>
      </c>
      <c r="B155" s="1" t="s">
        <v>16</v>
      </c>
      <c r="C155" s="1" t="s">
        <v>41</v>
      </c>
      <c r="D155" s="1">
        <v>92</v>
      </c>
      <c r="E155" s="1" t="s">
        <v>18</v>
      </c>
      <c r="F155" s="1" t="s">
        <v>35</v>
      </c>
      <c r="G155" s="1">
        <v>1.21</v>
      </c>
      <c r="H155" s="1" t="s">
        <v>20</v>
      </c>
      <c r="I155" t="s">
        <v>36</v>
      </c>
      <c r="J155" t="s">
        <v>37</v>
      </c>
      <c r="K155" t="s">
        <v>38</v>
      </c>
      <c r="L155" t="s">
        <v>24</v>
      </c>
      <c r="M155" t="str">
        <f t="shared" si="8"/>
        <v>charge-altering-copy2</v>
      </c>
      <c r="N155" t="str">
        <f t="shared" si="6"/>
        <v>3tu4</v>
      </c>
      <c r="O155" t="s">
        <v>40</v>
      </c>
      <c r="P155" t="str">
        <f t="shared" si="7"/>
        <v>H2A E92K</v>
      </c>
    </row>
    <row r="156" spans="1:16">
      <c r="A156" s="1" t="s">
        <v>15</v>
      </c>
      <c r="B156" s="1" t="s">
        <v>16</v>
      </c>
      <c r="C156" s="1" t="s">
        <v>27</v>
      </c>
      <c r="D156" s="1">
        <v>53</v>
      </c>
      <c r="E156" s="1" t="s">
        <v>18</v>
      </c>
      <c r="F156" s="1" t="s">
        <v>35</v>
      </c>
      <c r="G156" s="1">
        <v>0.96</v>
      </c>
      <c r="H156" s="1" t="s">
        <v>20</v>
      </c>
      <c r="I156" t="s">
        <v>36</v>
      </c>
      <c r="J156" t="s">
        <v>37</v>
      </c>
      <c r="K156" t="s">
        <v>38</v>
      </c>
      <c r="L156" t="s">
        <v>24</v>
      </c>
      <c r="M156" t="str">
        <f t="shared" si="8"/>
        <v>charge-altering-copy1</v>
      </c>
      <c r="N156" t="str">
        <f t="shared" si="6"/>
        <v>3tu4</v>
      </c>
      <c r="O156" t="s">
        <v>30</v>
      </c>
      <c r="P156" t="str">
        <f t="shared" si="7"/>
        <v>H4 E53K</v>
      </c>
    </row>
    <row r="157" spans="1:16">
      <c r="A157" s="1" t="s">
        <v>15</v>
      </c>
      <c r="B157" s="1" t="s">
        <v>16</v>
      </c>
      <c r="C157" s="1" t="s">
        <v>27</v>
      </c>
      <c r="D157" s="1">
        <v>68</v>
      </c>
      <c r="E157" s="1" t="s">
        <v>17</v>
      </c>
      <c r="F157" s="1" t="s">
        <v>26</v>
      </c>
      <c r="G157" s="1">
        <v>0.64</v>
      </c>
      <c r="H157" s="1" t="s">
        <v>20</v>
      </c>
      <c r="I157" t="s">
        <v>36</v>
      </c>
      <c r="J157" t="s">
        <v>37</v>
      </c>
      <c r="K157" t="s">
        <v>38</v>
      </c>
      <c r="L157" t="s">
        <v>24</v>
      </c>
      <c r="M157" t="str">
        <f t="shared" si="8"/>
        <v>charge-altering-copy1</v>
      </c>
      <c r="N157" t="str">
        <f t="shared" si="6"/>
        <v>3tu4</v>
      </c>
      <c r="O157" t="s">
        <v>30</v>
      </c>
      <c r="P157" t="str">
        <f t="shared" si="7"/>
        <v>H4 D68H</v>
      </c>
    </row>
    <row r="158" spans="1:16">
      <c r="A158" s="1" t="s">
        <v>15</v>
      </c>
      <c r="B158" s="1" t="s">
        <v>16</v>
      </c>
      <c r="C158" s="1" t="s">
        <v>31</v>
      </c>
      <c r="D158" s="1">
        <v>53</v>
      </c>
      <c r="E158" s="1" t="s">
        <v>18</v>
      </c>
      <c r="F158" s="1" t="s">
        <v>35</v>
      </c>
      <c r="G158" s="1">
        <v>0.96</v>
      </c>
      <c r="H158" s="1" t="s">
        <v>20</v>
      </c>
      <c r="I158" t="s">
        <v>36</v>
      </c>
      <c r="J158" t="s">
        <v>37</v>
      </c>
      <c r="K158" t="s">
        <v>38</v>
      </c>
      <c r="L158" t="s">
        <v>24</v>
      </c>
      <c r="M158" t="str">
        <f t="shared" si="8"/>
        <v>charge-altering-copy2</v>
      </c>
      <c r="N158" t="str">
        <f t="shared" si="6"/>
        <v>3tu4</v>
      </c>
      <c r="O158" t="s">
        <v>30</v>
      </c>
      <c r="P158" t="str">
        <f t="shared" si="7"/>
        <v>H4 E53K</v>
      </c>
    </row>
    <row r="159" spans="1:16">
      <c r="A159" s="1" t="s">
        <v>15</v>
      </c>
      <c r="B159" s="1" t="s">
        <v>16</v>
      </c>
      <c r="C159" s="1" t="s">
        <v>31</v>
      </c>
      <c r="D159" s="1">
        <v>68</v>
      </c>
      <c r="E159" s="1" t="s">
        <v>17</v>
      </c>
      <c r="F159" s="1" t="s">
        <v>26</v>
      </c>
      <c r="G159" s="1">
        <v>0.64</v>
      </c>
      <c r="H159" s="1" t="s">
        <v>20</v>
      </c>
      <c r="I159" t="s">
        <v>36</v>
      </c>
      <c r="J159" t="s">
        <v>37</v>
      </c>
      <c r="K159" t="s">
        <v>38</v>
      </c>
      <c r="L159" t="s">
        <v>24</v>
      </c>
      <c r="M159" t="str">
        <f t="shared" si="8"/>
        <v>charge-altering-copy2</v>
      </c>
      <c r="N159" t="str">
        <f t="shared" si="6"/>
        <v>3tu4</v>
      </c>
      <c r="O159" t="s">
        <v>30</v>
      </c>
      <c r="P159" t="str">
        <f t="shared" si="7"/>
        <v>H4 D68H</v>
      </c>
    </row>
    <row r="160" spans="1:16">
      <c r="A160" s="1" t="s">
        <v>15</v>
      </c>
      <c r="B160" s="1" t="s">
        <v>16</v>
      </c>
      <c r="C160" s="1" t="s">
        <v>32</v>
      </c>
      <c r="D160" s="1">
        <v>105</v>
      </c>
      <c r="E160" s="1" t="s">
        <v>18</v>
      </c>
      <c r="F160" s="1" t="s">
        <v>35</v>
      </c>
      <c r="G160" s="1">
        <v>0.96</v>
      </c>
      <c r="H160" s="1" t="s">
        <v>20</v>
      </c>
      <c r="I160" t="s">
        <v>36</v>
      </c>
      <c r="J160" t="s">
        <v>37</v>
      </c>
      <c r="K160" t="s">
        <v>38</v>
      </c>
      <c r="L160" t="s">
        <v>24</v>
      </c>
      <c r="M160" t="str">
        <f t="shared" si="8"/>
        <v>charge-altering-copy1</v>
      </c>
      <c r="N160" t="str">
        <f t="shared" si="6"/>
        <v>3tu4</v>
      </c>
      <c r="O160" t="s">
        <v>33</v>
      </c>
      <c r="P160" t="str">
        <f t="shared" si="7"/>
        <v>H3 E105K</v>
      </c>
    </row>
    <row r="161" spans="1:16">
      <c r="A161" s="1" t="s">
        <v>15</v>
      </c>
      <c r="B161" s="1" t="s">
        <v>16</v>
      </c>
      <c r="C161" s="1" t="s">
        <v>32</v>
      </c>
      <c r="D161" s="1">
        <v>123</v>
      </c>
      <c r="E161" s="1" t="s">
        <v>17</v>
      </c>
      <c r="F161" s="1" t="s">
        <v>26</v>
      </c>
      <c r="G161" s="1">
        <v>0.59</v>
      </c>
      <c r="H161" s="1" t="s">
        <v>20</v>
      </c>
      <c r="I161" t="s">
        <v>36</v>
      </c>
      <c r="J161" t="s">
        <v>37</v>
      </c>
      <c r="K161" t="s">
        <v>38</v>
      </c>
      <c r="L161" t="s">
        <v>24</v>
      </c>
      <c r="M161" t="str">
        <f t="shared" si="8"/>
        <v>charge-altering-copy1</v>
      </c>
      <c r="N161" t="str">
        <f t="shared" si="6"/>
        <v>3tu4</v>
      </c>
      <c r="O161" t="s">
        <v>33</v>
      </c>
      <c r="P161" t="str">
        <f t="shared" si="7"/>
        <v>H3 D123H</v>
      </c>
    </row>
    <row r="162" spans="1:16">
      <c r="A162" s="1" t="s">
        <v>15</v>
      </c>
      <c r="B162" s="1" t="s">
        <v>16</v>
      </c>
      <c r="C162" s="1" t="s">
        <v>32</v>
      </c>
      <c r="D162" s="1">
        <v>133</v>
      </c>
      <c r="E162" s="1" t="s">
        <v>18</v>
      </c>
      <c r="F162" s="1" t="s">
        <v>35</v>
      </c>
      <c r="G162" s="1">
        <v>0.47</v>
      </c>
      <c r="H162" s="1" t="s">
        <v>20</v>
      </c>
      <c r="I162" t="s">
        <v>36</v>
      </c>
      <c r="J162" t="s">
        <v>37</v>
      </c>
      <c r="K162" t="s">
        <v>38</v>
      </c>
      <c r="L162" t="s">
        <v>24</v>
      </c>
      <c r="M162" t="str">
        <f t="shared" si="8"/>
        <v>charge-altering-copy1</v>
      </c>
      <c r="N162" t="str">
        <f t="shared" si="6"/>
        <v>3tu4</v>
      </c>
      <c r="O162" t="s">
        <v>33</v>
      </c>
      <c r="P162" t="str">
        <f t="shared" si="7"/>
        <v>H3 E133K</v>
      </c>
    </row>
    <row r="163" spans="1:16">
      <c r="A163" s="1" t="s">
        <v>15</v>
      </c>
      <c r="B163" s="1" t="s">
        <v>16</v>
      </c>
      <c r="C163" s="1" t="s">
        <v>32</v>
      </c>
      <c r="D163" s="1">
        <v>50</v>
      </c>
      <c r="E163" s="1" t="s">
        <v>18</v>
      </c>
      <c r="F163" s="1" t="s">
        <v>35</v>
      </c>
      <c r="G163" s="1">
        <v>1.73</v>
      </c>
      <c r="H163" s="1" t="s">
        <v>20</v>
      </c>
      <c r="I163" t="s">
        <v>36</v>
      </c>
      <c r="J163" t="s">
        <v>37</v>
      </c>
      <c r="K163" t="s">
        <v>38</v>
      </c>
      <c r="L163" t="s">
        <v>24</v>
      </c>
      <c r="M163" t="str">
        <f t="shared" si="8"/>
        <v>charge-altering-copy1</v>
      </c>
      <c r="N163" t="str">
        <f t="shared" si="6"/>
        <v>3tu4</v>
      </c>
      <c r="O163" t="s">
        <v>33</v>
      </c>
      <c r="P163" t="str">
        <f t="shared" si="7"/>
        <v>H3 E50K</v>
      </c>
    </row>
    <row r="164" spans="1:16">
      <c r="A164" s="1" t="s">
        <v>15</v>
      </c>
      <c r="B164" s="1" t="s">
        <v>16</v>
      </c>
      <c r="C164" s="1" t="s">
        <v>32</v>
      </c>
      <c r="D164" s="1">
        <v>73</v>
      </c>
      <c r="E164" s="1" t="s">
        <v>18</v>
      </c>
      <c r="F164" s="1" t="s">
        <v>35</v>
      </c>
      <c r="G164" s="1">
        <v>0.58</v>
      </c>
      <c r="H164" s="1" t="s">
        <v>20</v>
      </c>
      <c r="I164" t="s">
        <v>36</v>
      </c>
      <c r="J164" t="s">
        <v>37</v>
      </c>
      <c r="K164" t="s">
        <v>38</v>
      </c>
      <c r="L164" t="s">
        <v>24</v>
      </c>
      <c r="M164" t="str">
        <f t="shared" si="8"/>
        <v>charge-altering-copy1</v>
      </c>
      <c r="N164" t="str">
        <f t="shared" si="6"/>
        <v>3tu4</v>
      </c>
      <c r="O164" t="s">
        <v>33</v>
      </c>
      <c r="P164" t="str">
        <f t="shared" si="7"/>
        <v>H3 E73K</v>
      </c>
    </row>
    <row r="165" spans="1:16">
      <c r="A165" s="1" t="s">
        <v>15</v>
      </c>
      <c r="B165" s="1" t="s">
        <v>16</v>
      </c>
      <c r="C165" s="1" t="s">
        <v>32</v>
      </c>
      <c r="D165" s="1">
        <v>81</v>
      </c>
      <c r="E165" s="1" t="s">
        <v>17</v>
      </c>
      <c r="F165" s="1" t="s">
        <v>26</v>
      </c>
      <c r="G165" s="1">
        <v>0.72</v>
      </c>
      <c r="H165" s="1" t="s">
        <v>20</v>
      </c>
      <c r="I165" t="s">
        <v>36</v>
      </c>
      <c r="J165" t="s">
        <v>37</v>
      </c>
      <c r="K165" t="s">
        <v>38</v>
      </c>
      <c r="L165" t="s">
        <v>24</v>
      </c>
      <c r="M165" t="str">
        <f t="shared" si="8"/>
        <v>charge-altering-copy1</v>
      </c>
      <c r="N165" t="str">
        <f t="shared" si="6"/>
        <v>3tu4</v>
      </c>
      <c r="O165" t="s">
        <v>33</v>
      </c>
      <c r="P165" t="str">
        <f t="shared" si="7"/>
        <v>H3 D81H</v>
      </c>
    </row>
    <row r="166" spans="1:16">
      <c r="A166" s="1" t="s">
        <v>15</v>
      </c>
      <c r="B166" s="1" t="s">
        <v>16</v>
      </c>
      <c r="C166" s="1" t="s">
        <v>32</v>
      </c>
      <c r="D166" s="1">
        <v>94</v>
      </c>
      <c r="E166" s="1" t="s">
        <v>18</v>
      </c>
      <c r="F166" s="1" t="s">
        <v>35</v>
      </c>
      <c r="G166" s="1">
        <v>0.95</v>
      </c>
      <c r="H166" s="1" t="s">
        <v>20</v>
      </c>
      <c r="I166" t="s">
        <v>36</v>
      </c>
      <c r="J166" t="s">
        <v>37</v>
      </c>
      <c r="K166" t="s">
        <v>38</v>
      </c>
      <c r="L166" t="s">
        <v>24</v>
      </c>
      <c r="M166" t="str">
        <f t="shared" si="8"/>
        <v>charge-altering-copy1</v>
      </c>
      <c r="N166" t="str">
        <f t="shared" si="6"/>
        <v>3tu4</v>
      </c>
      <c r="O166" t="s">
        <v>33</v>
      </c>
      <c r="P166" t="str">
        <f t="shared" si="7"/>
        <v>H3 E94K</v>
      </c>
    </row>
    <row r="167" spans="1:16">
      <c r="A167" s="1" t="s">
        <v>15</v>
      </c>
      <c r="B167" s="1" t="s">
        <v>16</v>
      </c>
      <c r="C167" s="1" t="s">
        <v>32</v>
      </c>
      <c r="D167" s="1">
        <v>97</v>
      </c>
      <c r="E167" s="1" t="s">
        <v>18</v>
      </c>
      <c r="F167" s="1" t="s">
        <v>35</v>
      </c>
      <c r="G167" s="1">
        <v>0.74</v>
      </c>
      <c r="H167" s="1" t="s">
        <v>20</v>
      </c>
      <c r="I167" t="s">
        <v>36</v>
      </c>
      <c r="J167" t="s">
        <v>37</v>
      </c>
      <c r="K167" t="s">
        <v>38</v>
      </c>
      <c r="L167" t="s">
        <v>24</v>
      </c>
      <c r="M167" t="str">
        <f t="shared" si="8"/>
        <v>charge-altering-copy1</v>
      </c>
      <c r="N167" t="str">
        <f t="shared" si="6"/>
        <v>3tu4</v>
      </c>
      <c r="O167" t="s">
        <v>33</v>
      </c>
      <c r="P167" t="str">
        <f t="shared" si="7"/>
        <v>H3 E97K</v>
      </c>
    </row>
    <row r="168" spans="1:16">
      <c r="A168" s="1" t="s">
        <v>15</v>
      </c>
      <c r="B168" s="1" t="s">
        <v>16</v>
      </c>
      <c r="C168" s="1" t="s">
        <v>18</v>
      </c>
      <c r="D168" s="1">
        <v>105</v>
      </c>
      <c r="E168" s="1" t="s">
        <v>18</v>
      </c>
      <c r="F168" s="1" t="s">
        <v>35</v>
      </c>
      <c r="G168" s="1">
        <v>1.14</v>
      </c>
      <c r="H168" s="1" t="s">
        <v>20</v>
      </c>
      <c r="I168" t="s">
        <v>36</v>
      </c>
      <c r="J168" t="s">
        <v>37</v>
      </c>
      <c r="K168" t="s">
        <v>38</v>
      </c>
      <c r="L168" t="s">
        <v>24</v>
      </c>
      <c r="M168" t="str">
        <f t="shared" si="8"/>
        <v>charge-altering-copy2</v>
      </c>
      <c r="N168" t="str">
        <f t="shared" si="6"/>
        <v>3tu4</v>
      </c>
      <c r="O168" t="s">
        <v>33</v>
      </c>
      <c r="P168" t="str">
        <f t="shared" si="7"/>
        <v>H3 E105K</v>
      </c>
    </row>
    <row r="169" spans="1:16">
      <c r="A169" s="1" t="s">
        <v>15</v>
      </c>
      <c r="B169" s="1" t="s">
        <v>16</v>
      </c>
      <c r="C169" s="1" t="s">
        <v>18</v>
      </c>
      <c r="D169" s="1">
        <v>123</v>
      </c>
      <c r="E169" s="1" t="s">
        <v>17</v>
      </c>
      <c r="F169" s="1" t="s">
        <v>26</v>
      </c>
      <c r="G169" s="1">
        <v>0.55</v>
      </c>
      <c r="H169" s="1" t="s">
        <v>20</v>
      </c>
      <c r="I169" t="s">
        <v>36</v>
      </c>
      <c r="J169" t="s">
        <v>37</v>
      </c>
      <c r="K169" t="s">
        <v>38</v>
      </c>
      <c r="L169" t="s">
        <v>24</v>
      </c>
      <c r="M169" t="str">
        <f t="shared" si="8"/>
        <v>charge-altering-copy2</v>
      </c>
      <c r="N169" t="str">
        <f t="shared" si="6"/>
        <v>3tu4</v>
      </c>
      <c r="O169" t="s">
        <v>33</v>
      </c>
      <c r="P169" t="str">
        <f t="shared" si="7"/>
        <v>H3 D123H</v>
      </c>
    </row>
    <row r="170" spans="1:16">
      <c r="A170" s="1" t="s">
        <v>15</v>
      </c>
      <c r="B170" s="1" t="s">
        <v>16</v>
      </c>
      <c r="C170" s="1" t="s">
        <v>18</v>
      </c>
      <c r="D170" s="1">
        <v>133</v>
      </c>
      <c r="E170" s="1" t="s">
        <v>18</v>
      </c>
      <c r="F170" s="1" t="s">
        <v>35</v>
      </c>
      <c r="G170" s="1">
        <v>0.68</v>
      </c>
      <c r="H170" s="1" t="s">
        <v>20</v>
      </c>
      <c r="I170" t="s">
        <v>36</v>
      </c>
      <c r="J170" t="s">
        <v>37</v>
      </c>
      <c r="K170" t="s">
        <v>38</v>
      </c>
      <c r="L170" t="s">
        <v>24</v>
      </c>
      <c r="M170" t="str">
        <f t="shared" si="8"/>
        <v>charge-altering-copy2</v>
      </c>
      <c r="N170" t="str">
        <f t="shared" si="6"/>
        <v>3tu4</v>
      </c>
      <c r="O170" t="s">
        <v>33</v>
      </c>
      <c r="P170" t="str">
        <f t="shared" si="7"/>
        <v>H3 E133K</v>
      </c>
    </row>
    <row r="171" spans="1:16">
      <c r="A171" s="1" t="s">
        <v>15</v>
      </c>
      <c r="B171" s="1" t="s">
        <v>16</v>
      </c>
      <c r="C171" s="1" t="s">
        <v>18</v>
      </c>
      <c r="D171" s="1">
        <v>50</v>
      </c>
      <c r="E171" s="1" t="s">
        <v>18</v>
      </c>
      <c r="F171" s="1" t="s">
        <v>35</v>
      </c>
      <c r="G171" s="1">
        <v>1.1</v>
      </c>
      <c r="H171" s="1" t="s">
        <v>20</v>
      </c>
      <c r="I171" t="s">
        <v>36</v>
      </c>
      <c r="J171" t="s">
        <v>37</v>
      </c>
      <c r="K171" t="s">
        <v>38</v>
      </c>
      <c r="L171" t="s">
        <v>24</v>
      </c>
      <c r="M171" t="str">
        <f t="shared" si="8"/>
        <v>charge-altering-copy2</v>
      </c>
      <c r="N171" t="str">
        <f t="shared" si="6"/>
        <v>3tu4</v>
      </c>
      <c r="O171" t="s">
        <v>33</v>
      </c>
      <c r="P171" t="str">
        <f t="shared" si="7"/>
        <v>H3 E50K</v>
      </c>
    </row>
    <row r="172" spans="1:16">
      <c r="A172" s="1" t="s">
        <v>15</v>
      </c>
      <c r="B172" s="1" t="s">
        <v>16</v>
      </c>
      <c r="C172" s="1" t="s">
        <v>18</v>
      </c>
      <c r="D172" s="1">
        <v>73</v>
      </c>
      <c r="E172" s="1" t="s">
        <v>18</v>
      </c>
      <c r="F172" s="1" t="s">
        <v>35</v>
      </c>
      <c r="G172" s="1">
        <v>0.68</v>
      </c>
      <c r="H172" s="1" t="s">
        <v>20</v>
      </c>
      <c r="I172" t="s">
        <v>36</v>
      </c>
      <c r="J172" t="s">
        <v>37</v>
      </c>
      <c r="K172" t="s">
        <v>38</v>
      </c>
      <c r="L172" t="s">
        <v>24</v>
      </c>
      <c r="M172" t="str">
        <f t="shared" si="8"/>
        <v>charge-altering-copy2</v>
      </c>
      <c r="N172" t="str">
        <f t="shared" si="6"/>
        <v>3tu4</v>
      </c>
      <c r="O172" t="s">
        <v>33</v>
      </c>
      <c r="P172" t="str">
        <f t="shared" si="7"/>
        <v>H3 E73K</v>
      </c>
    </row>
    <row r="173" spans="1:16">
      <c r="A173" s="1" t="s">
        <v>15</v>
      </c>
      <c r="B173" s="1" t="s">
        <v>16</v>
      </c>
      <c r="C173" s="1" t="s">
        <v>18</v>
      </c>
      <c r="D173" s="1">
        <v>81</v>
      </c>
      <c r="E173" s="1" t="s">
        <v>17</v>
      </c>
      <c r="F173" s="1" t="s">
        <v>26</v>
      </c>
      <c r="G173" s="1">
        <v>0.72</v>
      </c>
      <c r="H173" s="1" t="s">
        <v>20</v>
      </c>
      <c r="I173" t="s">
        <v>36</v>
      </c>
      <c r="J173" t="s">
        <v>37</v>
      </c>
      <c r="K173" t="s">
        <v>38</v>
      </c>
      <c r="L173" t="s">
        <v>24</v>
      </c>
      <c r="M173" t="str">
        <f t="shared" si="8"/>
        <v>charge-altering-copy2</v>
      </c>
      <c r="N173" t="str">
        <f t="shared" si="6"/>
        <v>3tu4</v>
      </c>
      <c r="O173" t="s">
        <v>33</v>
      </c>
      <c r="P173" t="str">
        <f t="shared" si="7"/>
        <v>H3 D81H</v>
      </c>
    </row>
    <row r="174" spans="1:16">
      <c r="A174" s="1" t="s">
        <v>15</v>
      </c>
      <c r="B174" s="1" t="s">
        <v>16</v>
      </c>
      <c r="C174" s="1" t="s">
        <v>18</v>
      </c>
      <c r="D174" s="1">
        <v>94</v>
      </c>
      <c r="E174" s="1" t="s">
        <v>18</v>
      </c>
      <c r="F174" s="1" t="s">
        <v>35</v>
      </c>
      <c r="G174" s="1">
        <v>0.79</v>
      </c>
      <c r="H174" s="1" t="s">
        <v>20</v>
      </c>
      <c r="I174" t="s">
        <v>36</v>
      </c>
      <c r="J174" t="s">
        <v>37</v>
      </c>
      <c r="K174" t="s">
        <v>38</v>
      </c>
      <c r="L174" t="s">
        <v>24</v>
      </c>
      <c r="M174" t="str">
        <f t="shared" si="8"/>
        <v>charge-altering-copy2</v>
      </c>
      <c r="N174" t="str">
        <f t="shared" si="6"/>
        <v>3tu4</v>
      </c>
      <c r="O174" t="s">
        <v>33</v>
      </c>
      <c r="P174" t="str">
        <f t="shared" si="7"/>
        <v>H3 E94K</v>
      </c>
    </row>
    <row r="175" spans="1:16">
      <c r="A175" s="1" t="s">
        <v>15</v>
      </c>
      <c r="B175" s="1" t="s">
        <v>16</v>
      </c>
      <c r="C175" s="1" t="s">
        <v>18</v>
      </c>
      <c r="D175" s="1">
        <v>97</v>
      </c>
      <c r="E175" s="1" t="s">
        <v>18</v>
      </c>
      <c r="F175" s="1" t="s">
        <v>35</v>
      </c>
      <c r="G175" s="1">
        <v>0.74</v>
      </c>
      <c r="H175" s="1" t="s">
        <v>20</v>
      </c>
      <c r="I175" t="s">
        <v>36</v>
      </c>
      <c r="J175" t="s">
        <v>37</v>
      </c>
      <c r="K175" t="s">
        <v>38</v>
      </c>
      <c r="L175" t="s">
        <v>24</v>
      </c>
      <c r="M175" t="str">
        <f t="shared" si="8"/>
        <v>charge-altering-copy2</v>
      </c>
      <c r="N175" t="str">
        <f t="shared" si="6"/>
        <v>3tu4</v>
      </c>
      <c r="O175" t="s">
        <v>33</v>
      </c>
      <c r="P175" t="str">
        <f t="shared" si="7"/>
        <v>H3 E97K</v>
      </c>
    </row>
    <row r="176" spans="1:16">
      <c r="A176" s="1" t="s">
        <v>15</v>
      </c>
      <c r="B176" s="1" t="s">
        <v>16</v>
      </c>
      <c r="C176" s="1" t="s">
        <v>17</v>
      </c>
      <c r="D176" s="1">
        <v>117</v>
      </c>
      <c r="E176" s="1" t="s">
        <v>35</v>
      </c>
      <c r="F176" s="1" t="s">
        <v>18</v>
      </c>
      <c r="G176" s="1">
        <v>1.63</v>
      </c>
      <c r="H176" s="1" t="s">
        <v>20</v>
      </c>
      <c r="I176" t="s">
        <v>60</v>
      </c>
      <c r="J176" t="s">
        <v>37</v>
      </c>
      <c r="K176" t="s">
        <v>38</v>
      </c>
      <c r="L176" t="s">
        <v>24</v>
      </c>
      <c r="M176" t="str">
        <f t="shared" si="8"/>
        <v>charge-altering-copy1</v>
      </c>
      <c r="N176" t="str">
        <f t="shared" si="6"/>
        <v>3tu4</v>
      </c>
      <c r="O176" t="s">
        <v>25</v>
      </c>
      <c r="P176" t="str">
        <f t="shared" si="7"/>
        <v>H2B K117E</v>
      </c>
    </row>
    <row r="177" spans="1:16">
      <c r="A177" s="1" t="s">
        <v>15</v>
      </c>
      <c r="B177" s="1" t="s">
        <v>16</v>
      </c>
      <c r="C177" s="1" t="s">
        <v>26</v>
      </c>
      <c r="D177" s="1">
        <v>117</v>
      </c>
      <c r="E177" s="1" t="s">
        <v>35</v>
      </c>
      <c r="F177" s="1" t="s">
        <v>18</v>
      </c>
      <c r="G177" s="1">
        <v>1.34</v>
      </c>
      <c r="H177" s="1" t="s">
        <v>20</v>
      </c>
      <c r="I177" t="s">
        <v>60</v>
      </c>
      <c r="J177" t="s">
        <v>37</v>
      </c>
      <c r="K177" t="s">
        <v>38</v>
      </c>
      <c r="L177" t="s">
        <v>24</v>
      </c>
      <c r="M177" t="str">
        <f t="shared" si="8"/>
        <v>charge-altering-copy2</v>
      </c>
      <c r="N177" t="str">
        <f t="shared" si="6"/>
        <v>3tu4</v>
      </c>
      <c r="O177" t="s">
        <v>25</v>
      </c>
      <c r="P177" t="str">
        <f t="shared" si="7"/>
        <v>H2B K117E</v>
      </c>
    </row>
    <row r="178" spans="1:16">
      <c r="A178" s="1" t="s">
        <v>15</v>
      </c>
      <c r="B178" s="1" t="s">
        <v>16</v>
      </c>
      <c r="C178" s="1" t="s">
        <v>27</v>
      </c>
      <c r="D178" s="1">
        <v>59</v>
      </c>
      <c r="E178" s="1" t="s">
        <v>35</v>
      </c>
      <c r="F178" s="1" t="s">
        <v>18</v>
      </c>
      <c r="G178" s="1">
        <v>1.54</v>
      </c>
      <c r="H178" s="1" t="s">
        <v>20</v>
      </c>
      <c r="I178" t="s">
        <v>60</v>
      </c>
      <c r="J178" t="s">
        <v>37</v>
      </c>
      <c r="K178" t="s">
        <v>38</v>
      </c>
      <c r="L178" t="s">
        <v>24</v>
      </c>
      <c r="M178" t="str">
        <f t="shared" si="8"/>
        <v>charge-altering-copy1</v>
      </c>
      <c r="N178" t="str">
        <f t="shared" si="6"/>
        <v>3tu4</v>
      </c>
      <c r="O178" t="s">
        <v>30</v>
      </c>
      <c r="P178" t="str">
        <f t="shared" si="7"/>
        <v>H4 K59E</v>
      </c>
    </row>
    <row r="179" spans="1:16">
      <c r="A179" s="1" t="s">
        <v>15</v>
      </c>
      <c r="B179" s="1" t="s">
        <v>16</v>
      </c>
      <c r="C179" s="1" t="s">
        <v>31</v>
      </c>
      <c r="D179" s="1">
        <v>59</v>
      </c>
      <c r="E179" s="1" t="s">
        <v>35</v>
      </c>
      <c r="F179" s="1" t="s">
        <v>18</v>
      </c>
      <c r="G179" s="1">
        <v>1.54</v>
      </c>
      <c r="H179" s="1" t="s">
        <v>20</v>
      </c>
      <c r="I179" t="s">
        <v>60</v>
      </c>
      <c r="J179" t="s">
        <v>37</v>
      </c>
      <c r="K179" t="s">
        <v>38</v>
      </c>
      <c r="L179" t="s">
        <v>24</v>
      </c>
      <c r="M179" t="str">
        <f t="shared" si="8"/>
        <v>charge-altering-copy2</v>
      </c>
      <c r="N179" t="str">
        <f t="shared" si="6"/>
        <v>3tu4</v>
      </c>
      <c r="O179" t="s">
        <v>30</v>
      </c>
      <c r="P179" t="str">
        <f t="shared" si="7"/>
        <v>H4 K59E</v>
      </c>
    </row>
    <row r="180" spans="1:16">
      <c r="A180" s="1" t="s">
        <v>15</v>
      </c>
      <c r="B180" s="1" t="s">
        <v>16</v>
      </c>
      <c r="C180" s="1" t="s">
        <v>17</v>
      </c>
      <c r="D180" s="1">
        <v>90</v>
      </c>
      <c r="E180" s="1" t="s">
        <v>18</v>
      </c>
      <c r="F180" s="1" t="s">
        <v>17</v>
      </c>
      <c r="G180" s="1">
        <v>0.54</v>
      </c>
      <c r="H180" s="1" t="s">
        <v>20</v>
      </c>
      <c r="I180" t="s">
        <v>52</v>
      </c>
      <c r="J180" t="s">
        <v>44</v>
      </c>
      <c r="K180" t="s">
        <v>45</v>
      </c>
      <c r="L180" t="s">
        <v>46</v>
      </c>
      <c r="M180" t="str">
        <f t="shared" si="8"/>
        <v>non-charge-altering-copy1</v>
      </c>
      <c r="N180" t="str">
        <f t="shared" si="6"/>
        <v>3tu4</v>
      </c>
      <c r="O180" t="s">
        <v>25</v>
      </c>
      <c r="P180" t="str">
        <f t="shared" si="7"/>
        <v>H2B E90D</v>
      </c>
    </row>
    <row r="181" spans="1:16">
      <c r="A181" s="1" t="s">
        <v>15</v>
      </c>
      <c r="B181" s="1" t="s">
        <v>16</v>
      </c>
      <c r="C181" s="1" t="s">
        <v>26</v>
      </c>
      <c r="D181" s="1">
        <v>90</v>
      </c>
      <c r="E181" s="1" t="s">
        <v>18</v>
      </c>
      <c r="F181" s="1" t="s">
        <v>17</v>
      </c>
      <c r="G181" s="1">
        <v>0.54</v>
      </c>
      <c r="H181" s="1" t="s">
        <v>20</v>
      </c>
      <c r="I181" t="s">
        <v>52</v>
      </c>
      <c r="J181" t="s">
        <v>44</v>
      </c>
      <c r="K181" t="s">
        <v>45</v>
      </c>
      <c r="L181" t="s">
        <v>46</v>
      </c>
      <c r="M181" t="str">
        <f t="shared" si="8"/>
        <v>non-charge-altering-copy2</v>
      </c>
      <c r="N181" t="str">
        <f t="shared" si="6"/>
        <v>3tu4</v>
      </c>
      <c r="O181" t="s">
        <v>25</v>
      </c>
      <c r="P181" t="str">
        <f t="shared" si="7"/>
        <v>H2B E90D</v>
      </c>
    </row>
    <row r="182" spans="1:16">
      <c r="A182" s="1" t="s">
        <v>15</v>
      </c>
      <c r="B182" s="1" t="s">
        <v>16</v>
      </c>
      <c r="C182" s="1" t="s">
        <v>39</v>
      </c>
      <c r="D182" s="1">
        <v>61</v>
      </c>
      <c r="E182" s="1" t="s">
        <v>18</v>
      </c>
      <c r="F182" s="1" t="s">
        <v>17</v>
      </c>
      <c r="G182" s="1">
        <v>1.46</v>
      </c>
      <c r="H182" s="1" t="s">
        <v>20</v>
      </c>
      <c r="I182" t="s">
        <v>52</v>
      </c>
      <c r="J182" t="s">
        <v>44</v>
      </c>
      <c r="K182" t="s">
        <v>45</v>
      </c>
      <c r="L182" t="s">
        <v>46</v>
      </c>
      <c r="M182" t="str">
        <f t="shared" si="8"/>
        <v>non-charge-altering-copy1</v>
      </c>
      <c r="N182" t="str">
        <f t="shared" si="6"/>
        <v>3tu4</v>
      </c>
      <c r="O182" t="s">
        <v>40</v>
      </c>
      <c r="P182" t="str">
        <f t="shared" si="7"/>
        <v>H2A E61D</v>
      </c>
    </row>
    <row r="183" spans="1:16">
      <c r="A183" s="1" t="s">
        <v>15</v>
      </c>
      <c r="B183" s="1" t="s">
        <v>16</v>
      </c>
      <c r="C183" s="1" t="s">
        <v>39</v>
      </c>
      <c r="D183" s="1">
        <v>92</v>
      </c>
      <c r="E183" s="1" t="s">
        <v>18</v>
      </c>
      <c r="F183" s="1" t="s">
        <v>17</v>
      </c>
      <c r="G183" s="1">
        <v>0.79</v>
      </c>
      <c r="H183" s="1" t="s">
        <v>20</v>
      </c>
      <c r="I183" t="s">
        <v>52</v>
      </c>
      <c r="J183" t="s">
        <v>44</v>
      </c>
      <c r="K183" t="s">
        <v>45</v>
      </c>
      <c r="L183" t="s">
        <v>46</v>
      </c>
      <c r="M183" t="str">
        <f t="shared" si="8"/>
        <v>non-charge-altering-copy1</v>
      </c>
      <c r="N183" t="str">
        <f t="shared" si="6"/>
        <v>3tu4</v>
      </c>
      <c r="O183" t="s">
        <v>40</v>
      </c>
      <c r="P183" t="str">
        <f t="shared" si="7"/>
        <v>H2A E92D</v>
      </c>
    </row>
    <row r="184" spans="1:16">
      <c r="A184" s="1" t="s">
        <v>15</v>
      </c>
      <c r="B184" s="1" t="s">
        <v>16</v>
      </c>
      <c r="C184" s="1" t="s">
        <v>41</v>
      </c>
      <c r="D184" s="1">
        <v>61</v>
      </c>
      <c r="E184" s="1" t="s">
        <v>18</v>
      </c>
      <c r="F184" s="1" t="s">
        <v>17</v>
      </c>
      <c r="G184" s="1">
        <v>1.46</v>
      </c>
      <c r="H184" s="1" t="s">
        <v>20</v>
      </c>
      <c r="I184" t="s">
        <v>52</v>
      </c>
      <c r="J184" t="s">
        <v>44</v>
      </c>
      <c r="K184" t="s">
        <v>45</v>
      </c>
      <c r="L184" t="s">
        <v>46</v>
      </c>
      <c r="M184" t="str">
        <f t="shared" si="8"/>
        <v>non-charge-altering-copy2</v>
      </c>
      <c r="N184" t="str">
        <f t="shared" si="6"/>
        <v>3tu4</v>
      </c>
      <c r="O184" t="s">
        <v>40</v>
      </c>
      <c r="P184" t="str">
        <f t="shared" si="7"/>
        <v>H2A E61D</v>
      </c>
    </row>
    <row r="185" spans="1:16">
      <c r="A185" s="1" t="s">
        <v>15</v>
      </c>
      <c r="B185" s="1" t="s">
        <v>16</v>
      </c>
      <c r="C185" s="1" t="s">
        <v>41</v>
      </c>
      <c r="D185" s="1">
        <v>92</v>
      </c>
      <c r="E185" s="1" t="s">
        <v>18</v>
      </c>
      <c r="F185" s="1" t="s">
        <v>17</v>
      </c>
      <c r="G185" s="1">
        <v>0.79</v>
      </c>
      <c r="H185" s="1" t="s">
        <v>20</v>
      </c>
      <c r="I185" t="s">
        <v>52</v>
      </c>
      <c r="J185" t="s">
        <v>44</v>
      </c>
      <c r="K185" t="s">
        <v>45</v>
      </c>
      <c r="L185" t="s">
        <v>46</v>
      </c>
      <c r="M185" t="str">
        <f t="shared" si="8"/>
        <v>non-charge-altering-copy2</v>
      </c>
      <c r="N185" t="str">
        <f t="shared" si="6"/>
        <v>3tu4</v>
      </c>
      <c r="O185" t="s">
        <v>40</v>
      </c>
      <c r="P185" t="str">
        <f t="shared" si="7"/>
        <v>H2A E92D</v>
      </c>
    </row>
    <row r="186" spans="1:16">
      <c r="A186" s="1" t="s">
        <v>15</v>
      </c>
      <c r="B186" s="1" t="s">
        <v>16</v>
      </c>
      <c r="C186" s="1" t="s">
        <v>27</v>
      </c>
      <c r="D186" s="1">
        <v>53</v>
      </c>
      <c r="E186" s="1" t="s">
        <v>18</v>
      </c>
      <c r="F186" s="1" t="s">
        <v>17</v>
      </c>
      <c r="G186" s="1">
        <v>0.96</v>
      </c>
      <c r="H186" s="1" t="s">
        <v>20</v>
      </c>
      <c r="I186" t="s">
        <v>52</v>
      </c>
      <c r="J186" t="s">
        <v>44</v>
      </c>
      <c r="K186" t="s">
        <v>45</v>
      </c>
      <c r="L186" t="s">
        <v>46</v>
      </c>
      <c r="M186" t="str">
        <f t="shared" si="8"/>
        <v>non-charge-altering-copy1</v>
      </c>
      <c r="N186" t="str">
        <f t="shared" si="6"/>
        <v>3tu4</v>
      </c>
      <c r="O186" t="s">
        <v>30</v>
      </c>
      <c r="P186" t="str">
        <f t="shared" si="7"/>
        <v>H4 E53D</v>
      </c>
    </row>
    <row r="187" spans="1:16">
      <c r="A187" s="1" t="s">
        <v>15</v>
      </c>
      <c r="B187" s="1" t="s">
        <v>16</v>
      </c>
      <c r="C187" s="1" t="s">
        <v>27</v>
      </c>
      <c r="D187" s="1">
        <v>63</v>
      </c>
      <c r="E187" s="1" t="s">
        <v>18</v>
      </c>
      <c r="F187" s="1" t="s">
        <v>17</v>
      </c>
      <c r="G187" s="1">
        <v>1.16</v>
      </c>
      <c r="H187" s="1" t="s">
        <v>20</v>
      </c>
      <c r="I187" t="s">
        <v>52</v>
      </c>
      <c r="J187" t="s">
        <v>44</v>
      </c>
      <c r="K187" t="s">
        <v>45</v>
      </c>
      <c r="L187" t="s">
        <v>46</v>
      </c>
      <c r="M187" t="str">
        <f t="shared" si="8"/>
        <v>non-charge-altering-copy1</v>
      </c>
      <c r="N187" t="str">
        <f t="shared" si="6"/>
        <v>3tu4</v>
      </c>
      <c r="O187" t="s">
        <v>30</v>
      </c>
      <c r="P187" t="str">
        <f t="shared" si="7"/>
        <v>H4 E63D</v>
      </c>
    </row>
    <row r="188" spans="1:16">
      <c r="A188" s="1" t="s">
        <v>15</v>
      </c>
      <c r="B188" s="1" t="s">
        <v>16</v>
      </c>
      <c r="C188" s="1" t="s">
        <v>31</v>
      </c>
      <c r="D188" s="1">
        <v>53</v>
      </c>
      <c r="E188" s="1" t="s">
        <v>18</v>
      </c>
      <c r="F188" s="1" t="s">
        <v>17</v>
      </c>
      <c r="G188" s="1">
        <v>0.96</v>
      </c>
      <c r="H188" s="1" t="s">
        <v>20</v>
      </c>
      <c r="I188" t="s">
        <v>52</v>
      </c>
      <c r="J188" t="s">
        <v>44</v>
      </c>
      <c r="K188" t="s">
        <v>45</v>
      </c>
      <c r="L188" t="s">
        <v>46</v>
      </c>
      <c r="M188" t="str">
        <f t="shared" si="8"/>
        <v>non-charge-altering-copy2</v>
      </c>
      <c r="N188" t="str">
        <f t="shared" si="6"/>
        <v>3tu4</v>
      </c>
      <c r="O188" t="s">
        <v>30</v>
      </c>
      <c r="P188" t="str">
        <f t="shared" si="7"/>
        <v>H4 E53D</v>
      </c>
    </row>
    <row r="189" spans="1:16">
      <c r="A189" s="1" t="s">
        <v>15</v>
      </c>
      <c r="B189" s="1" t="s">
        <v>16</v>
      </c>
      <c r="C189" s="1" t="s">
        <v>31</v>
      </c>
      <c r="D189" s="1">
        <v>63</v>
      </c>
      <c r="E189" s="1" t="s">
        <v>18</v>
      </c>
      <c r="F189" s="1" t="s">
        <v>17</v>
      </c>
      <c r="G189" s="1">
        <v>1.16</v>
      </c>
      <c r="H189" s="1" t="s">
        <v>20</v>
      </c>
      <c r="I189" t="s">
        <v>52</v>
      </c>
      <c r="J189" t="s">
        <v>44</v>
      </c>
      <c r="K189" t="s">
        <v>45</v>
      </c>
      <c r="L189" t="s">
        <v>46</v>
      </c>
      <c r="M189" t="str">
        <f t="shared" si="8"/>
        <v>non-charge-altering-copy2</v>
      </c>
      <c r="N189" t="str">
        <f t="shared" si="6"/>
        <v>3tu4</v>
      </c>
      <c r="O189" t="s">
        <v>30</v>
      </c>
      <c r="P189" t="str">
        <f t="shared" si="7"/>
        <v>H4 E63D</v>
      </c>
    </row>
    <row r="190" spans="1:16">
      <c r="A190" s="1" t="s">
        <v>15</v>
      </c>
      <c r="B190" s="1" t="s">
        <v>16</v>
      </c>
      <c r="C190" s="1" t="s">
        <v>32</v>
      </c>
      <c r="D190" s="1">
        <v>105</v>
      </c>
      <c r="E190" s="1" t="s">
        <v>18</v>
      </c>
      <c r="F190" s="1" t="s">
        <v>17</v>
      </c>
      <c r="G190" s="1">
        <v>1</v>
      </c>
      <c r="H190" s="1" t="s">
        <v>20</v>
      </c>
      <c r="I190" t="s">
        <v>52</v>
      </c>
      <c r="J190" t="s">
        <v>44</v>
      </c>
      <c r="K190" t="s">
        <v>45</v>
      </c>
      <c r="L190" t="s">
        <v>46</v>
      </c>
      <c r="M190" t="str">
        <f t="shared" si="8"/>
        <v>non-charge-altering-copy1</v>
      </c>
      <c r="N190" t="str">
        <f t="shared" si="6"/>
        <v>3tu4</v>
      </c>
      <c r="O190" t="s">
        <v>33</v>
      </c>
      <c r="P190" t="str">
        <f t="shared" si="7"/>
        <v>H3 E105D</v>
      </c>
    </row>
    <row r="191" spans="1:16">
      <c r="A191" s="1" t="s">
        <v>15</v>
      </c>
      <c r="B191" s="1" t="s">
        <v>16</v>
      </c>
      <c r="C191" s="1" t="s">
        <v>32</v>
      </c>
      <c r="D191" s="1">
        <v>133</v>
      </c>
      <c r="E191" s="1" t="s">
        <v>18</v>
      </c>
      <c r="F191" s="1" t="s">
        <v>17</v>
      </c>
      <c r="G191" s="1">
        <v>0.72</v>
      </c>
      <c r="H191" s="1" t="s">
        <v>20</v>
      </c>
      <c r="I191" t="s">
        <v>52</v>
      </c>
      <c r="J191" t="s">
        <v>44</v>
      </c>
      <c r="K191" t="s">
        <v>45</v>
      </c>
      <c r="L191" t="s">
        <v>46</v>
      </c>
      <c r="M191" t="str">
        <f t="shared" si="8"/>
        <v>non-charge-altering-copy1</v>
      </c>
      <c r="N191" t="str">
        <f t="shared" si="6"/>
        <v>3tu4</v>
      </c>
      <c r="O191" t="s">
        <v>33</v>
      </c>
      <c r="P191" t="str">
        <f t="shared" si="7"/>
        <v>H3 E133D</v>
      </c>
    </row>
    <row r="192" spans="1:16">
      <c r="A192" s="1" t="s">
        <v>15</v>
      </c>
      <c r="B192" s="1" t="s">
        <v>16</v>
      </c>
      <c r="C192" s="1" t="s">
        <v>32</v>
      </c>
      <c r="D192" s="1">
        <v>50</v>
      </c>
      <c r="E192" s="1" t="s">
        <v>18</v>
      </c>
      <c r="F192" s="1" t="s">
        <v>17</v>
      </c>
      <c r="G192" s="1">
        <v>1.44</v>
      </c>
      <c r="H192" s="1" t="s">
        <v>20</v>
      </c>
      <c r="I192" t="s">
        <v>52</v>
      </c>
      <c r="J192" t="s">
        <v>44</v>
      </c>
      <c r="K192" t="s">
        <v>45</v>
      </c>
      <c r="L192" t="s">
        <v>46</v>
      </c>
      <c r="M192" t="str">
        <f t="shared" si="8"/>
        <v>non-charge-altering-copy1</v>
      </c>
      <c r="N192" t="str">
        <f t="shared" si="6"/>
        <v>3tu4</v>
      </c>
      <c r="O192" t="s">
        <v>33</v>
      </c>
      <c r="P192" t="str">
        <f t="shared" si="7"/>
        <v>H3 E50D</v>
      </c>
    </row>
    <row r="193" spans="1:16">
      <c r="A193" s="1" t="s">
        <v>15</v>
      </c>
      <c r="B193" s="1" t="s">
        <v>16</v>
      </c>
      <c r="C193" s="1" t="s">
        <v>18</v>
      </c>
      <c r="D193" s="1">
        <v>105</v>
      </c>
      <c r="E193" s="1" t="s">
        <v>18</v>
      </c>
      <c r="F193" s="1" t="s">
        <v>17</v>
      </c>
      <c r="G193" s="1">
        <v>1.15</v>
      </c>
      <c r="H193" s="1" t="s">
        <v>20</v>
      </c>
      <c r="I193" t="s">
        <v>52</v>
      </c>
      <c r="J193" t="s">
        <v>44</v>
      </c>
      <c r="K193" t="s">
        <v>45</v>
      </c>
      <c r="L193" t="s">
        <v>46</v>
      </c>
      <c r="M193" t="str">
        <f t="shared" si="8"/>
        <v>non-charge-altering-copy2</v>
      </c>
      <c r="N193" t="str">
        <f t="shared" si="6"/>
        <v>3tu4</v>
      </c>
      <c r="O193" t="s">
        <v>33</v>
      </c>
      <c r="P193" t="str">
        <f t="shared" si="7"/>
        <v>H3 E105D</v>
      </c>
    </row>
    <row r="194" spans="1:16">
      <c r="A194" s="1" t="s">
        <v>15</v>
      </c>
      <c r="B194" s="1" t="s">
        <v>16</v>
      </c>
      <c r="C194" s="1" t="s">
        <v>18</v>
      </c>
      <c r="D194" s="1">
        <v>133</v>
      </c>
      <c r="E194" s="1" t="s">
        <v>18</v>
      </c>
      <c r="F194" s="1" t="s">
        <v>17</v>
      </c>
      <c r="G194" s="1">
        <v>0.69</v>
      </c>
      <c r="H194" s="1" t="s">
        <v>20</v>
      </c>
      <c r="I194" t="s">
        <v>52</v>
      </c>
      <c r="J194" t="s">
        <v>44</v>
      </c>
      <c r="K194" t="s">
        <v>45</v>
      </c>
      <c r="L194" t="s">
        <v>46</v>
      </c>
      <c r="M194" t="str">
        <f t="shared" si="8"/>
        <v>non-charge-altering-copy2</v>
      </c>
      <c r="N194" t="str">
        <f t="shared" ref="N194:N257" si="9">LEFT(A194,4)</f>
        <v>3tu4</v>
      </c>
      <c r="O194" t="s">
        <v>33</v>
      </c>
      <c r="P194" t="str">
        <f t="shared" ref="P194:P257" si="10">O194&amp;" "&amp;E194&amp;D194&amp;F194</f>
        <v>H3 E133D</v>
      </c>
    </row>
    <row r="195" spans="1:16">
      <c r="A195" s="1" t="s">
        <v>15</v>
      </c>
      <c r="B195" s="1" t="s">
        <v>16</v>
      </c>
      <c r="C195" s="1" t="s">
        <v>18</v>
      </c>
      <c r="D195" s="1">
        <v>50</v>
      </c>
      <c r="E195" s="1" t="s">
        <v>18</v>
      </c>
      <c r="F195" s="1" t="s">
        <v>17</v>
      </c>
      <c r="G195" s="1">
        <v>1.07</v>
      </c>
      <c r="H195" s="1" t="s">
        <v>20</v>
      </c>
      <c r="I195" t="s">
        <v>52</v>
      </c>
      <c r="J195" t="s">
        <v>44</v>
      </c>
      <c r="K195" t="s">
        <v>45</v>
      </c>
      <c r="L195" t="s">
        <v>46</v>
      </c>
      <c r="M195" t="str">
        <f t="shared" ref="M195:M258" si="11">L195&amp;"-"&amp;IF(OR(C195="A",C195="B",C195="C",C195="D"),"copy1",IF(OR(C195="E",C195="F",C195="G",C195="H"),"copy2",""))</f>
        <v>non-charge-altering-copy2</v>
      </c>
      <c r="N195" t="str">
        <f t="shared" si="9"/>
        <v>3tu4</v>
      </c>
      <c r="O195" t="s">
        <v>33</v>
      </c>
      <c r="P195" t="str">
        <f t="shared" si="10"/>
        <v>H3 E50D</v>
      </c>
    </row>
    <row r="196" spans="1:16">
      <c r="A196" s="1" t="s">
        <v>15</v>
      </c>
      <c r="B196" s="1" t="s">
        <v>16</v>
      </c>
      <c r="C196" s="1" t="s">
        <v>17</v>
      </c>
      <c r="D196" s="1">
        <v>99</v>
      </c>
      <c r="E196" s="1" t="s">
        <v>28</v>
      </c>
      <c r="F196" s="1" t="s">
        <v>42</v>
      </c>
      <c r="G196" s="1">
        <v>1.02</v>
      </c>
      <c r="H196" s="1" t="s">
        <v>20</v>
      </c>
      <c r="I196" t="s">
        <v>43</v>
      </c>
      <c r="J196" t="s">
        <v>44</v>
      </c>
      <c r="K196" t="s">
        <v>45</v>
      </c>
      <c r="L196" t="s">
        <v>46</v>
      </c>
      <c r="M196" t="str">
        <f t="shared" si="11"/>
        <v>non-charge-altering-copy1</v>
      </c>
      <c r="N196" t="str">
        <f t="shared" si="9"/>
        <v>3tu4</v>
      </c>
      <c r="O196" t="s">
        <v>25</v>
      </c>
      <c r="P196" t="str">
        <f t="shared" si="10"/>
        <v>H2B L99V</v>
      </c>
    </row>
    <row r="197" spans="1:16">
      <c r="A197" s="1" t="s">
        <v>15</v>
      </c>
      <c r="B197" s="1" t="s">
        <v>16</v>
      </c>
      <c r="C197" s="1" t="s">
        <v>17</v>
      </c>
      <c r="D197" s="1">
        <v>100</v>
      </c>
      <c r="E197" s="1" t="s">
        <v>51</v>
      </c>
      <c r="F197" s="1" t="s">
        <v>48</v>
      </c>
      <c r="G197" s="1">
        <v>0.72</v>
      </c>
      <c r="H197" s="1" t="s">
        <v>20</v>
      </c>
      <c r="I197" t="s">
        <v>43</v>
      </c>
      <c r="J197" t="s">
        <v>44</v>
      </c>
      <c r="K197" t="s">
        <v>45</v>
      </c>
      <c r="L197" t="s">
        <v>46</v>
      </c>
      <c r="M197" t="str">
        <f t="shared" si="11"/>
        <v>non-charge-altering-copy1</v>
      </c>
      <c r="N197" t="str">
        <f t="shared" si="9"/>
        <v>3tu4</v>
      </c>
      <c r="O197" t="s">
        <v>25</v>
      </c>
      <c r="P197" t="str">
        <f t="shared" si="10"/>
        <v>H2B P100S</v>
      </c>
    </row>
    <row r="198" spans="1:16">
      <c r="A198" s="1" t="s">
        <v>15</v>
      </c>
      <c r="B198" s="1" t="s">
        <v>16</v>
      </c>
      <c r="C198" s="1" t="s">
        <v>17</v>
      </c>
      <c r="D198" s="1">
        <v>100</v>
      </c>
      <c r="E198" s="1" t="s">
        <v>51</v>
      </c>
      <c r="F198" s="1" t="s">
        <v>47</v>
      </c>
      <c r="G198" s="1">
        <v>0.43</v>
      </c>
      <c r="H198" s="1" t="s">
        <v>20</v>
      </c>
      <c r="I198" t="s">
        <v>43</v>
      </c>
      <c r="J198" t="s">
        <v>44</v>
      </c>
      <c r="K198" t="s">
        <v>45</v>
      </c>
      <c r="L198" t="s">
        <v>46</v>
      </c>
      <c r="M198" t="str">
        <f t="shared" si="11"/>
        <v>non-charge-altering-copy1</v>
      </c>
      <c r="N198" t="str">
        <f t="shared" si="9"/>
        <v>3tu4</v>
      </c>
      <c r="O198" t="s">
        <v>25</v>
      </c>
      <c r="P198" t="str">
        <f t="shared" si="10"/>
        <v>H2B P100T</v>
      </c>
    </row>
    <row r="199" spans="1:16">
      <c r="A199" s="1" t="s">
        <v>15</v>
      </c>
      <c r="B199" s="1" t="s">
        <v>16</v>
      </c>
      <c r="C199" s="1" t="s">
        <v>17</v>
      </c>
      <c r="D199" s="1">
        <v>101</v>
      </c>
      <c r="E199" s="1" t="s">
        <v>41</v>
      </c>
      <c r="F199" s="1" t="s">
        <v>61</v>
      </c>
      <c r="G199" s="1">
        <v>0.45</v>
      </c>
      <c r="H199" s="1" t="s">
        <v>20</v>
      </c>
      <c r="I199" t="s">
        <v>43</v>
      </c>
      <c r="J199" t="s">
        <v>44</v>
      </c>
      <c r="K199" t="s">
        <v>45</v>
      </c>
      <c r="L199" t="s">
        <v>46</v>
      </c>
      <c r="M199" t="str">
        <f t="shared" si="11"/>
        <v>non-charge-altering-copy1</v>
      </c>
      <c r="N199" t="str">
        <f t="shared" si="9"/>
        <v>3tu4</v>
      </c>
      <c r="O199" t="s">
        <v>25</v>
      </c>
      <c r="P199" t="str">
        <f t="shared" si="10"/>
        <v>H2B G101W</v>
      </c>
    </row>
    <row r="200" spans="1:16">
      <c r="A200" s="1" t="s">
        <v>15</v>
      </c>
      <c r="B200" s="1" t="s">
        <v>16</v>
      </c>
      <c r="C200" s="1" t="s">
        <v>17</v>
      </c>
      <c r="D200" s="1">
        <v>103</v>
      </c>
      <c r="E200" s="1" t="s">
        <v>28</v>
      </c>
      <c r="F200" s="1" t="s">
        <v>42</v>
      </c>
      <c r="G200" s="1">
        <v>1.43</v>
      </c>
      <c r="H200" s="1" t="s">
        <v>20</v>
      </c>
      <c r="I200" t="s">
        <v>43</v>
      </c>
      <c r="J200" t="s">
        <v>44</v>
      </c>
      <c r="K200" t="s">
        <v>45</v>
      </c>
      <c r="L200" t="s">
        <v>46</v>
      </c>
      <c r="M200" t="str">
        <f t="shared" si="11"/>
        <v>non-charge-altering-copy1</v>
      </c>
      <c r="N200" t="str">
        <f t="shared" si="9"/>
        <v>3tu4</v>
      </c>
      <c r="O200" t="s">
        <v>25</v>
      </c>
      <c r="P200" t="str">
        <f t="shared" si="10"/>
        <v>H2B L103V</v>
      </c>
    </row>
    <row r="201" spans="1:16">
      <c r="A201" s="1" t="s">
        <v>15</v>
      </c>
      <c r="B201" s="1" t="s">
        <v>16</v>
      </c>
      <c r="C201" s="1" t="s">
        <v>17</v>
      </c>
      <c r="D201" s="1">
        <v>112</v>
      </c>
      <c r="E201" s="1" t="s">
        <v>47</v>
      </c>
      <c r="F201" s="1" t="s">
        <v>48</v>
      </c>
      <c r="G201" s="1">
        <v>1.11</v>
      </c>
      <c r="H201" s="1" t="s">
        <v>20</v>
      </c>
      <c r="I201" t="s">
        <v>43</v>
      </c>
      <c r="J201" t="s">
        <v>44</v>
      </c>
      <c r="K201" t="s">
        <v>45</v>
      </c>
      <c r="L201" t="s">
        <v>46</v>
      </c>
      <c r="M201" t="str">
        <f t="shared" si="11"/>
        <v>non-charge-altering-copy1</v>
      </c>
      <c r="N201" t="str">
        <f t="shared" si="9"/>
        <v>3tu4</v>
      </c>
      <c r="O201" t="s">
        <v>25</v>
      </c>
      <c r="P201" t="str">
        <f t="shared" si="10"/>
        <v>H2B T112S</v>
      </c>
    </row>
    <row r="202" spans="1:16">
      <c r="A202" s="1" t="s">
        <v>15</v>
      </c>
      <c r="B202" s="1" t="s">
        <v>16</v>
      </c>
      <c r="C202" s="1" t="s">
        <v>17</v>
      </c>
      <c r="D202" s="1">
        <v>33</v>
      </c>
      <c r="E202" s="1" t="s">
        <v>48</v>
      </c>
      <c r="F202" s="1" t="s">
        <v>34</v>
      </c>
      <c r="G202" s="1">
        <v>0.16</v>
      </c>
      <c r="H202" s="1" t="s">
        <v>20</v>
      </c>
      <c r="I202" t="s">
        <v>43</v>
      </c>
      <c r="J202" t="s">
        <v>44</v>
      </c>
      <c r="K202" t="s">
        <v>45</v>
      </c>
      <c r="L202" t="s">
        <v>46</v>
      </c>
      <c r="M202" t="str">
        <f t="shared" si="11"/>
        <v>non-charge-altering-copy1</v>
      </c>
      <c r="N202" t="str">
        <f t="shared" si="9"/>
        <v>3tu4</v>
      </c>
      <c r="O202" t="s">
        <v>25</v>
      </c>
      <c r="P202" t="str">
        <f t="shared" si="10"/>
        <v>H2B S33N</v>
      </c>
    </row>
    <row r="203" spans="1:16">
      <c r="A203" s="1" t="s">
        <v>15</v>
      </c>
      <c r="B203" s="1" t="s">
        <v>16</v>
      </c>
      <c r="C203" s="1" t="s">
        <v>17</v>
      </c>
      <c r="D203" s="1">
        <v>50</v>
      </c>
      <c r="E203" s="1" t="s">
        <v>41</v>
      </c>
      <c r="F203" s="1" t="s">
        <v>32</v>
      </c>
      <c r="G203" s="1">
        <v>0.57</v>
      </c>
      <c r="H203" s="1" t="s">
        <v>20</v>
      </c>
      <c r="I203" t="s">
        <v>43</v>
      </c>
      <c r="J203" t="s">
        <v>44</v>
      </c>
      <c r="K203" t="s">
        <v>45</v>
      </c>
      <c r="L203" t="s">
        <v>46</v>
      </c>
      <c r="M203" t="str">
        <f t="shared" si="11"/>
        <v>non-charge-altering-copy1</v>
      </c>
      <c r="N203" t="str">
        <f t="shared" si="9"/>
        <v>3tu4</v>
      </c>
      <c r="O203" t="s">
        <v>25</v>
      </c>
      <c r="P203" t="str">
        <f t="shared" si="10"/>
        <v>H2B G50A</v>
      </c>
    </row>
    <row r="204" spans="1:16">
      <c r="A204" s="1" t="s">
        <v>15</v>
      </c>
      <c r="B204" s="1" t="s">
        <v>16</v>
      </c>
      <c r="C204" s="1" t="s">
        <v>17</v>
      </c>
      <c r="D204" s="1">
        <v>50</v>
      </c>
      <c r="E204" s="1" t="s">
        <v>41</v>
      </c>
      <c r="F204" s="1" t="s">
        <v>39</v>
      </c>
      <c r="G204" s="1">
        <v>0.24</v>
      </c>
      <c r="H204" s="1" t="s">
        <v>20</v>
      </c>
      <c r="I204" t="s">
        <v>43</v>
      </c>
      <c r="J204" t="s">
        <v>44</v>
      </c>
      <c r="K204" t="s">
        <v>45</v>
      </c>
      <c r="L204" t="s">
        <v>46</v>
      </c>
      <c r="M204" t="str">
        <f t="shared" si="11"/>
        <v>non-charge-altering-copy1</v>
      </c>
      <c r="N204" t="str">
        <f t="shared" si="9"/>
        <v>3tu4</v>
      </c>
      <c r="O204" t="s">
        <v>25</v>
      </c>
      <c r="P204" t="str">
        <f t="shared" si="10"/>
        <v>H2B G50C</v>
      </c>
    </row>
    <row r="205" spans="1:16">
      <c r="A205" s="1" t="s">
        <v>15</v>
      </c>
      <c r="B205" s="1" t="s">
        <v>16</v>
      </c>
      <c r="C205" s="1" t="s">
        <v>17</v>
      </c>
      <c r="D205" s="1">
        <v>52</v>
      </c>
      <c r="E205" s="1" t="s">
        <v>48</v>
      </c>
      <c r="F205" s="1" t="s">
        <v>28</v>
      </c>
      <c r="G205" s="1">
        <v>0.33</v>
      </c>
      <c r="H205" s="1" t="s">
        <v>20</v>
      </c>
      <c r="I205" t="s">
        <v>43</v>
      </c>
      <c r="J205" t="s">
        <v>44</v>
      </c>
      <c r="K205" t="s">
        <v>45</v>
      </c>
      <c r="L205" t="s">
        <v>46</v>
      </c>
      <c r="M205" t="str">
        <f t="shared" si="11"/>
        <v>non-charge-altering-copy1</v>
      </c>
      <c r="N205" t="str">
        <f t="shared" si="9"/>
        <v>3tu4</v>
      </c>
      <c r="O205" t="s">
        <v>25</v>
      </c>
      <c r="P205" t="str">
        <f t="shared" si="10"/>
        <v>H2B S52L</v>
      </c>
    </row>
    <row r="206" spans="1:16">
      <c r="A206" s="1" t="s">
        <v>15</v>
      </c>
      <c r="B206" s="1" t="s">
        <v>16</v>
      </c>
      <c r="C206" s="1" t="s">
        <v>17</v>
      </c>
      <c r="D206" s="1">
        <v>59</v>
      </c>
      <c r="E206" s="1" t="s">
        <v>53</v>
      </c>
      <c r="F206" s="1" t="s">
        <v>62</v>
      </c>
      <c r="G206" s="1">
        <v>1.24</v>
      </c>
      <c r="H206" s="1" t="s">
        <v>20</v>
      </c>
      <c r="I206" t="s">
        <v>43</v>
      </c>
      <c r="J206" t="s">
        <v>44</v>
      </c>
      <c r="K206" t="s">
        <v>45</v>
      </c>
      <c r="L206" t="s">
        <v>46</v>
      </c>
      <c r="M206" t="str">
        <f t="shared" si="11"/>
        <v>non-charge-altering-copy1</v>
      </c>
      <c r="N206" t="str">
        <f t="shared" si="9"/>
        <v>3tu4</v>
      </c>
      <c r="O206" t="s">
        <v>25</v>
      </c>
      <c r="P206" t="str">
        <f t="shared" si="10"/>
        <v>H2B M59I</v>
      </c>
    </row>
    <row r="207" spans="1:16">
      <c r="A207" s="1" t="s">
        <v>15</v>
      </c>
      <c r="B207" s="1" t="s">
        <v>16</v>
      </c>
      <c r="C207" s="1" t="s">
        <v>17</v>
      </c>
      <c r="D207" s="1">
        <v>62</v>
      </c>
      <c r="E207" s="1" t="s">
        <v>31</v>
      </c>
      <c r="F207" s="1" t="s">
        <v>39</v>
      </c>
      <c r="G207" s="1">
        <v>1.78</v>
      </c>
      <c r="H207" s="1" t="s">
        <v>20</v>
      </c>
      <c r="I207" t="s">
        <v>43</v>
      </c>
      <c r="J207" t="s">
        <v>44</v>
      </c>
      <c r="K207" t="s">
        <v>45</v>
      </c>
      <c r="L207" t="s">
        <v>46</v>
      </c>
      <c r="M207" t="str">
        <f t="shared" si="11"/>
        <v>non-charge-altering-copy1</v>
      </c>
      <c r="N207" t="str">
        <f t="shared" si="9"/>
        <v>3tu4</v>
      </c>
      <c r="O207" t="s">
        <v>25</v>
      </c>
      <c r="P207" t="str">
        <f t="shared" si="10"/>
        <v>H2B F62C</v>
      </c>
    </row>
    <row r="208" spans="1:16">
      <c r="A208" s="1" t="s">
        <v>15</v>
      </c>
      <c r="B208" s="1" t="s">
        <v>16</v>
      </c>
      <c r="C208" s="1" t="s">
        <v>17</v>
      </c>
      <c r="D208" s="1">
        <v>67</v>
      </c>
      <c r="E208" s="1" t="s">
        <v>31</v>
      </c>
      <c r="F208" s="1" t="s">
        <v>28</v>
      </c>
      <c r="G208" s="1">
        <v>1.68</v>
      </c>
      <c r="H208" s="1" t="s">
        <v>20</v>
      </c>
      <c r="I208" t="s">
        <v>43</v>
      </c>
      <c r="J208" t="s">
        <v>44</v>
      </c>
      <c r="K208" t="s">
        <v>45</v>
      </c>
      <c r="L208" t="s">
        <v>46</v>
      </c>
      <c r="M208" t="str">
        <f t="shared" si="11"/>
        <v>non-charge-altering-copy1</v>
      </c>
      <c r="N208" t="str">
        <f t="shared" si="9"/>
        <v>3tu4</v>
      </c>
      <c r="O208" t="s">
        <v>25</v>
      </c>
      <c r="P208" t="str">
        <f t="shared" si="10"/>
        <v>H2B F67L</v>
      </c>
    </row>
    <row r="209" spans="1:16">
      <c r="A209" s="1" t="s">
        <v>15</v>
      </c>
      <c r="B209" s="1" t="s">
        <v>16</v>
      </c>
      <c r="C209" s="1" t="s">
        <v>17</v>
      </c>
      <c r="D209" s="1">
        <v>84</v>
      </c>
      <c r="E209" s="1" t="s">
        <v>48</v>
      </c>
      <c r="F209" s="1" t="s">
        <v>61</v>
      </c>
      <c r="G209" s="1">
        <v>0.25</v>
      </c>
      <c r="H209" s="1" t="s">
        <v>20</v>
      </c>
      <c r="I209" t="s">
        <v>43</v>
      </c>
      <c r="J209" t="s">
        <v>44</v>
      </c>
      <c r="K209" t="s">
        <v>45</v>
      </c>
      <c r="L209" t="s">
        <v>46</v>
      </c>
      <c r="M209" t="str">
        <f t="shared" si="11"/>
        <v>non-charge-altering-copy1</v>
      </c>
      <c r="N209" t="str">
        <f t="shared" si="9"/>
        <v>3tu4</v>
      </c>
      <c r="O209" t="s">
        <v>25</v>
      </c>
      <c r="P209" t="str">
        <f t="shared" si="10"/>
        <v>H2B S84W</v>
      </c>
    </row>
    <row r="210" spans="1:16">
      <c r="A210" s="1" t="s">
        <v>15</v>
      </c>
      <c r="B210" s="1" t="s">
        <v>16</v>
      </c>
      <c r="C210" s="1" t="s">
        <v>17</v>
      </c>
      <c r="D210" s="1">
        <v>85</v>
      </c>
      <c r="E210" s="1" t="s">
        <v>47</v>
      </c>
      <c r="F210" s="1" t="s">
        <v>62</v>
      </c>
      <c r="G210" s="1">
        <v>0.64</v>
      </c>
      <c r="H210" s="1" t="s">
        <v>20</v>
      </c>
      <c r="I210" t="s">
        <v>43</v>
      </c>
      <c r="J210" t="s">
        <v>44</v>
      </c>
      <c r="K210" t="s">
        <v>45</v>
      </c>
      <c r="L210" t="s">
        <v>46</v>
      </c>
      <c r="M210" t="str">
        <f t="shared" si="11"/>
        <v>non-charge-altering-copy1</v>
      </c>
      <c r="N210" t="str">
        <f t="shared" si="9"/>
        <v>3tu4</v>
      </c>
      <c r="O210" t="s">
        <v>25</v>
      </c>
      <c r="P210" t="str">
        <f t="shared" si="10"/>
        <v>H2B T85I</v>
      </c>
    </row>
    <row r="211" spans="1:16">
      <c r="A211" s="1" t="s">
        <v>15</v>
      </c>
      <c r="B211" s="1" t="s">
        <v>16</v>
      </c>
      <c r="C211" s="1" t="s">
        <v>17</v>
      </c>
      <c r="D211" s="1">
        <v>86</v>
      </c>
      <c r="E211" s="1" t="s">
        <v>62</v>
      </c>
      <c r="F211" s="1" t="s">
        <v>47</v>
      </c>
      <c r="G211" s="1">
        <v>0.26</v>
      </c>
      <c r="H211" s="1" t="s">
        <v>20</v>
      </c>
      <c r="I211" t="s">
        <v>43</v>
      </c>
      <c r="J211" t="s">
        <v>44</v>
      </c>
      <c r="K211" t="s">
        <v>45</v>
      </c>
      <c r="L211" t="s">
        <v>46</v>
      </c>
      <c r="M211" t="str">
        <f t="shared" si="11"/>
        <v>non-charge-altering-copy1</v>
      </c>
      <c r="N211" t="str">
        <f t="shared" si="9"/>
        <v>3tu4</v>
      </c>
      <c r="O211" t="s">
        <v>25</v>
      </c>
      <c r="P211" t="str">
        <f t="shared" si="10"/>
        <v>H2B I86T</v>
      </c>
    </row>
    <row r="212" spans="1:16">
      <c r="A212" s="1" t="s">
        <v>15</v>
      </c>
      <c r="B212" s="1" t="s">
        <v>16</v>
      </c>
      <c r="C212" s="1" t="s">
        <v>17</v>
      </c>
      <c r="D212" s="1">
        <v>95</v>
      </c>
      <c r="E212" s="1" t="s">
        <v>42</v>
      </c>
      <c r="F212" s="1" t="s">
        <v>28</v>
      </c>
      <c r="G212" s="1">
        <v>0.22</v>
      </c>
      <c r="H212" s="1" t="s">
        <v>20</v>
      </c>
      <c r="I212" t="s">
        <v>43</v>
      </c>
      <c r="J212" t="s">
        <v>44</v>
      </c>
      <c r="K212" t="s">
        <v>45</v>
      </c>
      <c r="L212" t="s">
        <v>46</v>
      </c>
      <c r="M212" t="str">
        <f t="shared" si="11"/>
        <v>non-charge-altering-copy1</v>
      </c>
      <c r="N212" t="str">
        <f t="shared" si="9"/>
        <v>3tu4</v>
      </c>
      <c r="O212" t="s">
        <v>25</v>
      </c>
      <c r="P212" t="str">
        <f t="shared" si="10"/>
        <v>H2B V95L</v>
      </c>
    </row>
    <row r="213" spans="1:16">
      <c r="A213" s="1" t="s">
        <v>15</v>
      </c>
      <c r="B213" s="1" t="s">
        <v>16</v>
      </c>
      <c r="C213" s="1" t="s">
        <v>26</v>
      </c>
      <c r="D213" s="1">
        <v>99</v>
      </c>
      <c r="E213" s="1" t="s">
        <v>28</v>
      </c>
      <c r="F213" s="1" t="s">
        <v>42</v>
      </c>
      <c r="G213" s="1">
        <v>1.02</v>
      </c>
      <c r="H213" s="1" t="s">
        <v>20</v>
      </c>
      <c r="I213" t="s">
        <v>43</v>
      </c>
      <c r="J213" t="s">
        <v>44</v>
      </c>
      <c r="K213" t="s">
        <v>45</v>
      </c>
      <c r="L213" t="s">
        <v>46</v>
      </c>
      <c r="M213" t="str">
        <f t="shared" si="11"/>
        <v>non-charge-altering-copy2</v>
      </c>
      <c r="N213" t="str">
        <f t="shared" si="9"/>
        <v>3tu4</v>
      </c>
      <c r="O213" t="s">
        <v>25</v>
      </c>
      <c r="P213" t="str">
        <f t="shared" si="10"/>
        <v>H2B L99V</v>
      </c>
    </row>
    <row r="214" spans="1:16">
      <c r="A214" s="1" t="s">
        <v>15</v>
      </c>
      <c r="B214" s="1" t="s">
        <v>16</v>
      </c>
      <c r="C214" s="1" t="s">
        <v>26</v>
      </c>
      <c r="D214" s="1">
        <v>100</v>
      </c>
      <c r="E214" s="1" t="s">
        <v>51</v>
      </c>
      <c r="F214" s="1" t="s">
        <v>48</v>
      </c>
      <c r="G214" s="1">
        <v>0.72</v>
      </c>
      <c r="H214" s="1" t="s">
        <v>20</v>
      </c>
      <c r="I214" t="s">
        <v>43</v>
      </c>
      <c r="J214" t="s">
        <v>44</v>
      </c>
      <c r="K214" t="s">
        <v>45</v>
      </c>
      <c r="L214" t="s">
        <v>46</v>
      </c>
      <c r="M214" t="str">
        <f t="shared" si="11"/>
        <v>non-charge-altering-copy2</v>
      </c>
      <c r="N214" t="str">
        <f t="shared" si="9"/>
        <v>3tu4</v>
      </c>
      <c r="O214" t="s">
        <v>25</v>
      </c>
      <c r="P214" t="str">
        <f t="shared" si="10"/>
        <v>H2B P100S</v>
      </c>
    </row>
    <row r="215" spans="1:16">
      <c r="A215" s="1" t="s">
        <v>15</v>
      </c>
      <c r="B215" s="1" t="s">
        <v>16</v>
      </c>
      <c r="C215" s="1" t="s">
        <v>26</v>
      </c>
      <c r="D215" s="1">
        <v>100</v>
      </c>
      <c r="E215" s="1" t="s">
        <v>51</v>
      </c>
      <c r="F215" s="1" t="s">
        <v>47</v>
      </c>
      <c r="G215" s="1">
        <v>0.43</v>
      </c>
      <c r="H215" s="1" t="s">
        <v>20</v>
      </c>
      <c r="I215" t="s">
        <v>43</v>
      </c>
      <c r="J215" t="s">
        <v>44</v>
      </c>
      <c r="K215" t="s">
        <v>45</v>
      </c>
      <c r="L215" t="s">
        <v>46</v>
      </c>
      <c r="M215" t="str">
        <f t="shared" si="11"/>
        <v>non-charge-altering-copy2</v>
      </c>
      <c r="N215" t="str">
        <f t="shared" si="9"/>
        <v>3tu4</v>
      </c>
      <c r="O215" t="s">
        <v>25</v>
      </c>
      <c r="P215" t="str">
        <f t="shared" si="10"/>
        <v>H2B P100T</v>
      </c>
    </row>
    <row r="216" spans="1:16">
      <c r="A216" s="1" t="s">
        <v>15</v>
      </c>
      <c r="B216" s="1" t="s">
        <v>16</v>
      </c>
      <c r="C216" s="1" t="s">
        <v>26</v>
      </c>
      <c r="D216" s="1">
        <v>101</v>
      </c>
      <c r="E216" s="1" t="s">
        <v>41</v>
      </c>
      <c r="F216" s="1" t="s">
        <v>61</v>
      </c>
      <c r="G216" s="1">
        <v>0.45</v>
      </c>
      <c r="H216" s="1" t="s">
        <v>20</v>
      </c>
      <c r="I216" t="s">
        <v>43</v>
      </c>
      <c r="J216" t="s">
        <v>44</v>
      </c>
      <c r="K216" t="s">
        <v>45</v>
      </c>
      <c r="L216" t="s">
        <v>46</v>
      </c>
      <c r="M216" t="str">
        <f t="shared" si="11"/>
        <v>non-charge-altering-copy2</v>
      </c>
      <c r="N216" t="str">
        <f t="shared" si="9"/>
        <v>3tu4</v>
      </c>
      <c r="O216" t="s">
        <v>25</v>
      </c>
      <c r="P216" t="str">
        <f t="shared" si="10"/>
        <v>H2B G101W</v>
      </c>
    </row>
    <row r="217" spans="1:16">
      <c r="A217" s="1" t="s">
        <v>15</v>
      </c>
      <c r="B217" s="1" t="s">
        <v>16</v>
      </c>
      <c r="C217" s="1" t="s">
        <v>26</v>
      </c>
      <c r="D217" s="1">
        <v>103</v>
      </c>
      <c r="E217" s="1" t="s">
        <v>28</v>
      </c>
      <c r="F217" s="1" t="s">
        <v>42</v>
      </c>
      <c r="G217" s="1">
        <v>1.43</v>
      </c>
      <c r="H217" s="1" t="s">
        <v>20</v>
      </c>
      <c r="I217" t="s">
        <v>43</v>
      </c>
      <c r="J217" t="s">
        <v>44</v>
      </c>
      <c r="K217" t="s">
        <v>45</v>
      </c>
      <c r="L217" t="s">
        <v>46</v>
      </c>
      <c r="M217" t="str">
        <f t="shared" si="11"/>
        <v>non-charge-altering-copy2</v>
      </c>
      <c r="N217" t="str">
        <f t="shared" si="9"/>
        <v>3tu4</v>
      </c>
      <c r="O217" t="s">
        <v>25</v>
      </c>
      <c r="P217" t="str">
        <f t="shared" si="10"/>
        <v>H2B L103V</v>
      </c>
    </row>
    <row r="218" spans="1:16">
      <c r="A218" s="1" t="s">
        <v>15</v>
      </c>
      <c r="B218" s="1" t="s">
        <v>16</v>
      </c>
      <c r="C218" s="1" t="s">
        <v>26</v>
      </c>
      <c r="D218" s="1">
        <v>112</v>
      </c>
      <c r="E218" s="1" t="s">
        <v>47</v>
      </c>
      <c r="F218" s="1" t="s">
        <v>48</v>
      </c>
      <c r="G218" s="1">
        <v>1.11</v>
      </c>
      <c r="H218" s="1" t="s">
        <v>20</v>
      </c>
      <c r="I218" t="s">
        <v>43</v>
      </c>
      <c r="J218" t="s">
        <v>44</v>
      </c>
      <c r="K218" t="s">
        <v>45</v>
      </c>
      <c r="L218" t="s">
        <v>46</v>
      </c>
      <c r="M218" t="str">
        <f t="shared" si="11"/>
        <v>non-charge-altering-copy2</v>
      </c>
      <c r="N218" t="str">
        <f t="shared" si="9"/>
        <v>3tu4</v>
      </c>
      <c r="O218" t="s">
        <v>25</v>
      </c>
      <c r="P218" t="str">
        <f t="shared" si="10"/>
        <v>H2B T112S</v>
      </c>
    </row>
    <row r="219" spans="1:16">
      <c r="A219" s="1" t="s">
        <v>15</v>
      </c>
      <c r="B219" s="1" t="s">
        <v>16</v>
      </c>
      <c r="C219" s="1" t="s">
        <v>26</v>
      </c>
      <c r="D219" s="1">
        <v>33</v>
      </c>
      <c r="E219" s="1" t="s">
        <v>48</v>
      </c>
      <c r="F219" s="1" t="s">
        <v>34</v>
      </c>
      <c r="G219" s="1">
        <v>0.29</v>
      </c>
      <c r="H219" s="1" t="s">
        <v>20</v>
      </c>
      <c r="I219" t="s">
        <v>43</v>
      </c>
      <c r="J219" t="s">
        <v>44</v>
      </c>
      <c r="K219" t="s">
        <v>45</v>
      </c>
      <c r="L219" t="s">
        <v>46</v>
      </c>
      <c r="M219" t="str">
        <f t="shared" si="11"/>
        <v>non-charge-altering-copy2</v>
      </c>
      <c r="N219" t="str">
        <f t="shared" si="9"/>
        <v>3tu4</v>
      </c>
      <c r="O219" t="s">
        <v>25</v>
      </c>
      <c r="P219" t="str">
        <f t="shared" si="10"/>
        <v>H2B S33N</v>
      </c>
    </row>
    <row r="220" spans="1:16">
      <c r="A220" s="1" t="s">
        <v>15</v>
      </c>
      <c r="B220" s="1" t="s">
        <v>16</v>
      </c>
      <c r="C220" s="1" t="s">
        <v>26</v>
      </c>
      <c r="D220" s="1">
        <v>50</v>
      </c>
      <c r="E220" s="1" t="s">
        <v>41</v>
      </c>
      <c r="F220" s="1" t="s">
        <v>32</v>
      </c>
      <c r="G220" s="1">
        <v>0.46</v>
      </c>
      <c r="H220" s="1" t="s">
        <v>20</v>
      </c>
      <c r="I220" t="s">
        <v>43</v>
      </c>
      <c r="J220" t="s">
        <v>44</v>
      </c>
      <c r="K220" t="s">
        <v>45</v>
      </c>
      <c r="L220" t="s">
        <v>46</v>
      </c>
      <c r="M220" t="str">
        <f t="shared" si="11"/>
        <v>non-charge-altering-copy2</v>
      </c>
      <c r="N220" t="str">
        <f t="shared" si="9"/>
        <v>3tu4</v>
      </c>
      <c r="O220" t="s">
        <v>25</v>
      </c>
      <c r="P220" t="str">
        <f t="shared" si="10"/>
        <v>H2B G50A</v>
      </c>
    </row>
    <row r="221" spans="1:16">
      <c r="A221" s="1" t="s">
        <v>15</v>
      </c>
      <c r="B221" s="1" t="s">
        <v>16</v>
      </c>
      <c r="C221" s="1" t="s">
        <v>26</v>
      </c>
      <c r="D221" s="1">
        <v>50</v>
      </c>
      <c r="E221" s="1" t="s">
        <v>41</v>
      </c>
      <c r="F221" s="1" t="s">
        <v>39</v>
      </c>
      <c r="G221" s="1">
        <v>0.23</v>
      </c>
      <c r="H221" s="1" t="s">
        <v>20</v>
      </c>
      <c r="I221" t="s">
        <v>43</v>
      </c>
      <c r="J221" t="s">
        <v>44</v>
      </c>
      <c r="K221" t="s">
        <v>45</v>
      </c>
      <c r="L221" t="s">
        <v>46</v>
      </c>
      <c r="M221" t="str">
        <f t="shared" si="11"/>
        <v>non-charge-altering-copy2</v>
      </c>
      <c r="N221" t="str">
        <f t="shared" si="9"/>
        <v>3tu4</v>
      </c>
      <c r="O221" t="s">
        <v>25</v>
      </c>
      <c r="P221" t="str">
        <f t="shared" si="10"/>
        <v>H2B G50C</v>
      </c>
    </row>
    <row r="222" spans="1:16">
      <c r="A222" s="1" t="s">
        <v>15</v>
      </c>
      <c r="B222" s="1" t="s">
        <v>16</v>
      </c>
      <c r="C222" s="1" t="s">
        <v>26</v>
      </c>
      <c r="D222" s="1">
        <v>52</v>
      </c>
      <c r="E222" s="1" t="s">
        <v>48</v>
      </c>
      <c r="F222" s="1" t="s">
        <v>28</v>
      </c>
      <c r="G222" s="1">
        <v>0.33</v>
      </c>
      <c r="H222" s="1" t="s">
        <v>20</v>
      </c>
      <c r="I222" t="s">
        <v>43</v>
      </c>
      <c r="J222" t="s">
        <v>44</v>
      </c>
      <c r="K222" t="s">
        <v>45</v>
      </c>
      <c r="L222" t="s">
        <v>46</v>
      </c>
      <c r="M222" t="str">
        <f t="shared" si="11"/>
        <v>non-charge-altering-copy2</v>
      </c>
      <c r="N222" t="str">
        <f t="shared" si="9"/>
        <v>3tu4</v>
      </c>
      <c r="O222" t="s">
        <v>25</v>
      </c>
      <c r="P222" t="str">
        <f t="shared" si="10"/>
        <v>H2B S52L</v>
      </c>
    </row>
    <row r="223" spans="1:16">
      <c r="A223" s="1" t="s">
        <v>15</v>
      </c>
      <c r="B223" s="1" t="s">
        <v>16</v>
      </c>
      <c r="C223" s="1" t="s">
        <v>26</v>
      </c>
      <c r="D223" s="1">
        <v>59</v>
      </c>
      <c r="E223" s="1" t="s">
        <v>53</v>
      </c>
      <c r="F223" s="1" t="s">
        <v>62</v>
      </c>
      <c r="G223" s="1">
        <v>1.24</v>
      </c>
      <c r="H223" s="1" t="s">
        <v>20</v>
      </c>
      <c r="I223" t="s">
        <v>43</v>
      </c>
      <c r="J223" t="s">
        <v>44</v>
      </c>
      <c r="K223" t="s">
        <v>45</v>
      </c>
      <c r="L223" t="s">
        <v>46</v>
      </c>
      <c r="M223" t="str">
        <f t="shared" si="11"/>
        <v>non-charge-altering-copy2</v>
      </c>
      <c r="N223" t="str">
        <f t="shared" si="9"/>
        <v>3tu4</v>
      </c>
      <c r="O223" t="s">
        <v>25</v>
      </c>
      <c r="P223" t="str">
        <f t="shared" si="10"/>
        <v>H2B M59I</v>
      </c>
    </row>
    <row r="224" spans="1:16">
      <c r="A224" s="1" t="s">
        <v>15</v>
      </c>
      <c r="B224" s="1" t="s">
        <v>16</v>
      </c>
      <c r="C224" s="1" t="s">
        <v>26</v>
      </c>
      <c r="D224" s="1">
        <v>62</v>
      </c>
      <c r="E224" s="1" t="s">
        <v>31</v>
      </c>
      <c r="F224" s="1" t="s">
        <v>39</v>
      </c>
      <c r="G224" s="1">
        <v>1.67</v>
      </c>
      <c r="H224" s="1" t="s">
        <v>20</v>
      </c>
      <c r="I224" t="s">
        <v>43</v>
      </c>
      <c r="J224" t="s">
        <v>44</v>
      </c>
      <c r="K224" t="s">
        <v>45</v>
      </c>
      <c r="L224" t="s">
        <v>46</v>
      </c>
      <c r="M224" t="str">
        <f t="shared" si="11"/>
        <v>non-charge-altering-copy2</v>
      </c>
      <c r="N224" t="str">
        <f t="shared" si="9"/>
        <v>3tu4</v>
      </c>
      <c r="O224" t="s">
        <v>25</v>
      </c>
      <c r="P224" t="str">
        <f t="shared" si="10"/>
        <v>H2B F62C</v>
      </c>
    </row>
    <row r="225" spans="1:16">
      <c r="A225" s="1" t="s">
        <v>15</v>
      </c>
      <c r="B225" s="1" t="s">
        <v>16</v>
      </c>
      <c r="C225" s="1" t="s">
        <v>26</v>
      </c>
      <c r="D225" s="1">
        <v>67</v>
      </c>
      <c r="E225" s="1" t="s">
        <v>31</v>
      </c>
      <c r="F225" s="1" t="s">
        <v>28</v>
      </c>
      <c r="G225" s="1">
        <v>1.68</v>
      </c>
      <c r="H225" s="1" t="s">
        <v>20</v>
      </c>
      <c r="I225" t="s">
        <v>43</v>
      </c>
      <c r="J225" t="s">
        <v>44</v>
      </c>
      <c r="K225" t="s">
        <v>45</v>
      </c>
      <c r="L225" t="s">
        <v>46</v>
      </c>
      <c r="M225" t="str">
        <f t="shared" si="11"/>
        <v>non-charge-altering-copy2</v>
      </c>
      <c r="N225" t="str">
        <f t="shared" si="9"/>
        <v>3tu4</v>
      </c>
      <c r="O225" t="s">
        <v>25</v>
      </c>
      <c r="P225" t="str">
        <f t="shared" si="10"/>
        <v>H2B F67L</v>
      </c>
    </row>
    <row r="226" spans="1:16">
      <c r="A226" s="1" t="s">
        <v>15</v>
      </c>
      <c r="B226" s="1" t="s">
        <v>16</v>
      </c>
      <c r="C226" s="1" t="s">
        <v>26</v>
      </c>
      <c r="D226" s="1">
        <v>84</v>
      </c>
      <c r="E226" s="1" t="s">
        <v>48</v>
      </c>
      <c r="F226" s="1" t="s">
        <v>61</v>
      </c>
      <c r="G226" s="1">
        <v>0.21</v>
      </c>
      <c r="H226" s="1" t="s">
        <v>20</v>
      </c>
      <c r="I226" t="s">
        <v>43</v>
      </c>
      <c r="J226" t="s">
        <v>44</v>
      </c>
      <c r="K226" t="s">
        <v>45</v>
      </c>
      <c r="L226" t="s">
        <v>46</v>
      </c>
      <c r="M226" t="str">
        <f t="shared" si="11"/>
        <v>non-charge-altering-copy2</v>
      </c>
      <c r="N226" t="str">
        <f t="shared" si="9"/>
        <v>3tu4</v>
      </c>
      <c r="O226" t="s">
        <v>25</v>
      </c>
      <c r="P226" t="str">
        <f t="shared" si="10"/>
        <v>H2B S84W</v>
      </c>
    </row>
    <row r="227" spans="1:16">
      <c r="A227" s="1" t="s">
        <v>15</v>
      </c>
      <c r="B227" s="1" t="s">
        <v>16</v>
      </c>
      <c r="C227" s="1" t="s">
        <v>26</v>
      </c>
      <c r="D227" s="1">
        <v>85</v>
      </c>
      <c r="E227" s="1" t="s">
        <v>47</v>
      </c>
      <c r="F227" s="1" t="s">
        <v>62</v>
      </c>
      <c r="G227" s="1">
        <v>0.64</v>
      </c>
      <c r="H227" s="1" t="s">
        <v>20</v>
      </c>
      <c r="I227" t="s">
        <v>43</v>
      </c>
      <c r="J227" t="s">
        <v>44</v>
      </c>
      <c r="K227" t="s">
        <v>45</v>
      </c>
      <c r="L227" t="s">
        <v>46</v>
      </c>
      <c r="M227" t="str">
        <f t="shared" si="11"/>
        <v>non-charge-altering-copy2</v>
      </c>
      <c r="N227" t="str">
        <f t="shared" si="9"/>
        <v>3tu4</v>
      </c>
      <c r="O227" t="s">
        <v>25</v>
      </c>
      <c r="P227" t="str">
        <f t="shared" si="10"/>
        <v>H2B T85I</v>
      </c>
    </row>
    <row r="228" spans="1:16">
      <c r="A228" s="1" t="s">
        <v>15</v>
      </c>
      <c r="B228" s="1" t="s">
        <v>16</v>
      </c>
      <c r="C228" s="1" t="s">
        <v>26</v>
      </c>
      <c r="D228" s="1">
        <v>86</v>
      </c>
      <c r="E228" s="1" t="s">
        <v>62</v>
      </c>
      <c r="F228" s="1" t="s">
        <v>47</v>
      </c>
      <c r="G228" s="1">
        <v>0.26</v>
      </c>
      <c r="H228" s="1" t="s">
        <v>20</v>
      </c>
      <c r="I228" t="s">
        <v>43</v>
      </c>
      <c r="J228" t="s">
        <v>44</v>
      </c>
      <c r="K228" t="s">
        <v>45</v>
      </c>
      <c r="L228" t="s">
        <v>46</v>
      </c>
      <c r="M228" t="str">
        <f t="shared" si="11"/>
        <v>non-charge-altering-copy2</v>
      </c>
      <c r="N228" t="str">
        <f t="shared" si="9"/>
        <v>3tu4</v>
      </c>
      <c r="O228" t="s">
        <v>25</v>
      </c>
      <c r="P228" t="str">
        <f t="shared" si="10"/>
        <v>H2B I86T</v>
      </c>
    </row>
    <row r="229" spans="1:16">
      <c r="A229" s="1" t="s">
        <v>15</v>
      </c>
      <c r="B229" s="1" t="s">
        <v>16</v>
      </c>
      <c r="C229" s="1" t="s">
        <v>26</v>
      </c>
      <c r="D229" s="1">
        <v>95</v>
      </c>
      <c r="E229" s="1" t="s">
        <v>42</v>
      </c>
      <c r="F229" s="1" t="s">
        <v>28</v>
      </c>
      <c r="G229" s="1">
        <v>0.22</v>
      </c>
      <c r="H229" s="1" t="s">
        <v>20</v>
      </c>
      <c r="I229" t="s">
        <v>43</v>
      </c>
      <c r="J229" t="s">
        <v>44</v>
      </c>
      <c r="K229" t="s">
        <v>45</v>
      </c>
      <c r="L229" t="s">
        <v>46</v>
      </c>
      <c r="M229" t="str">
        <f t="shared" si="11"/>
        <v>non-charge-altering-copy2</v>
      </c>
      <c r="N229" t="str">
        <f t="shared" si="9"/>
        <v>3tu4</v>
      </c>
      <c r="O229" t="s">
        <v>25</v>
      </c>
      <c r="P229" t="str">
        <f t="shared" si="10"/>
        <v>H2B V95L</v>
      </c>
    </row>
    <row r="230" spans="1:16">
      <c r="A230" s="1" t="s">
        <v>15</v>
      </c>
      <c r="B230" s="1" t="s">
        <v>16</v>
      </c>
      <c r="C230" s="1" t="s">
        <v>39</v>
      </c>
      <c r="D230" s="1">
        <v>103</v>
      </c>
      <c r="E230" s="1" t="s">
        <v>32</v>
      </c>
      <c r="F230" s="1" t="s">
        <v>51</v>
      </c>
      <c r="G230" s="1">
        <v>1.18</v>
      </c>
      <c r="H230" s="1" t="s">
        <v>20</v>
      </c>
      <c r="I230" t="s">
        <v>43</v>
      </c>
      <c r="J230" t="s">
        <v>44</v>
      </c>
      <c r="K230" t="s">
        <v>45</v>
      </c>
      <c r="L230" t="s">
        <v>46</v>
      </c>
      <c r="M230" t="str">
        <f t="shared" si="11"/>
        <v>non-charge-altering-copy1</v>
      </c>
      <c r="N230" t="str">
        <f t="shared" si="9"/>
        <v>3tu4</v>
      </c>
      <c r="O230" t="s">
        <v>40</v>
      </c>
      <c r="P230" t="str">
        <f t="shared" si="10"/>
        <v>H2A A103P</v>
      </c>
    </row>
    <row r="231" spans="1:16">
      <c r="A231" s="1" t="s">
        <v>15</v>
      </c>
      <c r="B231" s="1" t="s">
        <v>16</v>
      </c>
      <c r="C231" s="1" t="s">
        <v>39</v>
      </c>
      <c r="D231" s="1">
        <v>103</v>
      </c>
      <c r="E231" s="1" t="s">
        <v>32</v>
      </c>
      <c r="F231" s="1" t="s">
        <v>47</v>
      </c>
      <c r="G231" s="1">
        <v>0.6</v>
      </c>
      <c r="H231" s="1" t="s">
        <v>20</v>
      </c>
      <c r="I231" t="s">
        <v>43</v>
      </c>
      <c r="J231" t="s">
        <v>44</v>
      </c>
      <c r="K231" t="s">
        <v>45</v>
      </c>
      <c r="L231" t="s">
        <v>46</v>
      </c>
      <c r="M231" t="str">
        <f t="shared" si="11"/>
        <v>non-charge-altering-copy1</v>
      </c>
      <c r="N231" t="str">
        <f t="shared" si="9"/>
        <v>3tu4</v>
      </c>
      <c r="O231" t="s">
        <v>40</v>
      </c>
      <c r="P231" t="str">
        <f t="shared" si="10"/>
        <v>H2A A103T</v>
      </c>
    </row>
    <row r="232" spans="1:16">
      <c r="A232" s="1" t="s">
        <v>15</v>
      </c>
      <c r="B232" s="1" t="s">
        <v>16</v>
      </c>
      <c r="C232" s="1" t="s">
        <v>39</v>
      </c>
      <c r="D232" s="1">
        <v>104</v>
      </c>
      <c r="E232" s="1" t="s">
        <v>19</v>
      </c>
      <c r="F232" s="1" t="s">
        <v>51</v>
      </c>
      <c r="G232" s="1">
        <v>0.75</v>
      </c>
      <c r="H232" s="1" t="s">
        <v>20</v>
      </c>
      <c r="I232" t="s">
        <v>43</v>
      </c>
      <c r="J232" t="s">
        <v>44</v>
      </c>
      <c r="K232" t="s">
        <v>45</v>
      </c>
      <c r="L232" t="s">
        <v>46</v>
      </c>
      <c r="M232" t="str">
        <f t="shared" si="11"/>
        <v>non-charge-altering-copy1</v>
      </c>
      <c r="N232" t="str">
        <f t="shared" si="9"/>
        <v>3tu4</v>
      </c>
      <c r="O232" t="s">
        <v>40</v>
      </c>
      <c r="P232" t="str">
        <f t="shared" si="10"/>
        <v>H2A Q104P</v>
      </c>
    </row>
    <row r="233" spans="1:16">
      <c r="A233" s="1" t="s">
        <v>15</v>
      </c>
      <c r="B233" s="1" t="s">
        <v>16</v>
      </c>
      <c r="C233" s="1" t="s">
        <v>39</v>
      </c>
      <c r="D233" s="1">
        <v>26</v>
      </c>
      <c r="E233" s="1" t="s">
        <v>51</v>
      </c>
      <c r="F233" s="1" t="s">
        <v>19</v>
      </c>
      <c r="G233" s="1">
        <v>0.59</v>
      </c>
      <c r="H233" s="1" t="s">
        <v>20</v>
      </c>
      <c r="I233" t="s">
        <v>43</v>
      </c>
      <c r="J233" t="s">
        <v>44</v>
      </c>
      <c r="K233" t="s">
        <v>45</v>
      </c>
      <c r="L233" t="s">
        <v>46</v>
      </c>
      <c r="M233" t="str">
        <f t="shared" si="11"/>
        <v>non-charge-altering-copy1</v>
      </c>
      <c r="N233" t="str">
        <f t="shared" si="9"/>
        <v>3tu4</v>
      </c>
      <c r="O233" t="s">
        <v>40</v>
      </c>
      <c r="P233" t="str">
        <f t="shared" si="10"/>
        <v>H2A P26Q</v>
      </c>
    </row>
    <row r="234" spans="1:16">
      <c r="A234" s="1" t="s">
        <v>15</v>
      </c>
      <c r="B234" s="1" t="s">
        <v>16</v>
      </c>
      <c r="C234" s="1" t="s">
        <v>39</v>
      </c>
      <c r="D234" s="1">
        <v>30</v>
      </c>
      <c r="E234" s="1" t="s">
        <v>42</v>
      </c>
      <c r="F234" s="1" t="s">
        <v>41</v>
      </c>
      <c r="G234" s="1">
        <v>0.46</v>
      </c>
      <c r="H234" s="1" t="s">
        <v>20</v>
      </c>
      <c r="I234" t="s">
        <v>43</v>
      </c>
      <c r="J234" t="s">
        <v>44</v>
      </c>
      <c r="K234" t="s">
        <v>45</v>
      </c>
      <c r="L234" t="s">
        <v>46</v>
      </c>
      <c r="M234" t="str">
        <f t="shared" si="11"/>
        <v>non-charge-altering-copy1</v>
      </c>
      <c r="N234" t="str">
        <f t="shared" si="9"/>
        <v>3tu4</v>
      </c>
      <c r="O234" t="s">
        <v>40</v>
      </c>
      <c r="P234" t="str">
        <f t="shared" si="10"/>
        <v>H2A V30G</v>
      </c>
    </row>
    <row r="235" spans="1:16">
      <c r="A235" s="1" t="s">
        <v>15</v>
      </c>
      <c r="B235" s="1" t="s">
        <v>16</v>
      </c>
      <c r="C235" s="1" t="s">
        <v>39</v>
      </c>
      <c r="D235" s="1">
        <v>30</v>
      </c>
      <c r="E235" s="1" t="s">
        <v>42</v>
      </c>
      <c r="F235" s="1" t="s">
        <v>53</v>
      </c>
      <c r="G235" s="1">
        <v>0.41</v>
      </c>
      <c r="H235" s="1" t="s">
        <v>20</v>
      </c>
      <c r="I235" t="s">
        <v>43</v>
      </c>
      <c r="J235" t="s">
        <v>44</v>
      </c>
      <c r="K235" t="s">
        <v>45</v>
      </c>
      <c r="L235" t="s">
        <v>46</v>
      </c>
      <c r="M235" t="str">
        <f t="shared" si="11"/>
        <v>non-charge-altering-copy1</v>
      </c>
      <c r="N235" t="str">
        <f t="shared" si="9"/>
        <v>3tu4</v>
      </c>
      <c r="O235" t="s">
        <v>40</v>
      </c>
      <c r="P235" t="str">
        <f t="shared" si="10"/>
        <v>H2A V30M</v>
      </c>
    </row>
    <row r="236" spans="1:16">
      <c r="A236" s="1" t="s">
        <v>15</v>
      </c>
      <c r="B236" s="1" t="s">
        <v>16</v>
      </c>
      <c r="C236" s="1" t="s">
        <v>39</v>
      </c>
      <c r="D236" s="1">
        <v>37</v>
      </c>
      <c r="E236" s="1" t="s">
        <v>41</v>
      </c>
      <c r="F236" s="1" t="s">
        <v>48</v>
      </c>
      <c r="G236" s="1">
        <v>0.7</v>
      </c>
      <c r="H236" s="1" t="s">
        <v>20</v>
      </c>
      <c r="I236" t="s">
        <v>43</v>
      </c>
      <c r="J236" t="s">
        <v>44</v>
      </c>
      <c r="K236" t="s">
        <v>45</v>
      </c>
      <c r="L236" t="s">
        <v>46</v>
      </c>
      <c r="M236" t="str">
        <f t="shared" si="11"/>
        <v>non-charge-altering-copy1</v>
      </c>
      <c r="N236" t="str">
        <f t="shared" si="9"/>
        <v>3tu4</v>
      </c>
      <c r="O236" t="s">
        <v>40</v>
      </c>
      <c r="P236" t="str">
        <f t="shared" si="10"/>
        <v>H2A G37S</v>
      </c>
    </row>
    <row r="237" spans="1:16">
      <c r="A237" s="1" t="s">
        <v>15</v>
      </c>
      <c r="B237" s="1" t="s">
        <v>16</v>
      </c>
      <c r="C237" s="1" t="s">
        <v>39</v>
      </c>
      <c r="D237" s="1">
        <v>43</v>
      </c>
      <c r="E237" s="1" t="s">
        <v>42</v>
      </c>
      <c r="F237" s="1" t="s">
        <v>28</v>
      </c>
      <c r="G237" s="1">
        <v>0.2</v>
      </c>
      <c r="H237" s="1" t="s">
        <v>20</v>
      </c>
      <c r="I237" t="s">
        <v>43</v>
      </c>
      <c r="J237" t="s">
        <v>44</v>
      </c>
      <c r="K237" t="s">
        <v>45</v>
      </c>
      <c r="L237" t="s">
        <v>46</v>
      </c>
      <c r="M237" t="str">
        <f t="shared" si="11"/>
        <v>non-charge-altering-copy1</v>
      </c>
      <c r="N237" t="str">
        <f t="shared" si="9"/>
        <v>3tu4</v>
      </c>
      <c r="O237" t="s">
        <v>40</v>
      </c>
      <c r="P237" t="str">
        <f t="shared" si="10"/>
        <v>H2A V43L</v>
      </c>
    </row>
    <row r="238" spans="1:16">
      <c r="A238" s="1" t="s">
        <v>15</v>
      </c>
      <c r="B238" s="1" t="s">
        <v>16</v>
      </c>
      <c r="C238" s="1" t="s">
        <v>39</v>
      </c>
      <c r="D238" s="1">
        <v>50</v>
      </c>
      <c r="E238" s="1" t="s">
        <v>54</v>
      </c>
      <c r="F238" s="1" t="s">
        <v>34</v>
      </c>
      <c r="G238" s="1">
        <v>2.07</v>
      </c>
      <c r="H238" s="1" t="s">
        <v>20</v>
      </c>
      <c r="I238" t="s">
        <v>43</v>
      </c>
      <c r="J238" t="s">
        <v>44</v>
      </c>
      <c r="K238" t="s">
        <v>45</v>
      </c>
      <c r="L238" t="s">
        <v>46</v>
      </c>
      <c r="M238" t="str">
        <f t="shared" si="11"/>
        <v>non-charge-altering-copy1</v>
      </c>
      <c r="N238" t="str">
        <f t="shared" si="9"/>
        <v>3tu4</v>
      </c>
      <c r="O238" t="s">
        <v>40</v>
      </c>
      <c r="P238" t="str">
        <f t="shared" si="10"/>
        <v>H2A Y50N</v>
      </c>
    </row>
    <row r="239" spans="1:16">
      <c r="A239" s="1" t="s">
        <v>15</v>
      </c>
      <c r="B239" s="1" t="s">
        <v>16</v>
      </c>
      <c r="C239" s="1" t="s">
        <v>39</v>
      </c>
      <c r="D239" s="1">
        <v>50</v>
      </c>
      <c r="E239" s="1" t="s">
        <v>54</v>
      </c>
      <c r="F239" s="1" t="s">
        <v>31</v>
      </c>
      <c r="G239" s="1">
        <v>0.95</v>
      </c>
      <c r="H239" s="1" t="s">
        <v>20</v>
      </c>
      <c r="I239" t="s">
        <v>43</v>
      </c>
      <c r="J239" t="s">
        <v>44</v>
      </c>
      <c r="K239" t="s">
        <v>45</v>
      </c>
      <c r="L239" t="s">
        <v>46</v>
      </c>
      <c r="M239" t="str">
        <f t="shared" si="11"/>
        <v>non-charge-altering-copy1</v>
      </c>
      <c r="N239" t="str">
        <f t="shared" si="9"/>
        <v>3tu4</v>
      </c>
      <c r="O239" t="s">
        <v>40</v>
      </c>
      <c r="P239" t="str">
        <f t="shared" si="10"/>
        <v>H2A Y50F</v>
      </c>
    </row>
    <row r="240" spans="1:16">
      <c r="A240" s="1" t="s">
        <v>15</v>
      </c>
      <c r="B240" s="1" t="s">
        <v>16</v>
      </c>
      <c r="C240" s="1" t="s">
        <v>39</v>
      </c>
      <c r="D240" s="1">
        <v>51</v>
      </c>
      <c r="E240" s="1" t="s">
        <v>28</v>
      </c>
      <c r="F240" s="1" t="s">
        <v>53</v>
      </c>
      <c r="G240" s="1">
        <v>0.41</v>
      </c>
      <c r="H240" s="1" t="s">
        <v>20</v>
      </c>
      <c r="I240" t="s">
        <v>43</v>
      </c>
      <c r="J240" t="s">
        <v>44</v>
      </c>
      <c r="K240" t="s">
        <v>45</v>
      </c>
      <c r="L240" t="s">
        <v>46</v>
      </c>
      <c r="M240" t="str">
        <f t="shared" si="11"/>
        <v>non-charge-altering-copy1</v>
      </c>
      <c r="N240" t="str">
        <f t="shared" si="9"/>
        <v>3tu4</v>
      </c>
      <c r="O240" t="s">
        <v>40</v>
      </c>
      <c r="P240" t="str">
        <f t="shared" si="10"/>
        <v>H2A L51M</v>
      </c>
    </row>
    <row r="241" spans="1:16">
      <c r="A241" s="1" t="s">
        <v>15</v>
      </c>
      <c r="B241" s="1" t="s">
        <v>16</v>
      </c>
      <c r="C241" s="1" t="s">
        <v>39</v>
      </c>
      <c r="D241" s="1">
        <v>51</v>
      </c>
      <c r="E241" s="1" t="s">
        <v>28</v>
      </c>
      <c r="F241" s="1" t="s">
        <v>42</v>
      </c>
      <c r="G241" s="1">
        <v>0.88</v>
      </c>
      <c r="H241" s="1" t="s">
        <v>20</v>
      </c>
      <c r="I241" t="s">
        <v>43</v>
      </c>
      <c r="J241" t="s">
        <v>44</v>
      </c>
      <c r="K241" t="s">
        <v>45</v>
      </c>
      <c r="L241" t="s">
        <v>46</v>
      </c>
      <c r="M241" t="str">
        <f t="shared" si="11"/>
        <v>non-charge-altering-copy1</v>
      </c>
      <c r="N241" t="str">
        <f t="shared" si="9"/>
        <v>3tu4</v>
      </c>
      <c r="O241" t="s">
        <v>40</v>
      </c>
      <c r="P241" t="str">
        <f t="shared" si="10"/>
        <v>H2A L51V</v>
      </c>
    </row>
    <row r="242" spans="1:16">
      <c r="A242" s="1" t="s">
        <v>15</v>
      </c>
      <c r="B242" s="1" t="s">
        <v>16</v>
      </c>
      <c r="C242" s="1" t="s">
        <v>39</v>
      </c>
      <c r="D242" s="1">
        <v>53</v>
      </c>
      <c r="E242" s="1" t="s">
        <v>32</v>
      </c>
      <c r="F242" s="1" t="s">
        <v>42</v>
      </c>
      <c r="G242" s="1">
        <v>0.45</v>
      </c>
      <c r="H242" s="1" t="s">
        <v>20</v>
      </c>
      <c r="I242" t="s">
        <v>43</v>
      </c>
      <c r="J242" t="s">
        <v>44</v>
      </c>
      <c r="K242" t="s">
        <v>45</v>
      </c>
      <c r="L242" t="s">
        <v>46</v>
      </c>
      <c r="M242" t="str">
        <f t="shared" si="11"/>
        <v>non-charge-altering-copy1</v>
      </c>
      <c r="N242" t="str">
        <f t="shared" si="9"/>
        <v>3tu4</v>
      </c>
      <c r="O242" t="s">
        <v>40</v>
      </c>
      <c r="P242" t="str">
        <f t="shared" si="10"/>
        <v>H2A A53V</v>
      </c>
    </row>
    <row r="243" spans="1:16">
      <c r="A243" s="1" t="s">
        <v>15</v>
      </c>
      <c r="B243" s="1" t="s">
        <v>16</v>
      </c>
      <c r="C243" s="1" t="s">
        <v>39</v>
      </c>
      <c r="D243" s="1">
        <v>53</v>
      </c>
      <c r="E243" s="1" t="s">
        <v>32</v>
      </c>
      <c r="F243" s="1" t="s">
        <v>47</v>
      </c>
      <c r="G243" s="1">
        <v>0.31</v>
      </c>
      <c r="H243" s="1" t="s">
        <v>20</v>
      </c>
      <c r="I243" t="s">
        <v>43</v>
      </c>
      <c r="J243" t="s">
        <v>44</v>
      </c>
      <c r="K243" t="s">
        <v>45</v>
      </c>
      <c r="L243" t="s">
        <v>46</v>
      </c>
      <c r="M243" t="str">
        <f t="shared" si="11"/>
        <v>non-charge-altering-copy1</v>
      </c>
      <c r="N243" t="str">
        <f t="shared" si="9"/>
        <v>3tu4</v>
      </c>
      <c r="O243" t="s">
        <v>40</v>
      </c>
      <c r="P243" t="str">
        <f t="shared" si="10"/>
        <v>H2A A53T</v>
      </c>
    </row>
    <row r="244" spans="1:16">
      <c r="A244" s="1" t="s">
        <v>15</v>
      </c>
      <c r="B244" s="1" t="s">
        <v>16</v>
      </c>
      <c r="C244" s="1" t="s">
        <v>39</v>
      </c>
      <c r="D244" s="1">
        <v>58</v>
      </c>
      <c r="E244" s="1" t="s">
        <v>28</v>
      </c>
      <c r="F244" s="1" t="s">
        <v>42</v>
      </c>
      <c r="G244" s="1">
        <v>0.97</v>
      </c>
      <c r="H244" s="1" t="s">
        <v>20</v>
      </c>
      <c r="I244" t="s">
        <v>43</v>
      </c>
      <c r="J244" t="s">
        <v>44</v>
      </c>
      <c r="K244" t="s">
        <v>45</v>
      </c>
      <c r="L244" t="s">
        <v>46</v>
      </c>
      <c r="M244" t="str">
        <f t="shared" si="11"/>
        <v>non-charge-altering-copy1</v>
      </c>
      <c r="N244" t="str">
        <f t="shared" si="9"/>
        <v>3tu4</v>
      </c>
      <c r="O244" t="s">
        <v>40</v>
      </c>
      <c r="P244" t="str">
        <f t="shared" si="10"/>
        <v>H2A L58V</v>
      </c>
    </row>
    <row r="245" spans="1:16">
      <c r="A245" s="1" t="s">
        <v>15</v>
      </c>
      <c r="B245" s="1" t="s">
        <v>16</v>
      </c>
      <c r="C245" s="1" t="s">
        <v>39</v>
      </c>
      <c r="D245" s="1">
        <v>59</v>
      </c>
      <c r="E245" s="1" t="s">
        <v>47</v>
      </c>
      <c r="F245" s="1" t="s">
        <v>62</v>
      </c>
      <c r="G245" s="1">
        <v>0.81</v>
      </c>
      <c r="H245" s="1" t="s">
        <v>20</v>
      </c>
      <c r="I245" t="s">
        <v>43</v>
      </c>
      <c r="J245" t="s">
        <v>44</v>
      </c>
      <c r="K245" t="s">
        <v>45</v>
      </c>
      <c r="L245" t="s">
        <v>46</v>
      </c>
      <c r="M245" t="str">
        <f t="shared" si="11"/>
        <v>non-charge-altering-copy1</v>
      </c>
      <c r="N245" t="str">
        <f t="shared" si="9"/>
        <v>3tu4</v>
      </c>
      <c r="O245" t="s">
        <v>40</v>
      </c>
      <c r="P245" t="str">
        <f t="shared" si="10"/>
        <v>H2A T59I</v>
      </c>
    </row>
    <row r="246" spans="1:16">
      <c r="A246" s="1" t="s">
        <v>15</v>
      </c>
      <c r="B246" s="1" t="s">
        <v>16</v>
      </c>
      <c r="C246" s="1" t="s">
        <v>39</v>
      </c>
      <c r="D246" s="1">
        <v>60</v>
      </c>
      <c r="E246" s="1" t="s">
        <v>32</v>
      </c>
      <c r="F246" s="1" t="s">
        <v>51</v>
      </c>
      <c r="G246" s="1">
        <v>1.16</v>
      </c>
      <c r="H246" s="1" t="s">
        <v>20</v>
      </c>
      <c r="I246" t="s">
        <v>43</v>
      </c>
      <c r="J246" t="s">
        <v>44</v>
      </c>
      <c r="K246" t="s">
        <v>45</v>
      </c>
      <c r="L246" t="s">
        <v>46</v>
      </c>
      <c r="M246" t="str">
        <f t="shared" si="11"/>
        <v>non-charge-altering-copy1</v>
      </c>
      <c r="N246" t="str">
        <f t="shared" si="9"/>
        <v>3tu4</v>
      </c>
      <c r="O246" t="s">
        <v>40</v>
      </c>
      <c r="P246" t="str">
        <f t="shared" si="10"/>
        <v>H2A A60P</v>
      </c>
    </row>
    <row r="247" spans="1:16">
      <c r="A247" s="1" t="s">
        <v>15</v>
      </c>
      <c r="B247" s="1" t="s">
        <v>16</v>
      </c>
      <c r="C247" s="1" t="s">
        <v>39</v>
      </c>
      <c r="D247" s="1">
        <v>60</v>
      </c>
      <c r="E247" s="1" t="s">
        <v>32</v>
      </c>
      <c r="F247" s="1" t="s">
        <v>47</v>
      </c>
      <c r="G247" s="1">
        <v>0.37</v>
      </c>
      <c r="H247" s="1" t="s">
        <v>20</v>
      </c>
      <c r="I247" t="s">
        <v>43</v>
      </c>
      <c r="J247" t="s">
        <v>44</v>
      </c>
      <c r="K247" t="s">
        <v>45</v>
      </c>
      <c r="L247" t="s">
        <v>46</v>
      </c>
      <c r="M247" t="str">
        <f t="shared" si="11"/>
        <v>non-charge-altering-copy1</v>
      </c>
      <c r="N247" t="str">
        <f t="shared" si="9"/>
        <v>3tu4</v>
      </c>
      <c r="O247" t="s">
        <v>40</v>
      </c>
      <c r="P247" t="str">
        <f t="shared" si="10"/>
        <v>H2A A60T</v>
      </c>
    </row>
    <row r="248" spans="1:16">
      <c r="A248" s="1" t="s">
        <v>15</v>
      </c>
      <c r="B248" s="1" t="s">
        <v>16</v>
      </c>
      <c r="C248" s="1" t="s">
        <v>39</v>
      </c>
      <c r="D248" s="1">
        <v>78</v>
      </c>
      <c r="E248" s="1" t="s">
        <v>62</v>
      </c>
      <c r="F248" s="1" t="s">
        <v>42</v>
      </c>
      <c r="G248" s="1">
        <v>1.09</v>
      </c>
      <c r="H248" s="1" t="s">
        <v>20</v>
      </c>
      <c r="I248" t="s">
        <v>43</v>
      </c>
      <c r="J248" t="s">
        <v>44</v>
      </c>
      <c r="K248" t="s">
        <v>45</v>
      </c>
      <c r="L248" t="s">
        <v>46</v>
      </c>
      <c r="M248" t="str">
        <f t="shared" si="11"/>
        <v>non-charge-altering-copy1</v>
      </c>
      <c r="N248" t="str">
        <f t="shared" si="9"/>
        <v>3tu4</v>
      </c>
      <c r="O248" t="s">
        <v>40</v>
      </c>
      <c r="P248" t="str">
        <f t="shared" si="10"/>
        <v>H2A I78V</v>
      </c>
    </row>
    <row r="249" spans="1:16">
      <c r="A249" s="1" t="s">
        <v>15</v>
      </c>
      <c r="B249" s="1" t="s">
        <v>16</v>
      </c>
      <c r="C249" s="1" t="s">
        <v>39</v>
      </c>
      <c r="D249" s="1">
        <v>83</v>
      </c>
      <c r="E249" s="1" t="s">
        <v>28</v>
      </c>
      <c r="F249" s="1" t="s">
        <v>31</v>
      </c>
      <c r="G249" s="1">
        <v>0.64</v>
      </c>
      <c r="H249" s="1" t="s">
        <v>20</v>
      </c>
      <c r="I249" t="s">
        <v>43</v>
      </c>
      <c r="J249" t="s">
        <v>44</v>
      </c>
      <c r="K249" t="s">
        <v>45</v>
      </c>
      <c r="L249" t="s">
        <v>46</v>
      </c>
      <c r="M249" t="str">
        <f t="shared" si="11"/>
        <v>non-charge-altering-copy1</v>
      </c>
      <c r="N249" t="str">
        <f t="shared" si="9"/>
        <v>3tu4</v>
      </c>
      <c r="O249" t="s">
        <v>40</v>
      </c>
      <c r="P249" t="str">
        <f t="shared" si="10"/>
        <v>H2A L83F</v>
      </c>
    </row>
    <row r="250" spans="1:16">
      <c r="A250" s="1" t="s">
        <v>15</v>
      </c>
      <c r="B250" s="1" t="s">
        <v>16</v>
      </c>
      <c r="C250" s="1" t="s">
        <v>39</v>
      </c>
      <c r="D250" s="1">
        <v>93</v>
      </c>
      <c r="E250" s="1" t="s">
        <v>28</v>
      </c>
      <c r="F250" s="1" t="s">
        <v>42</v>
      </c>
      <c r="G250" s="1">
        <v>1.23</v>
      </c>
      <c r="H250" s="1" t="s">
        <v>20</v>
      </c>
      <c r="I250" t="s">
        <v>43</v>
      </c>
      <c r="J250" t="s">
        <v>44</v>
      </c>
      <c r="K250" t="s">
        <v>45</v>
      </c>
      <c r="L250" t="s">
        <v>46</v>
      </c>
      <c r="M250" t="str">
        <f t="shared" si="11"/>
        <v>non-charge-altering-copy1</v>
      </c>
      <c r="N250" t="str">
        <f t="shared" si="9"/>
        <v>3tu4</v>
      </c>
      <c r="O250" t="s">
        <v>40</v>
      </c>
      <c r="P250" t="str">
        <f t="shared" si="10"/>
        <v>H2A L93V</v>
      </c>
    </row>
    <row r="251" spans="1:16">
      <c r="A251" s="1" t="s">
        <v>15</v>
      </c>
      <c r="B251" s="1" t="s">
        <v>16</v>
      </c>
      <c r="C251" s="1" t="s">
        <v>41</v>
      </c>
      <c r="D251" s="1">
        <v>103</v>
      </c>
      <c r="E251" s="1" t="s">
        <v>32</v>
      </c>
      <c r="F251" s="1" t="s">
        <v>51</v>
      </c>
      <c r="G251" s="1">
        <v>1.18</v>
      </c>
      <c r="H251" s="1" t="s">
        <v>20</v>
      </c>
      <c r="I251" t="s">
        <v>43</v>
      </c>
      <c r="J251" t="s">
        <v>44</v>
      </c>
      <c r="K251" t="s">
        <v>45</v>
      </c>
      <c r="L251" t="s">
        <v>46</v>
      </c>
      <c r="M251" t="str">
        <f t="shared" si="11"/>
        <v>non-charge-altering-copy2</v>
      </c>
      <c r="N251" t="str">
        <f t="shared" si="9"/>
        <v>3tu4</v>
      </c>
      <c r="O251" t="s">
        <v>40</v>
      </c>
      <c r="P251" t="str">
        <f t="shared" si="10"/>
        <v>H2A A103P</v>
      </c>
    </row>
    <row r="252" spans="1:16">
      <c r="A252" s="1" t="s">
        <v>15</v>
      </c>
      <c r="B252" s="1" t="s">
        <v>16</v>
      </c>
      <c r="C252" s="1" t="s">
        <v>41</v>
      </c>
      <c r="D252" s="1">
        <v>103</v>
      </c>
      <c r="E252" s="1" t="s">
        <v>32</v>
      </c>
      <c r="F252" s="1" t="s">
        <v>47</v>
      </c>
      <c r="G252" s="1">
        <v>0.6</v>
      </c>
      <c r="H252" s="1" t="s">
        <v>20</v>
      </c>
      <c r="I252" t="s">
        <v>43</v>
      </c>
      <c r="J252" t="s">
        <v>44</v>
      </c>
      <c r="K252" t="s">
        <v>45</v>
      </c>
      <c r="L252" t="s">
        <v>46</v>
      </c>
      <c r="M252" t="str">
        <f t="shared" si="11"/>
        <v>non-charge-altering-copy2</v>
      </c>
      <c r="N252" t="str">
        <f t="shared" si="9"/>
        <v>3tu4</v>
      </c>
      <c r="O252" t="s">
        <v>40</v>
      </c>
      <c r="P252" t="str">
        <f t="shared" si="10"/>
        <v>H2A A103T</v>
      </c>
    </row>
    <row r="253" spans="1:16">
      <c r="A253" s="1" t="s">
        <v>15</v>
      </c>
      <c r="B253" s="1" t="s">
        <v>16</v>
      </c>
      <c r="C253" s="1" t="s">
        <v>41</v>
      </c>
      <c r="D253" s="1">
        <v>104</v>
      </c>
      <c r="E253" s="1" t="s">
        <v>19</v>
      </c>
      <c r="F253" s="1" t="s">
        <v>51</v>
      </c>
      <c r="G253" s="1">
        <v>0.75</v>
      </c>
      <c r="H253" s="1" t="s">
        <v>20</v>
      </c>
      <c r="I253" t="s">
        <v>43</v>
      </c>
      <c r="J253" t="s">
        <v>44</v>
      </c>
      <c r="K253" t="s">
        <v>45</v>
      </c>
      <c r="L253" t="s">
        <v>46</v>
      </c>
      <c r="M253" t="str">
        <f t="shared" si="11"/>
        <v>non-charge-altering-copy2</v>
      </c>
      <c r="N253" t="str">
        <f t="shared" si="9"/>
        <v>3tu4</v>
      </c>
      <c r="O253" t="s">
        <v>40</v>
      </c>
      <c r="P253" t="str">
        <f t="shared" si="10"/>
        <v>H2A Q104P</v>
      </c>
    </row>
    <row r="254" spans="1:16">
      <c r="A254" s="1" t="s">
        <v>15</v>
      </c>
      <c r="B254" s="1" t="s">
        <v>16</v>
      </c>
      <c r="C254" s="1" t="s">
        <v>41</v>
      </c>
      <c r="D254" s="1">
        <v>26</v>
      </c>
      <c r="E254" s="1" t="s">
        <v>51</v>
      </c>
      <c r="F254" s="1" t="s">
        <v>19</v>
      </c>
      <c r="G254" s="1">
        <v>0.59</v>
      </c>
      <c r="H254" s="1" t="s">
        <v>20</v>
      </c>
      <c r="I254" t="s">
        <v>43</v>
      </c>
      <c r="J254" t="s">
        <v>44</v>
      </c>
      <c r="K254" t="s">
        <v>45</v>
      </c>
      <c r="L254" t="s">
        <v>46</v>
      </c>
      <c r="M254" t="str">
        <f t="shared" si="11"/>
        <v>non-charge-altering-copy2</v>
      </c>
      <c r="N254" t="str">
        <f t="shared" si="9"/>
        <v>3tu4</v>
      </c>
      <c r="O254" t="s">
        <v>40</v>
      </c>
      <c r="P254" t="str">
        <f t="shared" si="10"/>
        <v>H2A P26Q</v>
      </c>
    </row>
    <row r="255" spans="1:16">
      <c r="A255" s="1" t="s">
        <v>15</v>
      </c>
      <c r="B255" s="1" t="s">
        <v>16</v>
      </c>
      <c r="C255" s="1" t="s">
        <v>41</v>
      </c>
      <c r="D255" s="1">
        <v>30</v>
      </c>
      <c r="E255" s="1" t="s">
        <v>42</v>
      </c>
      <c r="F255" s="1" t="s">
        <v>41</v>
      </c>
      <c r="G255" s="1">
        <v>0.46</v>
      </c>
      <c r="H255" s="1" t="s">
        <v>20</v>
      </c>
      <c r="I255" t="s">
        <v>43</v>
      </c>
      <c r="J255" t="s">
        <v>44</v>
      </c>
      <c r="K255" t="s">
        <v>45</v>
      </c>
      <c r="L255" t="s">
        <v>46</v>
      </c>
      <c r="M255" t="str">
        <f t="shared" si="11"/>
        <v>non-charge-altering-copy2</v>
      </c>
      <c r="N255" t="str">
        <f t="shared" si="9"/>
        <v>3tu4</v>
      </c>
      <c r="O255" t="s">
        <v>40</v>
      </c>
      <c r="P255" t="str">
        <f t="shared" si="10"/>
        <v>H2A V30G</v>
      </c>
    </row>
    <row r="256" spans="1:16">
      <c r="A256" s="1" t="s">
        <v>15</v>
      </c>
      <c r="B256" s="1" t="s">
        <v>16</v>
      </c>
      <c r="C256" s="1" t="s">
        <v>41</v>
      </c>
      <c r="D256" s="1">
        <v>30</v>
      </c>
      <c r="E256" s="1" t="s">
        <v>42</v>
      </c>
      <c r="F256" s="1" t="s">
        <v>53</v>
      </c>
      <c r="G256" s="1">
        <v>0.41</v>
      </c>
      <c r="H256" s="1" t="s">
        <v>20</v>
      </c>
      <c r="I256" t="s">
        <v>43</v>
      </c>
      <c r="J256" t="s">
        <v>44</v>
      </c>
      <c r="K256" t="s">
        <v>45</v>
      </c>
      <c r="L256" t="s">
        <v>46</v>
      </c>
      <c r="M256" t="str">
        <f t="shared" si="11"/>
        <v>non-charge-altering-copy2</v>
      </c>
      <c r="N256" t="str">
        <f t="shared" si="9"/>
        <v>3tu4</v>
      </c>
      <c r="O256" t="s">
        <v>40</v>
      </c>
      <c r="P256" t="str">
        <f t="shared" si="10"/>
        <v>H2A V30M</v>
      </c>
    </row>
    <row r="257" spans="1:16">
      <c r="A257" s="1" t="s">
        <v>15</v>
      </c>
      <c r="B257" s="1" t="s">
        <v>16</v>
      </c>
      <c r="C257" s="1" t="s">
        <v>41</v>
      </c>
      <c r="D257" s="1">
        <v>37</v>
      </c>
      <c r="E257" s="1" t="s">
        <v>41</v>
      </c>
      <c r="F257" s="1" t="s">
        <v>48</v>
      </c>
      <c r="G257" s="1">
        <v>0.7</v>
      </c>
      <c r="H257" s="1" t="s">
        <v>20</v>
      </c>
      <c r="I257" t="s">
        <v>43</v>
      </c>
      <c r="J257" t="s">
        <v>44</v>
      </c>
      <c r="K257" t="s">
        <v>45</v>
      </c>
      <c r="L257" t="s">
        <v>46</v>
      </c>
      <c r="M257" t="str">
        <f t="shared" si="11"/>
        <v>non-charge-altering-copy2</v>
      </c>
      <c r="N257" t="str">
        <f t="shared" si="9"/>
        <v>3tu4</v>
      </c>
      <c r="O257" t="s">
        <v>40</v>
      </c>
      <c r="P257" t="str">
        <f t="shared" si="10"/>
        <v>H2A G37S</v>
      </c>
    </row>
    <row r="258" spans="1:16">
      <c r="A258" s="1" t="s">
        <v>15</v>
      </c>
      <c r="B258" s="1" t="s">
        <v>16</v>
      </c>
      <c r="C258" s="1" t="s">
        <v>41</v>
      </c>
      <c r="D258" s="1">
        <v>43</v>
      </c>
      <c r="E258" s="1" t="s">
        <v>42</v>
      </c>
      <c r="F258" s="1" t="s">
        <v>28</v>
      </c>
      <c r="G258" s="1">
        <v>0.2</v>
      </c>
      <c r="H258" s="1" t="s">
        <v>20</v>
      </c>
      <c r="I258" t="s">
        <v>43</v>
      </c>
      <c r="J258" t="s">
        <v>44</v>
      </c>
      <c r="K258" t="s">
        <v>45</v>
      </c>
      <c r="L258" t="s">
        <v>46</v>
      </c>
      <c r="M258" t="str">
        <f t="shared" si="11"/>
        <v>non-charge-altering-copy2</v>
      </c>
      <c r="N258" t="str">
        <f t="shared" ref="N258:N321" si="12">LEFT(A258,4)</f>
        <v>3tu4</v>
      </c>
      <c r="O258" t="s">
        <v>40</v>
      </c>
      <c r="P258" t="str">
        <f t="shared" ref="P258:P321" si="13">O258&amp;" "&amp;E258&amp;D258&amp;F258</f>
        <v>H2A V43L</v>
      </c>
    </row>
    <row r="259" spans="1:16">
      <c r="A259" s="1" t="s">
        <v>15</v>
      </c>
      <c r="B259" s="1" t="s">
        <v>16</v>
      </c>
      <c r="C259" s="1" t="s">
        <v>41</v>
      </c>
      <c r="D259" s="1">
        <v>50</v>
      </c>
      <c r="E259" s="1" t="s">
        <v>54</v>
      </c>
      <c r="F259" s="1" t="s">
        <v>34</v>
      </c>
      <c r="G259" s="1">
        <v>2.14</v>
      </c>
      <c r="H259" s="1" t="s">
        <v>20</v>
      </c>
      <c r="I259" t="s">
        <v>43</v>
      </c>
      <c r="J259" t="s">
        <v>44</v>
      </c>
      <c r="K259" t="s">
        <v>45</v>
      </c>
      <c r="L259" t="s">
        <v>46</v>
      </c>
      <c r="M259" t="str">
        <f t="shared" ref="M259:M322" si="14">L259&amp;"-"&amp;IF(OR(C259="A",C259="B",C259="C",C259="D"),"copy1",IF(OR(C259="E",C259="F",C259="G",C259="H"),"copy2",""))</f>
        <v>non-charge-altering-copy2</v>
      </c>
      <c r="N259" t="str">
        <f t="shared" si="12"/>
        <v>3tu4</v>
      </c>
      <c r="O259" t="s">
        <v>40</v>
      </c>
      <c r="P259" t="str">
        <f t="shared" si="13"/>
        <v>H2A Y50N</v>
      </c>
    </row>
    <row r="260" spans="1:16">
      <c r="A260" s="1" t="s">
        <v>15</v>
      </c>
      <c r="B260" s="1" t="s">
        <v>16</v>
      </c>
      <c r="C260" s="1" t="s">
        <v>41</v>
      </c>
      <c r="D260" s="1">
        <v>50</v>
      </c>
      <c r="E260" s="1" t="s">
        <v>54</v>
      </c>
      <c r="F260" s="1" t="s">
        <v>31</v>
      </c>
      <c r="G260" s="1">
        <v>0.99</v>
      </c>
      <c r="H260" s="1" t="s">
        <v>20</v>
      </c>
      <c r="I260" t="s">
        <v>43</v>
      </c>
      <c r="J260" t="s">
        <v>44</v>
      </c>
      <c r="K260" t="s">
        <v>45</v>
      </c>
      <c r="L260" t="s">
        <v>46</v>
      </c>
      <c r="M260" t="str">
        <f t="shared" si="14"/>
        <v>non-charge-altering-copy2</v>
      </c>
      <c r="N260" t="str">
        <f t="shared" si="12"/>
        <v>3tu4</v>
      </c>
      <c r="O260" t="s">
        <v>40</v>
      </c>
      <c r="P260" t="str">
        <f t="shared" si="13"/>
        <v>H2A Y50F</v>
      </c>
    </row>
    <row r="261" spans="1:16">
      <c r="A261" s="1" t="s">
        <v>15</v>
      </c>
      <c r="B261" s="1" t="s">
        <v>16</v>
      </c>
      <c r="C261" s="1" t="s">
        <v>41</v>
      </c>
      <c r="D261" s="1">
        <v>51</v>
      </c>
      <c r="E261" s="1" t="s">
        <v>28</v>
      </c>
      <c r="F261" s="1" t="s">
        <v>53</v>
      </c>
      <c r="G261" s="1">
        <v>0.41</v>
      </c>
      <c r="H261" s="1" t="s">
        <v>20</v>
      </c>
      <c r="I261" t="s">
        <v>43</v>
      </c>
      <c r="J261" t="s">
        <v>44</v>
      </c>
      <c r="K261" t="s">
        <v>45</v>
      </c>
      <c r="L261" t="s">
        <v>46</v>
      </c>
      <c r="M261" t="str">
        <f t="shared" si="14"/>
        <v>non-charge-altering-copy2</v>
      </c>
      <c r="N261" t="str">
        <f t="shared" si="12"/>
        <v>3tu4</v>
      </c>
      <c r="O261" t="s">
        <v>40</v>
      </c>
      <c r="P261" t="str">
        <f t="shared" si="13"/>
        <v>H2A L51M</v>
      </c>
    </row>
    <row r="262" spans="1:16">
      <c r="A262" s="1" t="s">
        <v>15</v>
      </c>
      <c r="B262" s="1" t="s">
        <v>16</v>
      </c>
      <c r="C262" s="1" t="s">
        <v>41</v>
      </c>
      <c r="D262" s="1">
        <v>51</v>
      </c>
      <c r="E262" s="1" t="s">
        <v>28</v>
      </c>
      <c r="F262" s="1" t="s">
        <v>42</v>
      </c>
      <c r="G262" s="1">
        <v>0.88</v>
      </c>
      <c r="H262" s="1" t="s">
        <v>20</v>
      </c>
      <c r="I262" t="s">
        <v>43</v>
      </c>
      <c r="J262" t="s">
        <v>44</v>
      </c>
      <c r="K262" t="s">
        <v>45</v>
      </c>
      <c r="L262" t="s">
        <v>46</v>
      </c>
      <c r="M262" t="str">
        <f t="shared" si="14"/>
        <v>non-charge-altering-copy2</v>
      </c>
      <c r="N262" t="str">
        <f t="shared" si="12"/>
        <v>3tu4</v>
      </c>
      <c r="O262" t="s">
        <v>40</v>
      </c>
      <c r="P262" t="str">
        <f t="shared" si="13"/>
        <v>H2A L51V</v>
      </c>
    </row>
    <row r="263" spans="1:16">
      <c r="A263" s="1" t="s">
        <v>15</v>
      </c>
      <c r="B263" s="1" t="s">
        <v>16</v>
      </c>
      <c r="C263" s="1" t="s">
        <v>41</v>
      </c>
      <c r="D263" s="1">
        <v>53</v>
      </c>
      <c r="E263" s="1" t="s">
        <v>32</v>
      </c>
      <c r="F263" s="1" t="s">
        <v>42</v>
      </c>
      <c r="G263" s="1">
        <v>0.32</v>
      </c>
      <c r="H263" s="1" t="s">
        <v>20</v>
      </c>
      <c r="I263" t="s">
        <v>43</v>
      </c>
      <c r="J263" t="s">
        <v>44</v>
      </c>
      <c r="K263" t="s">
        <v>45</v>
      </c>
      <c r="L263" t="s">
        <v>46</v>
      </c>
      <c r="M263" t="str">
        <f t="shared" si="14"/>
        <v>non-charge-altering-copy2</v>
      </c>
      <c r="N263" t="str">
        <f t="shared" si="12"/>
        <v>3tu4</v>
      </c>
      <c r="O263" t="s">
        <v>40</v>
      </c>
      <c r="P263" t="str">
        <f t="shared" si="13"/>
        <v>H2A A53V</v>
      </c>
    </row>
    <row r="264" spans="1:16">
      <c r="A264" s="1" t="s">
        <v>15</v>
      </c>
      <c r="B264" s="1" t="s">
        <v>16</v>
      </c>
      <c r="C264" s="1" t="s">
        <v>41</v>
      </c>
      <c r="D264" s="1">
        <v>53</v>
      </c>
      <c r="E264" s="1" t="s">
        <v>32</v>
      </c>
      <c r="F264" s="1" t="s">
        <v>47</v>
      </c>
      <c r="G264" s="1">
        <v>0.25</v>
      </c>
      <c r="H264" s="1" t="s">
        <v>20</v>
      </c>
      <c r="I264" t="s">
        <v>43</v>
      </c>
      <c r="J264" t="s">
        <v>44</v>
      </c>
      <c r="K264" t="s">
        <v>45</v>
      </c>
      <c r="L264" t="s">
        <v>46</v>
      </c>
      <c r="M264" t="str">
        <f t="shared" si="14"/>
        <v>non-charge-altering-copy2</v>
      </c>
      <c r="N264" t="str">
        <f t="shared" si="12"/>
        <v>3tu4</v>
      </c>
      <c r="O264" t="s">
        <v>40</v>
      </c>
      <c r="P264" t="str">
        <f t="shared" si="13"/>
        <v>H2A A53T</v>
      </c>
    </row>
    <row r="265" spans="1:16">
      <c r="A265" s="1" t="s">
        <v>15</v>
      </c>
      <c r="B265" s="1" t="s">
        <v>16</v>
      </c>
      <c r="C265" s="1" t="s">
        <v>41</v>
      </c>
      <c r="D265" s="1">
        <v>58</v>
      </c>
      <c r="E265" s="1" t="s">
        <v>28</v>
      </c>
      <c r="F265" s="1" t="s">
        <v>42</v>
      </c>
      <c r="G265" s="1">
        <v>0.94</v>
      </c>
      <c r="H265" s="1" t="s">
        <v>20</v>
      </c>
      <c r="I265" t="s">
        <v>43</v>
      </c>
      <c r="J265" t="s">
        <v>44</v>
      </c>
      <c r="K265" t="s">
        <v>45</v>
      </c>
      <c r="L265" t="s">
        <v>46</v>
      </c>
      <c r="M265" t="str">
        <f t="shared" si="14"/>
        <v>non-charge-altering-copy2</v>
      </c>
      <c r="N265" t="str">
        <f t="shared" si="12"/>
        <v>3tu4</v>
      </c>
      <c r="O265" t="s">
        <v>40</v>
      </c>
      <c r="P265" t="str">
        <f t="shared" si="13"/>
        <v>H2A L58V</v>
      </c>
    </row>
    <row r="266" spans="1:16">
      <c r="A266" s="1" t="s">
        <v>15</v>
      </c>
      <c r="B266" s="1" t="s">
        <v>16</v>
      </c>
      <c r="C266" s="1" t="s">
        <v>41</v>
      </c>
      <c r="D266" s="1">
        <v>59</v>
      </c>
      <c r="E266" s="1" t="s">
        <v>47</v>
      </c>
      <c r="F266" s="1" t="s">
        <v>62</v>
      </c>
      <c r="G266" s="1">
        <v>0.73</v>
      </c>
      <c r="H266" s="1" t="s">
        <v>20</v>
      </c>
      <c r="I266" t="s">
        <v>43</v>
      </c>
      <c r="J266" t="s">
        <v>44</v>
      </c>
      <c r="K266" t="s">
        <v>45</v>
      </c>
      <c r="L266" t="s">
        <v>46</v>
      </c>
      <c r="M266" t="str">
        <f t="shared" si="14"/>
        <v>non-charge-altering-copy2</v>
      </c>
      <c r="N266" t="str">
        <f t="shared" si="12"/>
        <v>3tu4</v>
      </c>
      <c r="O266" t="s">
        <v>40</v>
      </c>
      <c r="P266" t="str">
        <f t="shared" si="13"/>
        <v>H2A T59I</v>
      </c>
    </row>
    <row r="267" spans="1:16">
      <c r="A267" s="1" t="s">
        <v>15</v>
      </c>
      <c r="B267" s="1" t="s">
        <v>16</v>
      </c>
      <c r="C267" s="1" t="s">
        <v>41</v>
      </c>
      <c r="D267" s="1">
        <v>60</v>
      </c>
      <c r="E267" s="1" t="s">
        <v>32</v>
      </c>
      <c r="F267" s="1" t="s">
        <v>51</v>
      </c>
      <c r="G267" s="1">
        <v>1.16</v>
      </c>
      <c r="H267" s="1" t="s">
        <v>20</v>
      </c>
      <c r="I267" t="s">
        <v>43</v>
      </c>
      <c r="J267" t="s">
        <v>44</v>
      </c>
      <c r="K267" t="s">
        <v>45</v>
      </c>
      <c r="L267" t="s">
        <v>46</v>
      </c>
      <c r="M267" t="str">
        <f t="shared" si="14"/>
        <v>non-charge-altering-copy2</v>
      </c>
      <c r="N267" t="str">
        <f t="shared" si="12"/>
        <v>3tu4</v>
      </c>
      <c r="O267" t="s">
        <v>40</v>
      </c>
      <c r="P267" t="str">
        <f t="shared" si="13"/>
        <v>H2A A60P</v>
      </c>
    </row>
    <row r="268" spans="1:16">
      <c r="A268" s="1" t="s">
        <v>15</v>
      </c>
      <c r="B268" s="1" t="s">
        <v>16</v>
      </c>
      <c r="C268" s="1" t="s">
        <v>41</v>
      </c>
      <c r="D268" s="1">
        <v>60</v>
      </c>
      <c r="E268" s="1" t="s">
        <v>32</v>
      </c>
      <c r="F268" s="1" t="s">
        <v>47</v>
      </c>
      <c r="G268" s="1">
        <v>0.37</v>
      </c>
      <c r="H268" s="1" t="s">
        <v>20</v>
      </c>
      <c r="I268" t="s">
        <v>43</v>
      </c>
      <c r="J268" t="s">
        <v>44</v>
      </c>
      <c r="K268" t="s">
        <v>45</v>
      </c>
      <c r="L268" t="s">
        <v>46</v>
      </c>
      <c r="M268" t="str">
        <f t="shared" si="14"/>
        <v>non-charge-altering-copy2</v>
      </c>
      <c r="N268" t="str">
        <f t="shared" si="12"/>
        <v>3tu4</v>
      </c>
      <c r="O268" t="s">
        <v>40</v>
      </c>
      <c r="P268" t="str">
        <f t="shared" si="13"/>
        <v>H2A A60T</v>
      </c>
    </row>
    <row r="269" spans="1:16">
      <c r="A269" s="1" t="s">
        <v>15</v>
      </c>
      <c r="B269" s="1" t="s">
        <v>16</v>
      </c>
      <c r="C269" s="1" t="s">
        <v>41</v>
      </c>
      <c r="D269" s="1">
        <v>78</v>
      </c>
      <c r="E269" s="1" t="s">
        <v>62</v>
      </c>
      <c r="F269" s="1" t="s">
        <v>42</v>
      </c>
      <c r="G269" s="1">
        <v>1.09</v>
      </c>
      <c r="H269" s="1" t="s">
        <v>20</v>
      </c>
      <c r="I269" t="s">
        <v>43</v>
      </c>
      <c r="J269" t="s">
        <v>44</v>
      </c>
      <c r="K269" t="s">
        <v>45</v>
      </c>
      <c r="L269" t="s">
        <v>46</v>
      </c>
      <c r="M269" t="str">
        <f t="shared" si="14"/>
        <v>non-charge-altering-copy2</v>
      </c>
      <c r="N269" t="str">
        <f t="shared" si="12"/>
        <v>3tu4</v>
      </c>
      <c r="O269" t="s">
        <v>40</v>
      </c>
      <c r="P269" t="str">
        <f t="shared" si="13"/>
        <v>H2A I78V</v>
      </c>
    </row>
    <row r="270" spans="1:16">
      <c r="A270" s="1" t="s">
        <v>15</v>
      </c>
      <c r="B270" s="1" t="s">
        <v>16</v>
      </c>
      <c r="C270" s="1" t="s">
        <v>41</v>
      </c>
      <c r="D270" s="1">
        <v>83</v>
      </c>
      <c r="E270" s="1" t="s">
        <v>28</v>
      </c>
      <c r="F270" s="1" t="s">
        <v>31</v>
      </c>
      <c r="G270" s="1">
        <v>0.64</v>
      </c>
      <c r="H270" s="1" t="s">
        <v>20</v>
      </c>
      <c r="I270" t="s">
        <v>43</v>
      </c>
      <c r="J270" t="s">
        <v>44</v>
      </c>
      <c r="K270" t="s">
        <v>45</v>
      </c>
      <c r="L270" t="s">
        <v>46</v>
      </c>
      <c r="M270" t="str">
        <f t="shared" si="14"/>
        <v>non-charge-altering-copy2</v>
      </c>
      <c r="N270" t="str">
        <f t="shared" si="12"/>
        <v>3tu4</v>
      </c>
      <c r="O270" t="s">
        <v>40</v>
      </c>
      <c r="P270" t="str">
        <f t="shared" si="13"/>
        <v>H2A L83F</v>
      </c>
    </row>
    <row r="271" spans="1:16">
      <c r="A271" s="1" t="s">
        <v>15</v>
      </c>
      <c r="B271" s="1" t="s">
        <v>16</v>
      </c>
      <c r="C271" s="1" t="s">
        <v>41</v>
      </c>
      <c r="D271" s="1">
        <v>93</v>
      </c>
      <c r="E271" s="1" t="s">
        <v>28</v>
      </c>
      <c r="F271" s="1" t="s">
        <v>42</v>
      </c>
      <c r="G271" s="1">
        <v>1.23</v>
      </c>
      <c r="H271" s="1" t="s">
        <v>20</v>
      </c>
      <c r="I271" t="s">
        <v>43</v>
      </c>
      <c r="J271" t="s">
        <v>44</v>
      </c>
      <c r="K271" t="s">
        <v>45</v>
      </c>
      <c r="L271" t="s">
        <v>46</v>
      </c>
      <c r="M271" t="str">
        <f t="shared" si="14"/>
        <v>non-charge-altering-copy2</v>
      </c>
      <c r="N271" t="str">
        <f t="shared" si="12"/>
        <v>3tu4</v>
      </c>
      <c r="O271" t="s">
        <v>40</v>
      </c>
      <c r="P271" t="str">
        <f t="shared" si="13"/>
        <v>H2A L93V</v>
      </c>
    </row>
    <row r="272" spans="1:16">
      <c r="A272" s="1" t="s">
        <v>15</v>
      </c>
      <c r="B272" s="1" t="s">
        <v>16</v>
      </c>
      <c r="C272" s="1" t="s">
        <v>27</v>
      </c>
      <c r="D272" s="1">
        <v>22</v>
      </c>
      <c r="E272" s="1" t="s">
        <v>28</v>
      </c>
      <c r="F272" s="1" t="s">
        <v>53</v>
      </c>
      <c r="G272" s="1">
        <v>0.66</v>
      </c>
      <c r="H272" s="1" t="s">
        <v>20</v>
      </c>
      <c r="I272" t="s">
        <v>43</v>
      </c>
      <c r="J272" t="s">
        <v>44</v>
      </c>
      <c r="K272" t="s">
        <v>45</v>
      </c>
      <c r="L272" t="s">
        <v>46</v>
      </c>
      <c r="M272" t="str">
        <f t="shared" si="14"/>
        <v>non-charge-altering-copy1</v>
      </c>
      <c r="N272" t="str">
        <f t="shared" si="12"/>
        <v>3tu4</v>
      </c>
      <c r="O272" t="s">
        <v>30</v>
      </c>
      <c r="P272" t="str">
        <f t="shared" si="13"/>
        <v>H4 L22M</v>
      </c>
    </row>
    <row r="273" spans="1:16">
      <c r="A273" s="1" t="s">
        <v>15</v>
      </c>
      <c r="B273" s="1" t="s">
        <v>16</v>
      </c>
      <c r="C273" s="1" t="s">
        <v>27</v>
      </c>
      <c r="D273" s="1">
        <v>28</v>
      </c>
      <c r="E273" s="1" t="s">
        <v>41</v>
      </c>
      <c r="F273" s="1" t="s">
        <v>42</v>
      </c>
      <c r="G273" s="1">
        <v>1.25</v>
      </c>
      <c r="H273" s="1" t="s">
        <v>20</v>
      </c>
      <c r="I273" t="s">
        <v>43</v>
      </c>
      <c r="J273" t="s">
        <v>44</v>
      </c>
      <c r="K273" t="s">
        <v>45</v>
      </c>
      <c r="L273" t="s">
        <v>46</v>
      </c>
      <c r="M273" t="str">
        <f t="shared" si="14"/>
        <v>non-charge-altering-copy1</v>
      </c>
      <c r="N273" t="str">
        <f t="shared" si="12"/>
        <v>3tu4</v>
      </c>
      <c r="O273" t="s">
        <v>30</v>
      </c>
      <c r="P273" t="str">
        <f t="shared" si="13"/>
        <v>H4 G28V</v>
      </c>
    </row>
    <row r="274" spans="1:16">
      <c r="A274" s="1" t="s">
        <v>15</v>
      </c>
      <c r="B274" s="1" t="s">
        <v>16</v>
      </c>
      <c r="C274" s="1" t="s">
        <v>27</v>
      </c>
      <c r="D274" s="1">
        <v>42</v>
      </c>
      <c r="E274" s="1" t="s">
        <v>41</v>
      </c>
      <c r="F274" s="1" t="s">
        <v>42</v>
      </c>
      <c r="G274" s="1">
        <v>0.49</v>
      </c>
      <c r="H274" s="1" t="s">
        <v>20</v>
      </c>
      <c r="I274" t="s">
        <v>43</v>
      </c>
      <c r="J274" t="s">
        <v>44</v>
      </c>
      <c r="K274" t="s">
        <v>45</v>
      </c>
      <c r="L274" t="s">
        <v>46</v>
      </c>
      <c r="M274" t="str">
        <f t="shared" si="14"/>
        <v>non-charge-altering-copy1</v>
      </c>
      <c r="N274" t="str">
        <f t="shared" si="12"/>
        <v>3tu4</v>
      </c>
      <c r="O274" t="s">
        <v>30</v>
      </c>
      <c r="P274" t="str">
        <f t="shared" si="13"/>
        <v>H4 G42V</v>
      </c>
    </row>
    <row r="275" spans="1:16">
      <c r="A275" s="1" t="s">
        <v>15</v>
      </c>
      <c r="B275" s="1" t="s">
        <v>16</v>
      </c>
      <c r="C275" s="1" t="s">
        <v>27</v>
      </c>
      <c r="D275" s="1">
        <v>49</v>
      </c>
      <c r="E275" s="1" t="s">
        <v>28</v>
      </c>
      <c r="F275" s="1" t="s">
        <v>31</v>
      </c>
      <c r="G275" s="1">
        <v>0.39</v>
      </c>
      <c r="H275" s="1" t="s">
        <v>20</v>
      </c>
      <c r="I275" t="s">
        <v>43</v>
      </c>
      <c r="J275" t="s">
        <v>44</v>
      </c>
      <c r="K275" t="s">
        <v>45</v>
      </c>
      <c r="L275" t="s">
        <v>46</v>
      </c>
      <c r="M275" t="str">
        <f t="shared" si="14"/>
        <v>non-charge-altering-copy1</v>
      </c>
      <c r="N275" t="str">
        <f t="shared" si="12"/>
        <v>3tu4</v>
      </c>
      <c r="O275" t="s">
        <v>30</v>
      </c>
      <c r="P275" t="str">
        <f t="shared" si="13"/>
        <v>H4 L49F</v>
      </c>
    </row>
    <row r="276" spans="1:16">
      <c r="A276" s="1" t="s">
        <v>15</v>
      </c>
      <c r="B276" s="1" t="s">
        <v>16</v>
      </c>
      <c r="C276" s="1" t="s">
        <v>27</v>
      </c>
      <c r="D276" s="1">
        <v>50</v>
      </c>
      <c r="E276" s="1" t="s">
        <v>62</v>
      </c>
      <c r="F276" s="1" t="s">
        <v>47</v>
      </c>
      <c r="G276" s="1">
        <v>0.6</v>
      </c>
      <c r="H276" s="1" t="s">
        <v>20</v>
      </c>
      <c r="I276" t="s">
        <v>43</v>
      </c>
      <c r="J276" t="s">
        <v>44</v>
      </c>
      <c r="K276" t="s">
        <v>45</v>
      </c>
      <c r="L276" t="s">
        <v>46</v>
      </c>
      <c r="M276" t="str">
        <f t="shared" si="14"/>
        <v>non-charge-altering-copy1</v>
      </c>
      <c r="N276" t="str">
        <f t="shared" si="12"/>
        <v>3tu4</v>
      </c>
      <c r="O276" t="s">
        <v>30</v>
      </c>
      <c r="P276" t="str">
        <f t="shared" si="13"/>
        <v>H4 I50T</v>
      </c>
    </row>
    <row r="277" spans="1:16">
      <c r="A277" s="1" t="s">
        <v>15</v>
      </c>
      <c r="B277" s="1" t="s">
        <v>16</v>
      </c>
      <c r="C277" s="1" t="s">
        <v>27</v>
      </c>
      <c r="D277" s="1">
        <v>50</v>
      </c>
      <c r="E277" s="1" t="s">
        <v>62</v>
      </c>
      <c r="F277" s="1" t="s">
        <v>53</v>
      </c>
      <c r="G277" s="1">
        <v>0.58</v>
      </c>
      <c r="H277" s="1" t="s">
        <v>20</v>
      </c>
      <c r="I277" t="s">
        <v>43</v>
      </c>
      <c r="J277" t="s">
        <v>44</v>
      </c>
      <c r="K277" t="s">
        <v>45</v>
      </c>
      <c r="L277" t="s">
        <v>46</v>
      </c>
      <c r="M277" t="str">
        <f t="shared" si="14"/>
        <v>non-charge-altering-copy1</v>
      </c>
      <c r="N277" t="str">
        <f t="shared" si="12"/>
        <v>3tu4</v>
      </c>
      <c r="O277" t="s">
        <v>30</v>
      </c>
      <c r="P277" t="str">
        <f t="shared" si="13"/>
        <v>H4 I50M</v>
      </c>
    </row>
    <row r="278" spans="1:16">
      <c r="A278" s="1" t="s">
        <v>15</v>
      </c>
      <c r="B278" s="1" t="s">
        <v>16</v>
      </c>
      <c r="C278" s="1" t="s">
        <v>27</v>
      </c>
      <c r="D278" s="1">
        <v>57</v>
      </c>
      <c r="E278" s="1" t="s">
        <v>42</v>
      </c>
      <c r="F278" s="1" t="s">
        <v>28</v>
      </c>
      <c r="G278" s="1">
        <v>0.11</v>
      </c>
      <c r="H278" s="1" t="s">
        <v>20</v>
      </c>
      <c r="I278" t="s">
        <v>43</v>
      </c>
      <c r="J278" t="s">
        <v>44</v>
      </c>
      <c r="K278" t="s">
        <v>45</v>
      </c>
      <c r="L278" t="s">
        <v>46</v>
      </c>
      <c r="M278" t="str">
        <f t="shared" si="14"/>
        <v>non-charge-altering-copy1</v>
      </c>
      <c r="N278" t="str">
        <f t="shared" si="12"/>
        <v>3tu4</v>
      </c>
      <c r="O278" t="s">
        <v>30</v>
      </c>
      <c r="P278" t="str">
        <f t="shared" si="13"/>
        <v>H4 V57L</v>
      </c>
    </row>
    <row r="279" spans="1:16">
      <c r="A279" s="1" t="s">
        <v>15</v>
      </c>
      <c r="B279" s="1" t="s">
        <v>16</v>
      </c>
      <c r="C279" s="1" t="s">
        <v>27</v>
      </c>
      <c r="D279" s="1">
        <v>60</v>
      </c>
      <c r="E279" s="1" t="s">
        <v>42</v>
      </c>
      <c r="F279" s="1" t="s">
        <v>28</v>
      </c>
      <c r="G279" s="1">
        <v>0.13</v>
      </c>
      <c r="H279" s="1" t="s">
        <v>20</v>
      </c>
      <c r="I279" t="s">
        <v>43</v>
      </c>
      <c r="J279" t="s">
        <v>44</v>
      </c>
      <c r="K279" t="s">
        <v>45</v>
      </c>
      <c r="L279" t="s">
        <v>46</v>
      </c>
      <c r="M279" t="str">
        <f t="shared" si="14"/>
        <v>non-charge-altering-copy1</v>
      </c>
      <c r="N279" t="str">
        <f t="shared" si="12"/>
        <v>3tu4</v>
      </c>
      <c r="O279" t="s">
        <v>30</v>
      </c>
      <c r="P279" t="str">
        <f t="shared" si="13"/>
        <v>H4 V60L</v>
      </c>
    </row>
    <row r="280" spans="1:16">
      <c r="A280" s="1" t="s">
        <v>15</v>
      </c>
      <c r="B280" s="1" t="s">
        <v>16</v>
      </c>
      <c r="C280" s="1" t="s">
        <v>27</v>
      </c>
      <c r="D280" s="1">
        <v>61</v>
      </c>
      <c r="E280" s="1" t="s">
        <v>31</v>
      </c>
      <c r="F280" s="1" t="s">
        <v>39</v>
      </c>
      <c r="G280" s="1">
        <v>1.39</v>
      </c>
      <c r="H280" s="1" t="s">
        <v>20</v>
      </c>
      <c r="I280" t="s">
        <v>43</v>
      </c>
      <c r="J280" t="s">
        <v>44</v>
      </c>
      <c r="K280" t="s">
        <v>45</v>
      </c>
      <c r="L280" t="s">
        <v>46</v>
      </c>
      <c r="M280" t="str">
        <f t="shared" si="14"/>
        <v>non-charge-altering-copy1</v>
      </c>
      <c r="N280" t="str">
        <f t="shared" si="12"/>
        <v>3tu4</v>
      </c>
      <c r="O280" t="s">
        <v>30</v>
      </c>
      <c r="P280" t="str">
        <f t="shared" si="13"/>
        <v>H4 F61C</v>
      </c>
    </row>
    <row r="281" spans="1:16">
      <c r="A281" s="1" t="s">
        <v>15</v>
      </c>
      <c r="B281" s="1" t="s">
        <v>16</v>
      </c>
      <c r="C281" s="1" t="s">
        <v>27</v>
      </c>
      <c r="D281" s="1">
        <v>61</v>
      </c>
      <c r="E281" s="1" t="s">
        <v>31</v>
      </c>
      <c r="F281" s="1" t="s">
        <v>28</v>
      </c>
      <c r="G281" s="1">
        <v>1.56</v>
      </c>
      <c r="H281" s="1" t="s">
        <v>20</v>
      </c>
      <c r="I281" t="s">
        <v>43</v>
      </c>
      <c r="J281" t="s">
        <v>44</v>
      </c>
      <c r="K281" t="s">
        <v>45</v>
      </c>
      <c r="L281" t="s">
        <v>46</v>
      </c>
      <c r="M281" t="str">
        <f t="shared" si="14"/>
        <v>non-charge-altering-copy1</v>
      </c>
      <c r="N281" t="str">
        <f t="shared" si="12"/>
        <v>3tu4</v>
      </c>
      <c r="O281" t="s">
        <v>30</v>
      </c>
      <c r="P281" t="str">
        <f t="shared" si="13"/>
        <v>H4 F61L</v>
      </c>
    </row>
    <row r="282" spans="1:16">
      <c r="A282" s="1" t="s">
        <v>15</v>
      </c>
      <c r="B282" s="1" t="s">
        <v>16</v>
      </c>
      <c r="C282" s="1" t="s">
        <v>27</v>
      </c>
      <c r="D282" s="1">
        <v>71</v>
      </c>
      <c r="E282" s="1" t="s">
        <v>47</v>
      </c>
      <c r="F282" s="1" t="s">
        <v>48</v>
      </c>
      <c r="G282" s="1">
        <v>0.67</v>
      </c>
      <c r="H282" s="1" t="s">
        <v>20</v>
      </c>
      <c r="I282" t="s">
        <v>43</v>
      </c>
      <c r="J282" t="s">
        <v>44</v>
      </c>
      <c r="K282" t="s">
        <v>45</v>
      </c>
      <c r="L282" t="s">
        <v>46</v>
      </c>
      <c r="M282" t="str">
        <f t="shared" si="14"/>
        <v>non-charge-altering-copy1</v>
      </c>
      <c r="N282" t="str">
        <f t="shared" si="12"/>
        <v>3tu4</v>
      </c>
      <c r="O282" t="s">
        <v>30</v>
      </c>
      <c r="P282" t="str">
        <f t="shared" si="13"/>
        <v>H4 T71S</v>
      </c>
    </row>
    <row r="283" spans="1:16">
      <c r="A283" s="1" t="s">
        <v>15</v>
      </c>
      <c r="B283" s="1" t="s">
        <v>16</v>
      </c>
      <c r="C283" s="1" t="s">
        <v>27</v>
      </c>
      <c r="D283" s="1">
        <v>80</v>
      </c>
      <c r="E283" s="1" t="s">
        <v>47</v>
      </c>
      <c r="F283" s="1" t="s">
        <v>32</v>
      </c>
      <c r="G283" s="1">
        <v>0.56</v>
      </c>
      <c r="H283" s="1" t="s">
        <v>20</v>
      </c>
      <c r="I283" t="s">
        <v>43</v>
      </c>
      <c r="J283" t="s">
        <v>44</v>
      </c>
      <c r="K283" t="s">
        <v>45</v>
      </c>
      <c r="L283" t="s">
        <v>46</v>
      </c>
      <c r="M283" t="str">
        <f t="shared" si="14"/>
        <v>non-charge-altering-copy1</v>
      </c>
      <c r="N283" t="str">
        <f t="shared" si="12"/>
        <v>3tu4</v>
      </c>
      <c r="O283" t="s">
        <v>30</v>
      </c>
      <c r="P283" t="str">
        <f t="shared" si="13"/>
        <v>H4 T80A</v>
      </c>
    </row>
    <row r="284" spans="1:16">
      <c r="A284" s="1" t="s">
        <v>15</v>
      </c>
      <c r="B284" s="1" t="s">
        <v>16</v>
      </c>
      <c r="C284" s="1" t="s">
        <v>27</v>
      </c>
      <c r="D284" s="1">
        <v>94</v>
      </c>
      <c r="E284" s="1" t="s">
        <v>41</v>
      </c>
      <c r="F284" s="1" t="s">
        <v>39</v>
      </c>
      <c r="G284" s="1">
        <v>0.67</v>
      </c>
      <c r="H284" s="1" t="s">
        <v>20</v>
      </c>
      <c r="I284" t="s">
        <v>43</v>
      </c>
      <c r="J284" t="s">
        <v>44</v>
      </c>
      <c r="K284" t="s">
        <v>45</v>
      </c>
      <c r="L284" t="s">
        <v>46</v>
      </c>
      <c r="M284" t="str">
        <f t="shared" si="14"/>
        <v>non-charge-altering-copy1</v>
      </c>
      <c r="N284" t="str">
        <f t="shared" si="12"/>
        <v>3tu4</v>
      </c>
      <c r="O284" t="s">
        <v>30</v>
      </c>
      <c r="P284" t="str">
        <f t="shared" si="13"/>
        <v>H4 G94C</v>
      </c>
    </row>
    <row r="285" spans="1:16">
      <c r="A285" s="1" t="s">
        <v>15</v>
      </c>
      <c r="B285" s="1" t="s">
        <v>16</v>
      </c>
      <c r="C285" s="1" t="s">
        <v>27</v>
      </c>
      <c r="D285" s="1">
        <v>97</v>
      </c>
      <c r="E285" s="1" t="s">
        <v>28</v>
      </c>
      <c r="F285" s="1" t="s">
        <v>31</v>
      </c>
      <c r="G285" s="1">
        <v>0.57</v>
      </c>
      <c r="H285" s="1" t="s">
        <v>20</v>
      </c>
      <c r="I285" t="s">
        <v>43</v>
      </c>
      <c r="J285" t="s">
        <v>44</v>
      </c>
      <c r="K285" t="s">
        <v>45</v>
      </c>
      <c r="L285" t="s">
        <v>46</v>
      </c>
      <c r="M285" t="str">
        <f t="shared" si="14"/>
        <v>non-charge-altering-copy1</v>
      </c>
      <c r="N285" t="str">
        <f t="shared" si="12"/>
        <v>3tu4</v>
      </c>
      <c r="O285" t="s">
        <v>30</v>
      </c>
      <c r="P285" t="str">
        <f t="shared" si="13"/>
        <v>H4 L97F</v>
      </c>
    </row>
    <row r="286" spans="1:16">
      <c r="A286" s="1" t="s">
        <v>15</v>
      </c>
      <c r="B286" s="1" t="s">
        <v>16</v>
      </c>
      <c r="C286" s="1" t="s">
        <v>31</v>
      </c>
      <c r="D286" s="1">
        <v>22</v>
      </c>
      <c r="E286" s="1" t="s">
        <v>28</v>
      </c>
      <c r="F286" s="1" t="s">
        <v>53</v>
      </c>
      <c r="G286" s="1">
        <v>0.73</v>
      </c>
      <c r="H286" s="1" t="s">
        <v>20</v>
      </c>
      <c r="I286" t="s">
        <v>43</v>
      </c>
      <c r="J286" t="s">
        <v>44</v>
      </c>
      <c r="K286" t="s">
        <v>45</v>
      </c>
      <c r="L286" t="s">
        <v>46</v>
      </c>
      <c r="M286" t="str">
        <f t="shared" si="14"/>
        <v>non-charge-altering-copy2</v>
      </c>
      <c r="N286" t="str">
        <f t="shared" si="12"/>
        <v>3tu4</v>
      </c>
      <c r="O286" t="s">
        <v>30</v>
      </c>
      <c r="P286" t="str">
        <f t="shared" si="13"/>
        <v>H4 L22M</v>
      </c>
    </row>
    <row r="287" spans="1:16">
      <c r="A287" s="1" t="s">
        <v>15</v>
      </c>
      <c r="B287" s="1" t="s">
        <v>16</v>
      </c>
      <c r="C287" s="1" t="s">
        <v>31</v>
      </c>
      <c r="D287" s="1">
        <v>28</v>
      </c>
      <c r="E287" s="1" t="s">
        <v>41</v>
      </c>
      <c r="F287" s="1" t="s">
        <v>42</v>
      </c>
      <c r="G287" s="1">
        <v>1.26</v>
      </c>
      <c r="H287" s="1" t="s">
        <v>20</v>
      </c>
      <c r="I287" t="s">
        <v>43</v>
      </c>
      <c r="J287" t="s">
        <v>44</v>
      </c>
      <c r="K287" t="s">
        <v>45</v>
      </c>
      <c r="L287" t="s">
        <v>46</v>
      </c>
      <c r="M287" t="str">
        <f t="shared" si="14"/>
        <v>non-charge-altering-copy2</v>
      </c>
      <c r="N287" t="str">
        <f t="shared" si="12"/>
        <v>3tu4</v>
      </c>
      <c r="O287" t="s">
        <v>30</v>
      </c>
      <c r="P287" t="str">
        <f t="shared" si="13"/>
        <v>H4 G28V</v>
      </c>
    </row>
    <row r="288" spans="1:16">
      <c r="A288" s="1" t="s">
        <v>15</v>
      </c>
      <c r="B288" s="1" t="s">
        <v>16</v>
      </c>
      <c r="C288" s="1" t="s">
        <v>31</v>
      </c>
      <c r="D288" s="1">
        <v>42</v>
      </c>
      <c r="E288" s="1" t="s">
        <v>41</v>
      </c>
      <c r="F288" s="1" t="s">
        <v>42</v>
      </c>
      <c r="G288" s="1">
        <v>0.83</v>
      </c>
      <c r="H288" s="1" t="s">
        <v>20</v>
      </c>
      <c r="I288" t="s">
        <v>43</v>
      </c>
      <c r="J288" t="s">
        <v>44</v>
      </c>
      <c r="K288" t="s">
        <v>45</v>
      </c>
      <c r="L288" t="s">
        <v>46</v>
      </c>
      <c r="M288" t="str">
        <f t="shared" si="14"/>
        <v>non-charge-altering-copy2</v>
      </c>
      <c r="N288" t="str">
        <f t="shared" si="12"/>
        <v>3tu4</v>
      </c>
      <c r="O288" t="s">
        <v>30</v>
      </c>
      <c r="P288" t="str">
        <f t="shared" si="13"/>
        <v>H4 G42V</v>
      </c>
    </row>
    <row r="289" spans="1:16">
      <c r="A289" s="1" t="s">
        <v>15</v>
      </c>
      <c r="B289" s="1" t="s">
        <v>16</v>
      </c>
      <c r="C289" s="1" t="s">
        <v>31</v>
      </c>
      <c r="D289" s="1">
        <v>49</v>
      </c>
      <c r="E289" s="1" t="s">
        <v>28</v>
      </c>
      <c r="F289" s="1" t="s">
        <v>31</v>
      </c>
      <c r="G289" s="1">
        <v>0.39</v>
      </c>
      <c r="H289" s="1" t="s">
        <v>20</v>
      </c>
      <c r="I289" t="s">
        <v>43</v>
      </c>
      <c r="J289" t="s">
        <v>44</v>
      </c>
      <c r="K289" t="s">
        <v>45</v>
      </c>
      <c r="L289" t="s">
        <v>46</v>
      </c>
      <c r="M289" t="str">
        <f t="shared" si="14"/>
        <v>non-charge-altering-copy2</v>
      </c>
      <c r="N289" t="str">
        <f t="shared" si="12"/>
        <v>3tu4</v>
      </c>
      <c r="O289" t="s">
        <v>30</v>
      </c>
      <c r="P289" t="str">
        <f t="shared" si="13"/>
        <v>H4 L49F</v>
      </c>
    </row>
    <row r="290" spans="1:16">
      <c r="A290" s="1" t="s">
        <v>15</v>
      </c>
      <c r="B290" s="1" t="s">
        <v>16</v>
      </c>
      <c r="C290" s="1" t="s">
        <v>31</v>
      </c>
      <c r="D290" s="1">
        <v>50</v>
      </c>
      <c r="E290" s="1" t="s">
        <v>62</v>
      </c>
      <c r="F290" s="1" t="s">
        <v>47</v>
      </c>
      <c r="G290" s="1">
        <v>0.6</v>
      </c>
      <c r="H290" s="1" t="s">
        <v>20</v>
      </c>
      <c r="I290" t="s">
        <v>43</v>
      </c>
      <c r="J290" t="s">
        <v>44</v>
      </c>
      <c r="K290" t="s">
        <v>45</v>
      </c>
      <c r="L290" t="s">
        <v>46</v>
      </c>
      <c r="M290" t="str">
        <f t="shared" si="14"/>
        <v>non-charge-altering-copy2</v>
      </c>
      <c r="N290" t="str">
        <f t="shared" si="12"/>
        <v>3tu4</v>
      </c>
      <c r="O290" t="s">
        <v>30</v>
      </c>
      <c r="P290" t="str">
        <f t="shared" si="13"/>
        <v>H4 I50T</v>
      </c>
    </row>
    <row r="291" spans="1:16">
      <c r="A291" s="1" t="s">
        <v>15</v>
      </c>
      <c r="B291" s="1" t="s">
        <v>16</v>
      </c>
      <c r="C291" s="1" t="s">
        <v>31</v>
      </c>
      <c r="D291" s="1">
        <v>50</v>
      </c>
      <c r="E291" s="1" t="s">
        <v>62</v>
      </c>
      <c r="F291" s="1" t="s">
        <v>53</v>
      </c>
      <c r="G291" s="1">
        <v>0.58</v>
      </c>
      <c r="H291" s="1" t="s">
        <v>20</v>
      </c>
      <c r="I291" t="s">
        <v>43</v>
      </c>
      <c r="J291" t="s">
        <v>44</v>
      </c>
      <c r="K291" t="s">
        <v>45</v>
      </c>
      <c r="L291" t="s">
        <v>46</v>
      </c>
      <c r="M291" t="str">
        <f t="shared" si="14"/>
        <v>non-charge-altering-copy2</v>
      </c>
      <c r="N291" t="str">
        <f t="shared" si="12"/>
        <v>3tu4</v>
      </c>
      <c r="O291" t="s">
        <v>30</v>
      </c>
      <c r="P291" t="str">
        <f t="shared" si="13"/>
        <v>H4 I50M</v>
      </c>
    </row>
    <row r="292" spans="1:16">
      <c r="A292" s="1" t="s">
        <v>15</v>
      </c>
      <c r="B292" s="1" t="s">
        <v>16</v>
      </c>
      <c r="C292" s="1" t="s">
        <v>31</v>
      </c>
      <c r="D292" s="1">
        <v>57</v>
      </c>
      <c r="E292" s="1" t="s">
        <v>42</v>
      </c>
      <c r="F292" s="1" t="s">
        <v>28</v>
      </c>
      <c r="G292" s="1">
        <v>0.11</v>
      </c>
      <c r="H292" s="1" t="s">
        <v>20</v>
      </c>
      <c r="I292" t="s">
        <v>43</v>
      </c>
      <c r="J292" t="s">
        <v>44</v>
      </c>
      <c r="K292" t="s">
        <v>45</v>
      </c>
      <c r="L292" t="s">
        <v>46</v>
      </c>
      <c r="M292" t="str">
        <f t="shared" si="14"/>
        <v>non-charge-altering-copy2</v>
      </c>
      <c r="N292" t="str">
        <f t="shared" si="12"/>
        <v>3tu4</v>
      </c>
      <c r="O292" t="s">
        <v>30</v>
      </c>
      <c r="P292" t="str">
        <f t="shared" si="13"/>
        <v>H4 V57L</v>
      </c>
    </row>
    <row r="293" spans="1:16">
      <c r="A293" s="1" t="s">
        <v>15</v>
      </c>
      <c r="B293" s="1" t="s">
        <v>16</v>
      </c>
      <c r="C293" s="1" t="s">
        <v>31</v>
      </c>
      <c r="D293" s="1">
        <v>60</v>
      </c>
      <c r="E293" s="1" t="s">
        <v>42</v>
      </c>
      <c r="F293" s="1" t="s">
        <v>28</v>
      </c>
      <c r="G293" s="1">
        <v>0.13</v>
      </c>
      <c r="H293" s="1" t="s">
        <v>20</v>
      </c>
      <c r="I293" t="s">
        <v>43</v>
      </c>
      <c r="J293" t="s">
        <v>44</v>
      </c>
      <c r="K293" t="s">
        <v>45</v>
      </c>
      <c r="L293" t="s">
        <v>46</v>
      </c>
      <c r="M293" t="str">
        <f t="shared" si="14"/>
        <v>non-charge-altering-copy2</v>
      </c>
      <c r="N293" t="str">
        <f t="shared" si="12"/>
        <v>3tu4</v>
      </c>
      <c r="O293" t="s">
        <v>30</v>
      </c>
      <c r="P293" t="str">
        <f t="shared" si="13"/>
        <v>H4 V60L</v>
      </c>
    </row>
    <row r="294" spans="1:16">
      <c r="A294" s="1" t="s">
        <v>15</v>
      </c>
      <c r="B294" s="1" t="s">
        <v>16</v>
      </c>
      <c r="C294" s="1" t="s">
        <v>31</v>
      </c>
      <c r="D294" s="1">
        <v>61</v>
      </c>
      <c r="E294" s="1" t="s">
        <v>31</v>
      </c>
      <c r="F294" s="1" t="s">
        <v>39</v>
      </c>
      <c r="G294" s="1">
        <v>1.4</v>
      </c>
      <c r="H294" s="1" t="s">
        <v>20</v>
      </c>
      <c r="I294" t="s">
        <v>43</v>
      </c>
      <c r="J294" t="s">
        <v>44</v>
      </c>
      <c r="K294" t="s">
        <v>45</v>
      </c>
      <c r="L294" t="s">
        <v>46</v>
      </c>
      <c r="M294" t="str">
        <f t="shared" si="14"/>
        <v>non-charge-altering-copy2</v>
      </c>
      <c r="N294" t="str">
        <f t="shared" si="12"/>
        <v>3tu4</v>
      </c>
      <c r="O294" t="s">
        <v>30</v>
      </c>
      <c r="P294" t="str">
        <f t="shared" si="13"/>
        <v>H4 F61C</v>
      </c>
    </row>
    <row r="295" spans="1:16">
      <c r="A295" s="1" t="s">
        <v>15</v>
      </c>
      <c r="B295" s="1" t="s">
        <v>16</v>
      </c>
      <c r="C295" s="1" t="s">
        <v>31</v>
      </c>
      <c r="D295" s="1">
        <v>61</v>
      </c>
      <c r="E295" s="1" t="s">
        <v>31</v>
      </c>
      <c r="F295" s="1" t="s">
        <v>28</v>
      </c>
      <c r="G295" s="1">
        <v>1.51</v>
      </c>
      <c r="H295" s="1" t="s">
        <v>20</v>
      </c>
      <c r="I295" t="s">
        <v>43</v>
      </c>
      <c r="J295" t="s">
        <v>44</v>
      </c>
      <c r="K295" t="s">
        <v>45</v>
      </c>
      <c r="L295" t="s">
        <v>46</v>
      </c>
      <c r="M295" t="str">
        <f t="shared" si="14"/>
        <v>non-charge-altering-copy2</v>
      </c>
      <c r="N295" t="str">
        <f t="shared" si="12"/>
        <v>3tu4</v>
      </c>
      <c r="O295" t="s">
        <v>30</v>
      </c>
      <c r="P295" t="str">
        <f t="shared" si="13"/>
        <v>H4 F61L</v>
      </c>
    </row>
    <row r="296" spans="1:16">
      <c r="A296" s="1" t="s">
        <v>15</v>
      </c>
      <c r="B296" s="1" t="s">
        <v>16</v>
      </c>
      <c r="C296" s="1" t="s">
        <v>31</v>
      </c>
      <c r="D296" s="1">
        <v>71</v>
      </c>
      <c r="E296" s="1" t="s">
        <v>47</v>
      </c>
      <c r="F296" s="1" t="s">
        <v>48</v>
      </c>
      <c r="G296" s="1">
        <v>0.64</v>
      </c>
      <c r="H296" s="1" t="s">
        <v>20</v>
      </c>
      <c r="I296" t="s">
        <v>43</v>
      </c>
      <c r="J296" t="s">
        <v>44</v>
      </c>
      <c r="K296" t="s">
        <v>45</v>
      </c>
      <c r="L296" t="s">
        <v>46</v>
      </c>
      <c r="M296" t="str">
        <f t="shared" si="14"/>
        <v>non-charge-altering-copy2</v>
      </c>
      <c r="N296" t="str">
        <f t="shared" si="12"/>
        <v>3tu4</v>
      </c>
      <c r="O296" t="s">
        <v>30</v>
      </c>
      <c r="P296" t="str">
        <f t="shared" si="13"/>
        <v>H4 T71S</v>
      </c>
    </row>
    <row r="297" spans="1:16">
      <c r="A297" s="1" t="s">
        <v>15</v>
      </c>
      <c r="B297" s="1" t="s">
        <v>16</v>
      </c>
      <c r="C297" s="1" t="s">
        <v>31</v>
      </c>
      <c r="D297" s="1">
        <v>80</v>
      </c>
      <c r="E297" s="1" t="s">
        <v>47</v>
      </c>
      <c r="F297" s="1" t="s">
        <v>32</v>
      </c>
      <c r="G297" s="1">
        <v>0.56</v>
      </c>
      <c r="H297" s="1" t="s">
        <v>20</v>
      </c>
      <c r="I297" t="s">
        <v>43</v>
      </c>
      <c r="J297" t="s">
        <v>44</v>
      </c>
      <c r="K297" t="s">
        <v>45</v>
      </c>
      <c r="L297" t="s">
        <v>46</v>
      </c>
      <c r="M297" t="str">
        <f t="shared" si="14"/>
        <v>non-charge-altering-copy2</v>
      </c>
      <c r="N297" t="str">
        <f t="shared" si="12"/>
        <v>3tu4</v>
      </c>
      <c r="O297" t="s">
        <v>30</v>
      </c>
      <c r="P297" t="str">
        <f t="shared" si="13"/>
        <v>H4 T80A</v>
      </c>
    </row>
    <row r="298" spans="1:16">
      <c r="A298" s="1" t="s">
        <v>15</v>
      </c>
      <c r="B298" s="1" t="s">
        <v>16</v>
      </c>
      <c r="C298" s="1" t="s">
        <v>31</v>
      </c>
      <c r="D298" s="1">
        <v>94</v>
      </c>
      <c r="E298" s="1" t="s">
        <v>41</v>
      </c>
      <c r="F298" s="1" t="s">
        <v>39</v>
      </c>
      <c r="G298" s="1">
        <v>0.67</v>
      </c>
      <c r="H298" s="1" t="s">
        <v>20</v>
      </c>
      <c r="I298" t="s">
        <v>43</v>
      </c>
      <c r="J298" t="s">
        <v>44</v>
      </c>
      <c r="K298" t="s">
        <v>45</v>
      </c>
      <c r="L298" t="s">
        <v>46</v>
      </c>
      <c r="M298" t="str">
        <f t="shared" si="14"/>
        <v>non-charge-altering-copy2</v>
      </c>
      <c r="N298" t="str">
        <f t="shared" si="12"/>
        <v>3tu4</v>
      </c>
      <c r="O298" t="s">
        <v>30</v>
      </c>
      <c r="P298" t="str">
        <f t="shared" si="13"/>
        <v>H4 G94C</v>
      </c>
    </row>
    <row r="299" spans="1:16">
      <c r="A299" s="1" t="s">
        <v>15</v>
      </c>
      <c r="B299" s="1" t="s">
        <v>16</v>
      </c>
      <c r="C299" s="1" t="s">
        <v>31</v>
      </c>
      <c r="D299" s="1">
        <v>97</v>
      </c>
      <c r="E299" s="1" t="s">
        <v>28</v>
      </c>
      <c r="F299" s="1" t="s">
        <v>31</v>
      </c>
      <c r="G299" s="1">
        <v>0.64</v>
      </c>
      <c r="H299" s="1" t="s">
        <v>20</v>
      </c>
      <c r="I299" t="s">
        <v>43</v>
      </c>
      <c r="J299" t="s">
        <v>44</v>
      </c>
      <c r="K299" t="s">
        <v>45</v>
      </c>
      <c r="L299" t="s">
        <v>46</v>
      </c>
      <c r="M299" t="str">
        <f t="shared" si="14"/>
        <v>non-charge-altering-copy2</v>
      </c>
      <c r="N299" t="str">
        <f t="shared" si="12"/>
        <v>3tu4</v>
      </c>
      <c r="O299" t="s">
        <v>30</v>
      </c>
      <c r="P299" t="str">
        <f t="shared" si="13"/>
        <v>H4 L97F</v>
      </c>
    </row>
    <row r="300" spans="1:16">
      <c r="A300" s="1" t="s">
        <v>15</v>
      </c>
      <c r="B300" s="1" t="s">
        <v>16</v>
      </c>
      <c r="C300" s="1" t="s">
        <v>32</v>
      </c>
      <c r="D300" s="1">
        <v>111</v>
      </c>
      <c r="E300" s="1" t="s">
        <v>32</v>
      </c>
      <c r="F300" s="1" t="s">
        <v>41</v>
      </c>
      <c r="G300" s="1">
        <v>0.49</v>
      </c>
      <c r="H300" s="1" t="s">
        <v>20</v>
      </c>
      <c r="I300" t="s">
        <v>43</v>
      </c>
      <c r="J300" t="s">
        <v>44</v>
      </c>
      <c r="K300" t="s">
        <v>45</v>
      </c>
      <c r="L300" t="s">
        <v>46</v>
      </c>
      <c r="M300" t="str">
        <f t="shared" si="14"/>
        <v>non-charge-altering-copy1</v>
      </c>
      <c r="N300" t="str">
        <f t="shared" si="12"/>
        <v>3tu4</v>
      </c>
      <c r="O300" t="s">
        <v>33</v>
      </c>
      <c r="P300" t="str">
        <f t="shared" si="13"/>
        <v>H3 A111G</v>
      </c>
    </row>
    <row r="301" spans="1:16">
      <c r="A301" s="1" t="s">
        <v>15</v>
      </c>
      <c r="B301" s="1" t="s">
        <v>16</v>
      </c>
      <c r="C301" s="1" t="s">
        <v>32</v>
      </c>
      <c r="D301" s="1">
        <v>111</v>
      </c>
      <c r="E301" s="1" t="s">
        <v>32</v>
      </c>
      <c r="F301" s="1" t="s">
        <v>42</v>
      </c>
      <c r="G301" s="1">
        <v>0.36</v>
      </c>
      <c r="H301" s="1" t="s">
        <v>20</v>
      </c>
      <c r="I301" t="s">
        <v>43</v>
      </c>
      <c r="J301" t="s">
        <v>44</v>
      </c>
      <c r="K301" t="s">
        <v>45</v>
      </c>
      <c r="L301" t="s">
        <v>46</v>
      </c>
      <c r="M301" t="str">
        <f t="shared" si="14"/>
        <v>non-charge-altering-copy1</v>
      </c>
      <c r="N301" t="str">
        <f t="shared" si="12"/>
        <v>3tu4</v>
      </c>
      <c r="O301" t="s">
        <v>33</v>
      </c>
      <c r="P301" t="str">
        <f t="shared" si="13"/>
        <v>H3 A111V</v>
      </c>
    </row>
    <row r="302" spans="1:16">
      <c r="A302" s="1" t="s">
        <v>15</v>
      </c>
      <c r="B302" s="1" t="s">
        <v>16</v>
      </c>
      <c r="C302" s="1" t="s">
        <v>32</v>
      </c>
      <c r="D302" s="1">
        <v>111</v>
      </c>
      <c r="E302" s="1" t="s">
        <v>32</v>
      </c>
      <c r="F302" s="1" t="s">
        <v>47</v>
      </c>
      <c r="G302" s="1">
        <v>-0.01</v>
      </c>
      <c r="H302" s="1" t="s">
        <v>58</v>
      </c>
      <c r="I302" t="s">
        <v>43</v>
      </c>
      <c r="J302" t="s">
        <v>44</v>
      </c>
      <c r="K302" t="s">
        <v>45</v>
      </c>
      <c r="L302" t="s">
        <v>46</v>
      </c>
      <c r="M302" t="str">
        <f t="shared" si="14"/>
        <v>non-charge-altering-copy1</v>
      </c>
      <c r="N302" t="str">
        <f t="shared" si="12"/>
        <v>3tu4</v>
      </c>
      <c r="O302" t="s">
        <v>33</v>
      </c>
      <c r="P302" t="str">
        <f t="shared" si="13"/>
        <v>H3 A111T</v>
      </c>
    </row>
    <row r="303" spans="1:16">
      <c r="A303" s="1" t="s">
        <v>15</v>
      </c>
      <c r="B303" s="1" t="s">
        <v>16</v>
      </c>
      <c r="C303" s="1" t="s">
        <v>32</v>
      </c>
      <c r="D303" s="1">
        <v>112</v>
      </c>
      <c r="E303" s="1" t="s">
        <v>62</v>
      </c>
      <c r="F303" s="1" t="s">
        <v>42</v>
      </c>
      <c r="G303" s="1">
        <v>0.84</v>
      </c>
      <c r="H303" s="1" t="s">
        <v>20</v>
      </c>
      <c r="I303" t="s">
        <v>43</v>
      </c>
      <c r="J303" t="s">
        <v>44</v>
      </c>
      <c r="K303" t="s">
        <v>45</v>
      </c>
      <c r="L303" t="s">
        <v>46</v>
      </c>
      <c r="M303" t="str">
        <f t="shared" si="14"/>
        <v>non-charge-altering-copy1</v>
      </c>
      <c r="N303" t="str">
        <f t="shared" si="12"/>
        <v>3tu4</v>
      </c>
      <c r="O303" t="s">
        <v>33</v>
      </c>
      <c r="P303" t="str">
        <f t="shared" si="13"/>
        <v>H3 I112V</v>
      </c>
    </row>
    <row r="304" spans="1:16">
      <c r="A304" s="1" t="s">
        <v>15</v>
      </c>
      <c r="B304" s="1" t="s">
        <v>16</v>
      </c>
      <c r="C304" s="1" t="s">
        <v>32</v>
      </c>
      <c r="D304" s="1">
        <v>114</v>
      </c>
      <c r="E304" s="1" t="s">
        <v>32</v>
      </c>
      <c r="F304" s="1" t="s">
        <v>48</v>
      </c>
      <c r="G304" s="1">
        <v>0.14</v>
      </c>
      <c r="H304" s="1" t="s">
        <v>20</v>
      </c>
      <c r="I304" t="s">
        <v>43</v>
      </c>
      <c r="J304" t="s">
        <v>44</v>
      </c>
      <c r="K304" t="s">
        <v>45</v>
      </c>
      <c r="L304" t="s">
        <v>46</v>
      </c>
      <c r="M304" t="str">
        <f t="shared" si="14"/>
        <v>non-charge-altering-copy1</v>
      </c>
      <c r="N304" t="str">
        <f t="shared" si="12"/>
        <v>3tu4</v>
      </c>
      <c r="O304" t="s">
        <v>33</v>
      </c>
      <c r="P304" t="str">
        <f t="shared" si="13"/>
        <v>H3 A114S</v>
      </c>
    </row>
    <row r="305" spans="1:16">
      <c r="A305" s="1" t="s">
        <v>15</v>
      </c>
      <c r="B305" s="1" t="s">
        <v>16</v>
      </c>
      <c r="C305" s="1" t="s">
        <v>32</v>
      </c>
      <c r="D305" s="1">
        <v>117</v>
      </c>
      <c r="E305" s="1" t="s">
        <v>42</v>
      </c>
      <c r="F305" s="1" t="s">
        <v>53</v>
      </c>
      <c r="G305" s="1">
        <v>0.29</v>
      </c>
      <c r="H305" s="1" t="s">
        <v>20</v>
      </c>
      <c r="I305" t="s">
        <v>43</v>
      </c>
      <c r="J305" t="s">
        <v>44</v>
      </c>
      <c r="K305" t="s">
        <v>45</v>
      </c>
      <c r="L305" t="s">
        <v>46</v>
      </c>
      <c r="M305" t="str">
        <f t="shared" si="14"/>
        <v>non-charge-altering-copy1</v>
      </c>
      <c r="N305" t="str">
        <f t="shared" si="12"/>
        <v>3tu4</v>
      </c>
      <c r="O305" t="s">
        <v>33</v>
      </c>
      <c r="P305" t="str">
        <f t="shared" si="13"/>
        <v>H3 V117M</v>
      </c>
    </row>
    <row r="306" spans="1:16">
      <c r="A306" s="1" t="s">
        <v>15</v>
      </c>
      <c r="B306" s="1" t="s">
        <v>16</v>
      </c>
      <c r="C306" s="1" t="s">
        <v>32</v>
      </c>
      <c r="D306" s="1">
        <v>117</v>
      </c>
      <c r="E306" s="1" t="s">
        <v>42</v>
      </c>
      <c r="F306" s="1" t="s">
        <v>41</v>
      </c>
      <c r="G306" s="1">
        <v>0.88</v>
      </c>
      <c r="H306" s="1" t="s">
        <v>20</v>
      </c>
      <c r="I306" t="s">
        <v>43</v>
      </c>
      <c r="J306" t="s">
        <v>44</v>
      </c>
      <c r="K306" t="s">
        <v>45</v>
      </c>
      <c r="L306" t="s">
        <v>46</v>
      </c>
      <c r="M306" t="str">
        <f t="shared" si="14"/>
        <v>non-charge-altering-copy1</v>
      </c>
      <c r="N306" t="str">
        <f t="shared" si="12"/>
        <v>3tu4</v>
      </c>
      <c r="O306" t="s">
        <v>33</v>
      </c>
      <c r="P306" t="str">
        <f t="shared" si="13"/>
        <v>H3 V117G</v>
      </c>
    </row>
    <row r="307" spans="1:16">
      <c r="A307" s="1" t="s">
        <v>15</v>
      </c>
      <c r="B307" s="1" t="s">
        <v>16</v>
      </c>
      <c r="C307" s="1" t="s">
        <v>32</v>
      </c>
      <c r="D307" s="1">
        <v>119</v>
      </c>
      <c r="E307" s="1" t="s">
        <v>62</v>
      </c>
      <c r="F307" s="1" t="s">
        <v>28</v>
      </c>
      <c r="G307" s="1">
        <v>0.63</v>
      </c>
      <c r="H307" s="1" t="s">
        <v>20</v>
      </c>
      <c r="I307" t="s">
        <v>43</v>
      </c>
      <c r="J307" t="s">
        <v>44</v>
      </c>
      <c r="K307" t="s">
        <v>45</v>
      </c>
      <c r="L307" t="s">
        <v>46</v>
      </c>
      <c r="M307" t="str">
        <f t="shared" si="14"/>
        <v>non-charge-altering-copy1</v>
      </c>
      <c r="N307" t="str">
        <f t="shared" si="12"/>
        <v>3tu4</v>
      </c>
      <c r="O307" t="s">
        <v>33</v>
      </c>
      <c r="P307" t="str">
        <f t="shared" si="13"/>
        <v>H3 I119L</v>
      </c>
    </row>
    <row r="308" spans="1:16">
      <c r="A308" s="1" t="s">
        <v>15</v>
      </c>
      <c r="B308" s="1" t="s">
        <v>16</v>
      </c>
      <c r="C308" s="1" t="s">
        <v>32</v>
      </c>
      <c r="D308" s="1">
        <v>120</v>
      </c>
      <c r="E308" s="1" t="s">
        <v>53</v>
      </c>
      <c r="F308" s="1" t="s">
        <v>62</v>
      </c>
      <c r="G308" s="1">
        <v>0.76</v>
      </c>
      <c r="H308" s="1" t="s">
        <v>20</v>
      </c>
      <c r="I308" t="s">
        <v>43</v>
      </c>
      <c r="J308" t="s">
        <v>44</v>
      </c>
      <c r="K308" t="s">
        <v>45</v>
      </c>
      <c r="L308" t="s">
        <v>46</v>
      </c>
      <c r="M308" t="str">
        <f t="shared" si="14"/>
        <v>non-charge-altering-copy1</v>
      </c>
      <c r="N308" t="str">
        <f t="shared" si="12"/>
        <v>3tu4</v>
      </c>
      <c r="O308" t="s">
        <v>33</v>
      </c>
      <c r="P308" t="str">
        <f t="shared" si="13"/>
        <v>H3 M120I</v>
      </c>
    </row>
    <row r="309" spans="1:16">
      <c r="A309" s="1" t="s">
        <v>15</v>
      </c>
      <c r="B309" s="1" t="s">
        <v>16</v>
      </c>
      <c r="C309" s="1" t="s">
        <v>32</v>
      </c>
      <c r="D309" s="1">
        <v>121</v>
      </c>
      <c r="E309" s="1" t="s">
        <v>51</v>
      </c>
      <c r="F309" s="1" t="s">
        <v>47</v>
      </c>
      <c r="G309" s="1">
        <v>0.52</v>
      </c>
      <c r="H309" s="1" t="s">
        <v>20</v>
      </c>
      <c r="I309" t="s">
        <v>43</v>
      </c>
      <c r="J309" t="s">
        <v>44</v>
      </c>
      <c r="K309" t="s">
        <v>45</v>
      </c>
      <c r="L309" t="s">
        <v>46</v>
      </c>
      <c r="M309" t="str">
        <f t="shared" si="14"/>
        <v>non-charge-altering-copy1</v>
      </c>
      <c r="N309" t="str">
        <f t="shared" si="12"/>
        <v>3tu4</v>
      </c>
      <c r="O309" t="s">
        <v>33</v>
      </c>
      <c r="P309" t="str">
        <f t="shared" si="13"/>
        <v>H3 P121T</v>
      </c>
    </row>
    <row r="310" spans="1:16">
      <c r="A310" s="1" t="s">
        <v>15</v>
      </c>
      <c r="B310" s="1" t="s">
        <v>16</v>
      </c>
      <c r="C310" s="1" t="s">
        <v>32</v>
      </c>
      <c r="D310" s="1">
        <v>126</v>
      </c>
      <c r="E310" s="1" t="s">
        <v>28</v>
      </c>
      <c r="F310" s="1" t="s">
        <v>42</v>
      </c>
      <c r="G310" s="1">
        <v>1.04</v>
      </c>
      <c r="H310" s="1" t="s">
        <v>20</v>
      </c>
      <c r="I310" t="s">
        <v>43</v>
      </c>
      <c r="J310" t="s">
        <v>44</v>
      </c>
      <c r="K310" t="s">
        <v>45</v>
      </c>
      <c r="L310" t="s">
        <v>46</v>
      </c>
      <c r="M310" t="str">
        <f t="shared" si="14"/>
        <v>non-charge-altering-copy1</v>
      </c>
      <c r="N310" t="str">
        <f t="shared" si="12"/>
        <v>3tu4</v>
      </c>
      <c r="O310" t="s">
        <v>33</v>
      </c>
      <c r="P310" t="str">
        <f t="shared" si="13"/>
        <v>H3 L126V</v>
      </c>
    </row>
    <row r="311" spans="1:16">
      <c r="A311" s="1" t="s">
        <v>15</v>
      </c>
      <c r="B311" s="1" t="s">
        <v>16</v>
      </c>
      <c r="C311" s="1" t="s">
        <v>32</v>
      </c>
      <c r="D311" s="1">
        <v>126</v>
      </c>
      <c r="E311" s="1" t="s">
        <v>28</v>
      </c>
      <c r="F311" s="1" t="s">
        <v>53</v>
      </c>
      <c r="G311" s="1">
        <v>0.49</v>
      </c>
      <c r="H311" s="1" t="s">
        <v>20</v>
      </c>
      <c r="I311" t="s">
        <v>43</v>
      </c>
      <c r="J311" t="s">
        <v>44</v>
      </c>
      <c r="K311" t="s">
        <v>45</v>
      </c>
      <c r="L311" t="s">
        <v>46</v>
      </c>
      <c r="M311" t="str">
        <f t="shared" si="14"/>
        <v>non-charge-altering-copy1</v>
      </c>
      <c r="N311" t="str">
        <f t="shared" si="12"/>
        <v>3tu4</v>
      </c>
      <c r="O311" t="s">
        <v>33</v>
      </c>
      <c r="P311" t="str">
        <f t="shared" si="13"/>
        <v>H3 L126M</v>
      </c>
    </row>
    <row r="312" spans="1:16">
      <c r="A312" s="1" t="s">
        <v>15</v>
      </c>
      <c r="B312" s="1" t="s">
        <v>16</v>
      </c>
      <c r="C312" s="1" t="s">
        <v>32</v>
      </c>
      <c r="D312" s="1">
        <v>127</v>
      </c>
      <c r="E312" s="1" t="s">
        <v>32</v>
      </c>
      <c r="F312" s="1" t="s">
        <v>51</v>
      </c>
      <c r="G312" s="1">
        <v>0.5</v>
      </c>
      <c r="H312" s="1" t="s">
        <v>20</v>
      </c>
      <c r="I312" t="s">
        <v>43</v>
      </c>
      <c r="J312" t="s">
        <v>44</v>
      </c>
      <c r="K312" t="s">
        <v>45</v>
      </c>
      <c r="L312" t="s">
        <v>46</v>
      </c>
      <c r="M312" t="str">
        <f t="shared" si="14"/>
        <v>non-charge-altering-copy1</v>
      </c>
      <c r="N312" t="str">
        <f t="shared" si="12"/>
        <v>3tu4</v>
      </c>
      <c r="O312" t="s">
        <v>33</v>
      </c>
      <c r="P312" t="str">
        <f t="shared" si="13"/>
        <v>H3 A127P</v>
      </c>
    </row>
    <row r="313" spans="1:16">
      <c r="A313" s="1" t="s">
        <v>15</v>
      </c>
      <c r="B313" s="1" t="s">
        <v>16</v>
      </c>
      <c r="C313" s="1" t="s">
        <v>32</v>
      </c>
      <c r="D313" s="1">
        <v>44</v>
      </c>
      <c r="E313" s="1" t="s">
        <v>41</v>
      </c>
      <c r="F313" s="1" t="s">
        <v>42</v>
      </c>
      <c r="G313" s="1">
        <v>0.56</v>
      </c>
      <c r="H313" s="1" t="s">
        <v>20</v>
      </c>
      <c r="I313" t="s">
        <v>43</v>
      </c>
      <c r="J313" t="s">
        <v>44</v>
      </c>
      <c r="K313" t="s">
        <v>45</v>
      </c>
      <c r="L313" t="s">
        <v>46</v>
      </c>
      <c r="M313" t="str">
        <f t="shared" si="14"/>
        <v>non-charge-altering-copy1</v>
      </c>
      <c r="N313" t="str">
        <f t="shared" si="12"/>
        <v>3tu4</v>
      </c>
      <c r="O313" t="s">
        <v>33</v>
      </c>
      <c r="P313" t="str">
        <f t="shared" si="13"/>
        <v>H3 G44V</v>
      </c>
    </row>
    <row r="314" spans="1:16">
      <c r="A314" s="1" t="s">
        <v>15</v>
      </c>
      <c r="B314" s="1" t="s">
        <v>16</v>
      </c>
      <c r="C314" s="1" t="s">
        <v>32</v>
      </c>
      <c r="D314" s="1">
        <v>47</v>
      </c>
      <c r="E314" s="1" t="s">
        <v>32</v>
      </c>
      <c r="F314" s="1" t="s">
        <v>48</v>
      </c>
      <c r="G314" s="1">
        <v>0.36</v>
      </c>
      <c r="H314" s="1" t="s">
        <v>20</v>
      </c>
      <c r="I314" t="s">
        <v>43</v>
      </c>
      <c r="J314" t="s">
        <v>44</v>
      </c>
      <c r="K314" t="s">
        <v>45</v>
      </c>
      <c r="L314" t="s">
        <v>46</v>
      </c>
      <c r="M314" t="str">
        <f t="shared" si="14"/>
        <v>non-charge-altering-copy1</v>
      </c>
      <c r="N314" t="str">
        <f t="shared" si="12"/>
        <v>3tu4</v>
      </c>
      <c r="O314" t="s">
        <v>33</v>
      </c>
      <c r="P314" t="str">
        <f t="shared" si="13"/>
        <v>H3 A47S</v>
      </c>
    </row>
    <row r="315" spans="1:16">
      <c r="A315" s="1" t="s">
        <v>15</v>
      </c>
      <c r="B315" s="1" t="s">
        <v>16</v>
      </c>
      <c r="C315" s="1" t="s">
        <v>32</v>
      </c>
      <c r="D315" s="1">
        <v>47</v>
      </c>
      <c r="E315" s="1" t="s">
        <v>32</v>
      </c>
      <c r="F315" s="1" t="s">
        <v>47</v>
      </c>
      <c r="G315" s="1">
        <v>0.3</v>
      </c>
      <c r="H315" s="1" t="s">
        <v>20</v>
      </c>
      <c r="I315" t="s">
        <v>43</v>
      </c>
      <c r="J315" t="s">
        <v>44</v>
      </c>
      <c r="K315" t="s">
        <v>45</v>
      </c>
      <c r="L315" t="s">
        <v>46</v>
      </c>
      <c r="M315" t="str">
        <f t="shared" si="14"/>
        <v>non-charge-altering-copy1</v>
      </c>
      <c r="N315" t="str">
        <f t="shared" si="12"/>
        <v>3tu4</v>
      </c>
      <c r="O315" t="s">
        <v>33</v>
      </c>
      <c r="P315" t="str">
        <f t="shared" si="13"/>
        <v>H3 A47T</v>
      </c>
    </row>
    <row r="316" spans="1:16">
      <c r="A316" s="1" t="s">
        <v>15</v>
      </c>
      <c r="B316" s="1" t="s">
        <v>16</v>
      </c>
      <c r="C316" s="1" t="s">
        <v>32</v>
      </c>
      <c r="D316" s="1">
        <v>54</v>
      </c>
      <c r="E316" s="1" t="s">
        <v>54</v>
      </c>
      <c r="F316" s="1" t="s">
        <v>34</v>
      </c>
      <c r="G316" s="1">
        <v>2.02</v>
      </c>
      <c r="H316" s="1" t="s">
        <v>20</v>
      </c>
      <c r="I316" t="s">
        <v>43</v>
      </c>
      <c r="J316" t="s">
        <v>44</v>
      </c>
      <c r="K316" t="s">
        <v>45</v>
      </c>
      <c r="L316" t="s">
        <v>46</v>
      </c>
      <c r="M316" t="str">
        <f t="shared" si="14"/>
        <v>non-charge-altering-copy1</v>
      </c>
      <c r="N316" t="str">
        <f t="shared" si="12"/>
        <v>3tu4</v>
      </c>
      <c r="O316" t="s">
        <v>33</v>
      </c>
      <c r="P316" t="str">
        <f t="shared" si="13"/>
        <v>H3 Y54N</v>
      </c>
    </row>
    <row r="317" spans="1:16">
      <c r="A317" s="1" t="s">
        <v>15</v>
      </c>
      <c r="B317" s="1" t="s">
        <v>16</v>
      </c>
      <c r="C317" s="1" t="s">
        <v>32</v>
      </c>
      <c r="D317" s="1">
        <v>57</v>
      </c>
      <c r="E317" s="1" t="s">
        <v>48</v>
      </c>
      <c r="F317" s="1" t="s">
        <v>28</v>
      </c>
      <c r="G317" s="1">
        <v>0.8</v>
      </c>
      <c r="H317" s="1" t="s">
        <v>20</v>
      </c>
      <c r="I317" t="s">
        <v>43</v>
      </c>
      <c r="J317" t="s">
        <v>44</v>
      </c>
      <c r="K317" t="s">
        <v>45</v>
      </c>
      <c r="L317" t="s">
        <v>46</v>
      </c>
      <c r="M317" t="str">
        <f t="shared" si="14"/>
        <v>non-charge-altering-copy1</v>
      </c>
      <c r="N317" t="str">
        <f t="shared" si="12"/>
        <v>3tu4</v>
      </c>
      <c r="O317" t="s">
        <v>33</v>
      </c>
      <c r="P317" t="str">
        <f t="shared" si="13"/>
        <v>H3 S57L</v>
      </c>
    </row>
    <row r="318" spans="1:16">
      <c r="A318" s="1" t="s">
        <v>15</v>
      </c>
      <c r="B318" s="1" t="s">
        <v>16</v>
      </c>
      <c r="C318" s="1" t="s">
        <v>32</v>
      </c>
      <c r="D318" s="1">
        <v>58</v>
      </c>
      <c r="E318" s="1" t="s">
        <v>47</v>
      </c>
      <c r="F318" s="1" t="s">
        <v>48</v>
      </c>
      <c r="G318" s="1">
        <v>0.47</v>
      </c>
      <c r="H318" s="1" t="s">
        <v>20</v>
      </c>
      <c r="I318" t="s">
        <v>43</v>
      </c>
      <c r="J318" t="s">
        <v>44</v>
      </c>
      <c r="K318" t="s">
        <v>45</v>
      </c>
      <c r="L318" t="s">
        <v>46</v>
      </c>
      <c r="M318" t="str">
        <f t="shared" si="14"/>
        <v>non-charge-altering-copy1</v>
      </c>
      <c r="N318" t="str">
        <f t="shared" si="12"/>
        <v>3tu4</v>
      </c>
      <c r="O318" t="s">
        <v>33</v>
      </c>
      <c r="P318" t="str">
        <f t="shared" si="13"/>
        <v>H3 T58S</v>
      </c>
    </row>
    <row r="319" spans="1:16">
      <c r="A319" s="1" t="s">
        <v>15</v>
      </c>
      <c r="B319" s="1" t="s">
        <v>16</v>
      </c>
      <c r="C319" s="1" t="s">
        <v>32</v>
      </c>
      <c r="D319" s="1">
        <v>61</v>
      </c>
      <c r="E319" s="1" t="s">
        <v>28</v>
      </c>
      <c r="F319" s="1" t="s">
        <v>42</v>
      </c>
      <c r="G319" s="1">
        <v>0.9</v>
      </c>
      <c r="H319" s="1" t="s">
        <v>20</v>
      </c>
      <c r="I319" t="s">
        <v>43</v>
      </c>
      <c r="J319" t="s">
        <v>44</v>
      </c>
      <c r="K319" t="s">
        <v>45</v>
      </c>
      <c r="L319" t="s">
        <v>46</v>
      </c>
      <c r="M319" t="str">
        <f t="shared" si="14"/>
        <v>non-charge-altering-copy1</v>
      </c>
      <c r="N319" t="str">
        <f t="shared" si="12"/>
        <v>3tu4</v>
      </c>
      <c r="O319" t="s">
        <v>33</v>
      </c>
      <c r="P319" t="str">
        <f t="shared" si="13"/>
        <v>H3 L61V</v>
      </c>
    </row>
    <row r="320" spans="1:16">
      <c r="A320" s="1" t="s">
        <v>15</v>
      </c>
      <c r="B320" s="1" t="s">
        <v>16</v>
      </c>
      <c r="C320" s="1" t="s">
        <v>32</v>
      </c>
      <c r="D320" s="1">
        <v>66</v>
      </c>
      <c r="E320" s="1" t="s">
        <v>51</v>
      </c>
      <c r="F320" s="1" t="s">
        <v>48</v>
      </c>
      <c r="G320" s="1">
        <v>0.62</v>
      </c>
      <c r="H320" s="1" t="s">
        <v>20</v>
      </c>
      <c r="I320" t="s">
        <v>43</v>
      </c>
      <c r="J320" t="s">
        <v>44</v>
      </c>
      <c r="K320" t="s">
        <v>45</v>
      </c>
      <c r="L320" t="s">
        <v>46</v>
      </c>
      <c r="M320" t="str">
        <f t="shared" si="14"/>
        <v>non-charge-altering-copy1</v>
      </c>
      <c r="N320" t="str">
        <f t="shared" si="12"/>
        <v>3tu4</v>
      </c>
      <c r="O320" t="s">
        <v>33</v>
      </c>
      <c r="P320" t="str">
        <f t="shared" si="13"/>
        <v>H3 P66S</v>
      </c>
    </row>
    <row r="321" spans="1:16">
      <c r="A321" s="1" t="s">
        <v>15</v>
      </c>
      <c r="B321" s="1" t="s">
        <v>16</v>
      </c>
      <c r="C321" s="1" t="s">
        <v>32</v>
      </c>
      <c r="D321" s="1">
        <v>67</v>
      </c>
      <c r="E321" s="1" t="s">
        <v>31</v>
      </c>
      <c r="F321" s="1" t="s">
        <v>28</v>
      </c>
      <c r="G321" s="1">
        <v>1.41</v>
      </c>
      <c r="H321" s="1" t="s">
        <v>20</v>
      </c>
      <c r="I321" t="s">
        <v>43</v>
      </c>
      <c r="J321" t="s">
        <v>44</v>
      </c>
      <c r="K321" t="s">
        <v>45</v>
      </c>
      <c r="L321" t="s">
        <v>46</v>
      </c>
      <c r="M321" t="str">
        <f t="shared" si="14"/>
        <v>non-charge-altering-copy1</v>
      </c>
      <c r="N321" t="str">
        <f t="shared" si="12"/>
        <v>3tu4</v>
      </c>
      <c r="O321" t="s">
        <v>33</v>
      </c>
      <c r="P321" t="str">
        <f t="shared" si="13"/>
        <v>H3 F67L</v>
      </c>
    </row>
    <row r="322" spans="1:16">
      <c r="A322" s="1" t="s">
        <v>15</v>
      </c>
      <c r="B322" s="1" t="s">
        <v>16</v>
      </c>
      <c r="C322" s="1" t="s">
        <v>32</v>
      </c>
      <c r="D322" s="1">
        <v>71</v>
      </c>
      <c r="E322" s="1" t="s">
        <v>42</v>
      </c>
      <c r="F322" s="1" t="s">
        <v>28</v>
      </c>
      <c r="G322" s="1">
        <v>0.37</v>
      </c>
      <c r="H322" s="1" t="s">
        <v>20</v>
      </c>
      <c r="I322" t="s">
        <v>43</v>
      </c>
      <c r="J322" t="s">
        <v>44</v>
      </c>
      <c r="K322" t="s">
        <v>45</v>
      </c>
      <c r="L322" t="s">
        <v>46</v>
      </c>
      <c r="M322" t="str">
        <f t="shared" si="14"/>
        <v>non-charge-altering-copy1</v>
      </c>
      <c r="N322" t="str">
        <f t="shared" ref="N322:N375" si="15">LEFT(A322,4)</f>
        <v>3tu4</v>
      </c>
      <c r="O322" t="s">
        <v>33</v>
      </c>
      <c r="P322" t="str">
        <f t="shared" ref="P322:P375" si="16">O322&amp;" "&amp;E322&amp;D322&amp;F322</f>
        <v>H3 V71L</v>
      </c>
    </row>
    <row r="323" spans="1:16">
      <c r="A323" s="1" t="s">
        <v>15</v>
      </c>
      <c r="B323" s="1" t="s">
        <v>16</v>
      </c>
      <c r="C323" s="1" t="s">
        <v>32</v>
      </c>
      <c r="D323" s="1">
        <v>74</v>
      </c>
      <c r="E323" s="1" t="s">
        <v>62</v>
      </c>
      <c r="F323" s="1" t="s">
        <v>42</v>
      </c>
      <c r="G323" s="1">
        <v>0.98</v>
      </c>
      <c r="H323" s="1" t="s">
        <v>20</v>
      </c>
      <c r="I323" t="s">
        <v>43</v>
      </c>
      <c r="J323" t="s">
        <v>44</v>
      </c>
      <c r="K323" t="s">
        <v>45</v>
      </c>
      <c r="L323" t="s">
        <v>46</v>
      </c>
      <c r="M323" t="str">
        <f t="shared" ref="M323:M375" si="17">L323&amp;"-"&amp;IF(OR(C323="A",C323="B",C323="C",C323="D"),"copy1",IF(OR(C323="E",C323="F",C323="G",C323="H"),"copy2",""))</f>
        <v>non-charge-altering-copy1</v>
      </c>
      <c r="N323" t="str">
        <f t="shared" si="15"/>
        <v>3tu4</v>
      </c>
      <c r="O323" t="s">
        <v>33</v>
      </c>
      <c r="P323" t="str">
        <f t="shared" si="16"/>
        <v>H3 I74V</v>
      </c>
    </row>
    <row r="324" spans="1:16">
      <c r="A324" s="1" t="s">
        <v>15</v>
      </c>
      <c r="B324" s="1" t="s">
        <v>16</v>
      </c>
      <c r="C324" s="1" t="s">
        <v>32</v>
      </c>
      <c r="D324" s="1">
        <v>75</v>
      </c>
      <c r="E324" s="1" t="s">
        <v>32</v>
      </c>
      <c r="F324" s="1" t="s">
        <v>41</v>
      </c>
      <c r="G324" s="1">
        <v>0.86</v>
      </c>
      <c r="H324" s="1" t="s">
        <v>20</v>
      </c>
      <c r="I324" t="s">
        <v>43</v>
      </c>
      <c r="J324" t="s">
        <v>44</v>
      </c>
      <c r="K324" t="s">
        <v>45</v>
      </c>
      <c r="L324" t="s">
        <v>46</v>
      </c>
      <c r="M324" t="str">
        <f t="shared" si="17"/>
        <v>non-charge-altering-copy1</v>
      </c>
      <c r="N324" t="str">
        <f t="shared" si="15"/>
        <v>3tu4</v>
      </c>
      <c r="O324" t="s">
        <v>33</v>
      </c>
      <c r="P324" t="str">
        <f t="shared" si="16"/>
        <v>H3 A75G</v>
      </c>
    </row>
    <row r="325" spans="1:16">
      <c r="A325" s="1" t="s">
        <v>15</v>
      </c>
      <c r="B325" s="1" t="s">
        <v>16</v>
      </c>
      <c r="C325" s="1" t="s">
        <v>32</v>
      </c>
      <c r="D325" s="1">
        <v>78</v>
      </c>
      <c r="E325" s="1" t="s">
        <v>31</v>
      </c>
      <c r="F325" s="1" t="s">
        <v>28</v>
      </c>
      <c r="G325" s="1">
        <v>1.53</v>
      </c>
      <c r="H325" s="1" t="s">
        <v>20</v>
      </c>
      <c r="I325" t="s">
        <v>43</v>
      </c>
      <c r="J325" t="s">
        <v>44</v>
      </c>
      <c r="K325" t="s">
        <v>45</v>
      </c>
      <c r="L325" t="s">
        <v>46</v>
      </c>
      <c r="M325" t="str">
        <f t="shared" si="17"/>
        <v>non-charge-altering-copy1</v>
      </c>
      <c r="N325" t="str">
        <f t="shared" si="15"/>
        <v>3tu4</v>
      </c>
      <c r="O325" t="s">
        <v>33</v>
      </c>
      <c r="P325" t="str">
        <f t="shared" si="16"/>
        <v>H3 F78L</v>
      </c>
    </row>
    <row r="326" spans="1:16">
      <c r="A326" s="1" t="s">
        <v>15</v>
      </c>
      <c r="B326" s="1" t="s">
        <v>16</v>
      </c>
      <c r="C326" s="1" t="s">
        <v>32</v>
      </c>
      <c r="D326" s="1">
        <v>78</v>
      </c>
      <c r="E326" s="1" t="s">
        <v>31</v>
      </c>
      <c r="F326" s="1" t="s">
        <v>39</v>
      </c>
      <c r="G326" s="1">
        <v>1.46</v>
      </c>
      <c r="H326" s="1" t="s">
        <v>20</v>
      </c>
      <c r="I326" t="s">
        <v>43</v>
      </c>
      <c r="J326" t="s">
        <v>44</v>
      </c>
      <c r="K326" t="s">
        <v>45</v>
      </c>
      <c r="L326" t="s">
        <v>46</v>
      </c>
      <c r="M326" t="str">
        <f t="shared" si="17"/>
        <v>non-charge-altering-copy1</v>
      </c>
      <c r="N326" t="str">
        <f t="shared" si="15"/>
        <v>3tu4</v>
      </c>
      <c r="O326" t="s">
        <v>33</v>
      </c>
      <c r="P326" t="str">
        <f t="shared" si="16"/>
        <v>H3 F78C</v>
      </c>
    </row>
    <row r="327" spans="1:16">
      <c r="A327" s="1" t="s">
        <v>15</v>
      </c>
      <c r="B327" s="1" t="s">
        <v>16</v>
      </c>
      <c r="C327" s="1" t="s">
        <v>32</v>
      </c>
      <c r="D327" s="1">
        <v>82</v>
      </c>
      <c r="E327" s="1" t="s">
        <v>28</v>
      </c>
      <c r="F327" s="1" t="s">
        <v>31</v>
      </c>
      <c r="G327" s="1">
        <v>0.01</v>
      </c>
      <c r="H327" s="1" t="s">
        <v>20</v>
      </c>
      <c r="I327" t="s">
        <v>43</v>
      </c>
      <c r="J327" t="s">
        <v>44</v>
      </c>
      <c r="K327" t="s">
        <v>45</v>
      </c>
      <c r="L327" t="s">
        <v>46</v>
      </c>
      <c r="M327" t="str">
        <f t="shared" si="17"/>
        <v>non-charge-altering-copy1</v>
      </c>
      <c r="N327" t="str">
        <f t="shared" si="15"/>
        <v>3tu4</v>
      </c>
      <c r="O327" t="s">
        <v>33</v>
      </c>
      <c r="P327" t="str">
        <f t="shared" si="16"/>
        <v>H3 L82F</v>
      </c>
    </row>
    <row r="328" spans="1:16">
      <c r="A328" s="1" t="s">
        <v>15</v>
      </c>
      <c r="B328" s="1" t="s">
        <v>16</v>
      </c>
      <c r="C328" s="1" t="s">
        <v>32</v>
      </c>
      <c r="D328" s="1">
        <v>84</v>
      </c>
      <c r="E328" s="1" t="s">
        <v>31</v>
      </c>
      <c r="F328" s="1" t="s">
        <v>28</v>
      </c>
      <c r="G328" s="1">
        <v>1.2</v>
      </c>
      <c r="H328" s="1" t="s">
        <v>20</v>
      </c>
      <c r="I328" t="s">
        <v>43</v>
      </c>
      <c r="J328" t="s">
        <v>44</v>
      </c>
      <c r="K328" t="s">
        <v>45</v>
      </c>
      <c r="L328" t="s">
        <v>46</v>
      </c>
      <c r="M328" t="str">
        <f t="shared" si="17"/>
        <v>non-charge-altering-copy1</v>
      </c>
      <c r="N328" t="str">
        <f t="shared" si="15"/>
        <v>3tu4</v>
      </c>
      <c r="O328" t="s">
        <v>33</v>
      </c>
      <c r="P328" t="str">
        <f t="shared" si="16"/>
        <v>H3 F84L</v>
      </c>
    </row>
    <row r="329" spans="1:16">
      <c r="A329" s="1" t="s">
        <v>15</v>
      </c>
      <c r="B329" s="1" t="s">
        <v>16</v>
      </c>
      <c r="C329" s="1" t="s">
        <v>32</v>
      </c>
      <c r="D329" s="1">
        <v>88</v>
      </c>
      <c r="E329" s="1" t="s">
        <v>32</v>
      </c>
      <c r="F329" s="1" t="s">
        <v>51</v>
      </c>
      <c r="G329" s="1">
        <v>0.97</v>
      </c>
      <c r="H329" s="1" t="s">
        <v>20</v>
      </c>
      <c r="I329" t="s">
        <v>43</v>
      </c>
      <c r="J329" t="s">
        <v>44</v>
      </c>
      <c r="K329" t="s">
        <v>45</v>
      </c>
      <c r="L329" t="s">
        <v>46</v>
      </c>
      <c r="M329" t="str">
        <f t="shared" si="17"/>
        <v>non-charge-altering-copy1</v>
      </c>
      <c r="N329" t="str">
        <f t="shared" si="15"/>
        <v>3tu4</v>
      </c>
      <c r="O329" t="s">
        <v>33</v>
      </c>
      <c r="P329" t="str">
        <f t="shared" si="16"/>
        <v>H3 A88P</v>
      </c>
    </row>
    <row r="330" spans="1:16">
      <c r="A330" s="1" t="s">
        <v>15</v>
      </c>
      <c r="B330" s="1" t="s">
        <v>16</v>
      </c>
      <c r="C330" s="1" t="s">
        <v>32</v>
      </c>
      <c r="D330" s="1">
        <v>92</v>
      </c>
      <c r="E330" s="1" t="s">
        <v>28</v>
      </c>
      <c r="F330" s="1" t="s">
        <v>42</v>
      </c>
      <c r="G330" s="1">
        <v>2.05</v>
      </c>
      <c r="H330" s="1" t="s">
        <v>20</v>
      </c>
      <c r="I330" t="s">
        <v>43</v>
      </c>
      <c r="J330" t="s">
        <v>44</v>
      </c>
      <c r="K330" t="s">
        <v>45</v>
      </c>
      <c r="L330" t="s">
        <v>46</v>
      </c>
      <c r="M330" t="str">
        <f t="shared" si="17"/>
        <v>non-charge-altering-copy1</v>
      </c>
      <c r="N330" t="str">
        <f t="shared" si="15"/>
        <v>3tu4</v>
      </c>
      <c r="O330" t="s">
        <v>33</v>
      </c>
      <c r="P330" t="str">
        <f t="shared" si="16"/>
        <v>H3 L92V</v>
      </c>
    </row>
    <row r="331" spans="1:16">
      <c r="A331" s="1" t="s">
        <v>15</v>
      </c>
      <c r="B331" s="1" t="s">
        <v>16</v>
      </c>
      <c r="C331" s="1" t="s">
        <v>32</v>
      </c>
      <c r="D331" s="1">
        <v>95</v>
      </c>
      <c r="E331" s="1" t="s">
        <v>32</v>
      </c>
      <c r="F331" s="1" t="s">
        <v>42</v>
      </c>
      <c r="G331" s="1">
        <v>0.71</v>
      </c>
      <c r="H331" s="1" t="s">
        <v>20</v>
      </c>
      <c r="I331" t="s">
        <v>43</v>
      </c>
      <c r="J331" t="s">
        <v>44</v>
      </c>
      <c r="K331" t="s">
        <v>45</v>
      </c>
      <c r="L331" t="s">
        <v>46</v>
      </c>
      <c r="M331" t="str">
        <f t="shared" si="17"/>
        <v>non-charge-altering-copy1</v>
      </c>
      <c r="N331" t="str">
        <f t="shared" si="15"/>
        <v>3tu4</v>
      </c>
      <c r="O331" t="s">
        <v>33</v>
      </c>
      <c r="P331" t="str">
        <f t="shared" si="16"/>
        <v>H3 A95V</v>
      </c>
    </row>
    <row r="332" spans="1:16">
      <c r="A332" s="1" t="s">
        <v>15</v>
      </c>
      <c r="B332" s="1" t="s">
        <v>16</v>
      </c>
      <c r="C332" s="1" t="s">
        <v>18</v>
      </c>
      <c r="D332" s="1">
        <v>111</v>
      </c>
      <c r="E332" s="1" t="s">
        <v>32</v>
      </c>
      <c r="F332" s="1" t="s">
        <v>41</v>
      </c>
      <c r="G332" s="1">
        <v>0.49</v>
      </c>
      <c r="H332" s="1" t="s">
        <v>20</v>
      </c>
      <c r="I332" t="s">
        <v>43</v>
      </c>
      <c r="J332" t="s">
        <v>44</v>
      </c>
      <c r="K332" t="s">
        <v>45</v>
      </c>
      <c r="L332" t="s">
        <v>46</v>
      </c>
      <c r="M332" t="str">
        <f t="shared" si="17"/>
        <v>non-charge-altering-copy2</v>
      </c>
      <c r="N332" t="str">
        <f t="shared" si="15"/>
        <v>3tu4</v>
      </c>
      <c r="O332" t="s">
        <v>33</v>
      </c>
      <c r="P332" t="str">
        <f t="shared" si="16"/>
        <v>H3 A111G</v>
      </c>
    </row>
    <row r="333" spans="1:16">
      <c r="A333" s="1" t="s">
        <v>15</v>
      </c>
      <c r="B333" s="1" t="s">
        <v>16</v>
      </c>
      <c r="C333" s="1" t="s">
        <v>18</v>
      </c>
      <c r="D333" s="1">
        <v>111</v>
      </c>
      <c r="E333" s="1" t="s">
        <v>32</v>
      </c>
      <c r="F333" s="1" t="s">
        <v>42</v>
      </c>
      <c r="G333" s="1">
        <v>0.36</v>
      </c>
      <c r="H333" s="1" t="s">
        <v>20</v>
      </c>
      <c r="I333" t="s">
        <v>43</v>
      </c>
      <c r="J333" t="s">
        <v>44</v>
      </c>
      <c r="K333" t="s">
        <v>45</v>
      </c>
      <c r="L333" t="s">
        <v>46</v>
      </c>
      <c r="M333" t="str">
        <f t="shared" si="17"/>
        <v>non-charge-altering-copy2</v>
      </c>
      <c r="N333" t="str">
        <f t="shared" si="15"/>
        <v>3tu4</v>
      </c>
      <c r="O333" t="s">
        <v>33</v>
      </c>
      <c r="P333" t="str">
        <f t="shared" si="16"/>
        <v>H3 A111V</v>
      </c>
    </row>
    <row r="334" spans="1:16">
      <c r="A334" s="1" t="s">
        <v>15</v>
      </c>
      <c r="B334" s="1" t="s">
        <v>16</v>
      </c>
      <c r="C334" s="1" t="s">
        <v>18</v>
      </c>
      <c r="D334" s="1">
        <v>111</v>
      </c>
      <c r="E334" s="1" t="s">
        <v>32</v>
      </c>
      <c r="F334" s="1" t="s">
        <v>47</v>
      </c>
      <c r="G334" s="1">
        <v>-0.01</v>
      </c>
      <c r="H334" s="1" t="s">
        <v>58</v>
      </c>
      <c r="I334" t="s">
        <v>43</v>
      </c>
      <c r="J334" t="s">
        <v>44</v>
      </c>
      <c r="K334" t="s">
        <v>45</v>
      </c>
      <c r="L334" t="s">
        <v>46</v>
      </c>
      <c r="M334" t="str">
        <f t="shared" si="17"/>
        <v>non-charge-altering-copy2</v>
      </c>
      <c r="N334" t="str">
        <f t="shared" si="15"/>
        <v>3tu4</v>
      </c>
      <c r="O334" t="s">
        <v>33</v>
      </c>
      <c r="P334" t="str">
        <f t="shared" si="16"/>
        <v>H3 A111T</v>
      </c>
    </row>
    <row r="335" spans="1:16">
      <c r="A335" s="1" t="s">
        <v>15</v>
      </c>
      <c r="B335" s="1" t="s">
        <v>16</v>
      </c>
      <c r="C335" s="1" t="s">
        <v>18</v>
      </c>
      <c r="D335" s="1">
        <v>112</v>
      </c>
      <c r="E335" s="1" t="s">
        <v>62</v>
      </c>
      <c r="F335" s="1" t="s">
        <v>42</v>
      </c>
      <c r="G335" s="1">
        <v>0.84</v>
      </c>
      <c r="H335" s="1" t="s">
        <v>20</v>
      </c>
      <c r="I335" t="s">
        <v>43</v>
      </c>
      <c r="J335" t="s">
        <v>44</v>
      </c>
      <c r="K335" t="s">
        <v>45</v>
      </c>
      <c r="L335" t="s">
        <v>46</v>
      </c>
      <c r="M335" t="str">
        <f t="shared" si="17"/>
        <v>non-charge-altering-copy2</v>
      </c>
      <c r="N335" t="str">
        <f t="shared" si="15"/>
        <v>3tu4</v>
      </c>
      <c r="O335" t="s">
        <v>33</v>
      </c>
      <c r="P335" t="str">
        <f t="shared" si="16"/>
        <v>H3 I112V</v>
      </c>
    </row>
    <row r="336" spans="1:16">
      <c r="A336" s="1" t="s">
        <v>15</v>
      </c>
      <c r="B336" s="1" t="s">
        <v>16</v>
      </c>
      <c r="C336" s="1" t="s">
        <v>18</v>
      </c>
      <c r="D336" s="1">
        <v>114</v>
      </c>
      <c r="E336" s="1" t="s">
        <v>32</v>
      </c>
      <c r="F336" s="1" t="s">
        <v>48</v>
      </c>
      <c r="G336" s="1">
        <v>0.14</v>
      </c>
      <c r="H336" s="1" t="s">
        <v>20</v>
      </c>
      <c r="I336" t="s">
        <v>43</v>
      </c>
      <c r="J336" t="s">
        <v>44</v>
      </c>
      <c r="K336" t="s">
        <v>45</v>
      </c>
      <c r="L336" t="s">
        <v>46</v>
      </c>
      <c r="M336" t="str">
        <f t="shared" si="17"/>
        <v>non-charge-altering-copy2</v>
      </c>
      <c r="N336" t="str">
        <f t="shared" si="15"/>
        <v>3tu4</v>
      </c>
      <c r="O336" t="s">
        <v>33</v>
      </c>
      <c r="P336" t="str">
        <f t="shared" si="16"/>
        <v>H3 A114S</v>
      </c>
    </row>
    <row r="337" spans="1:16">
      <c r="A337" s="1" t="s">
        <v>15</v>
      </c>
      <c r="B337" s="1" t="s">
        <v>16</v>
      </c>
      <c r="C337" s="1" t="s">
        <v>18</v>
      </c>
      <c r="D337" s="1">
        <v>117</v>
      </c>
      <c r="E337" s="1" t="s">
        <v>42</v>
      </c>
      <c r="F337" s="1" t="s">
        <v>53</v>
      </c>
      <c r="G337" s="1">
        <v>0.29</v>
      </c>
      <c r="H337" s="1" t="s">
        <v>20</v>
      </c>
      <c r="I337" t="s">
        <v>43</v>
      </c>
      <c r="J337" t="s">
        <v>44</v>
      </c>
      <c r="K337" t="s">
        <v>45</v>
      </c>
      <c r="L337" t="s">
        <v>46</v>
      </c>
      <c r="M337" t="str">
        <f t="shared" si="17"/>
        <v>non-charge-altering-copy2</v>
      </c>
      <c r="N337" t="str">
        <f t="shared" si="15"/>
        <v>3tu4</v>
      </c>
      <c r="O337" t="s">
        <v>33</v>
      </c>
      <c r="P337" t="str">
        <f t="shared" si="16"/>
        <v>H3 V117M</v>
      </c>
    </row>
    <row r="338" spans="1:16">
      <c r="A338" s="1" t="s">
        <v>15</v>
      </c>
      <c r="B338" s="1" t="s">
        <v>16</v>
      </c>
      <c r="C338" s="1" t="s">
        <v>18</v>
      </c>
      <c r="D338" s="1">
        <v>117</v>
      </c>
      <c r="E338" s="1" t="s">
        <v>42</v>
      </c>
      <c r="F338" s="1" t="s">
        <v>41</v>
      </c>
      <c r="G338" s="1">
        <v>0.88</v>
      </c>
      <c r="H338" s="1" t="s">
        <v>20</v>
      </c>
      <c r="I338" t="s">
        <v>43</v>
      </c>
      <c r="J338" t="s">
        <v>44</v>
      </c>
      <c r="K338" t="s">
        <v>45</v>
      </c>
      <c r="L338" t="s">
        <v>46</v>
      </c>
      <c r="M338" t="str">
        <f t="shared" si="17"/>
        <v>non-charge-altering-copy2</v>
      </c>
      <c r="N338" t="str">
        <f t="shared" si="15"/>
        <v>3tu4</v>
      </c>
      <c r="O338" t="s">
        <v>33</v>
      </c>
      <c r="P338" t="str">
        <f t="shared" si="16"/>
        <v>H3 V117G</v>
      </c>
    </row>
    <row r="339" spans="1:16">
      <c r="A339" s="1" t="s">
        <v>15</v>
      </c>
      <c r="B339" s="1" t="s">
        <v>16</v>
      </c>
      <c r="C339" s="1" t="s">
        <v>18</v>
      </c>
      <c r="D339" s="1">
        <v>119</v>
      </c>
      <c r="E339" s="1" t="s">
        <v>62</v>
      </c>
      <c r="F339" s="1" t="s">
        <v>28</v>
      </c>
      <c r="G339" s="1">
        <v>0.49</v>
      </c>
      <c r="H339" s="1" t="s">
        <v>20</v>
      </c>
      <c r="I339" t="s">
        <v>43</v>
      </c>
      <c r="J339" t="s">
        <v>44</v>
      </c>
      <c r="K339" t="s">
        <v>45</v>
      </c>
      <c r="L339" t="s">
        <v>46</v>
      </c>
      <c r="M339" t="str">
        <f t="shared" si="17"/>
        <v>non-charge-altering-copy2</v>
      </c>
      <c r="N339" t="str">
        <f t="shared" si="15"/>
        <v>3tu4</v>
      </c>
      <c r="O339" t="s">
        <v>33</v>
      </c>
      <c r="P339" t="str">
        <f t="shared" si="16"/>
        <v>H3 I119L</v>
      </c>
    </row>
    <row r="340" spans="1:16">
      <c r="A340" s="1" t="s">
        <v>15</v>
      </c>
      <c r="B340" s="1" t="s">
        <v>16</v>
      </c>
      <c r="C340" s="1" t="s">
        <v>18</v>
      </c>
      <c r="D340" s="1">
        <v>120</v>
      </c>
      <c r="E340" s="1" t="s">
        <v>53</v>
      </c>
      <c r="F340" s="1" t="s">
        <v>62</v>
      </c>
      <c r="G340" s="1">
        <v>0.76</v>
      </c>
      <c r="H340" s="1" t="s">
        <v>20</v>
      </c>
      <c r="I340" t="s">
        <v>43</v>
      </c>
      <c r="J340" t="s">
        <v>44</v>
      </c>
      <c r="K340" t="s">
        <v>45</v>
      </c>
      <c r="L340" t="s">
        <v>46</v>
      </c>
      <c r="M340" t="str">
        <f t="shared" si="17"/>
        <v>non-charge-altering-copy2</v>
      </c>
      <c r="N340" t="str">
        <f t="shared" si="15"/>
        <v>3tu4</v>
      </c>
      <c r="O340" t="s">
        <v>33</v>
      </c>
      <c r="P340" t="str">
        <f t="shared" si="16"/>
        <v>H3 M120I</v>
      </c>
    </row>
    <row r="341" spans="1:16">
      <c r="A341" s="1" t="s">
        <v>15</v>
      </c>
      <c r="B341" s="1" t="s">
        <v>16</v>
      </c>
      <c r="C341" s="1" t="s">
        <v>18</v>
      </c>
      <c r="D341" s="1">
        <v>121</v>
      </c>
      <c r="E341" s="1" t="s">
        <v>51</v>
      </c>
      <c r="F341" s="1" t="s">
        <v>47</v>
      </c>
      <c r="G341" s="1">
        <v>0.28</v>
      </c>
      <c r="H341" s="1" t="s">
        <v>20</v>
      </c>
      <c r="I341" t="s">
        <v>43</v>
      </c>
      <c r="J341" t="s">
        <v>44</v>
      </c>
      <c r="K341" t="s">
        <v>45</v>
      </c>
      <c r="L341" t="s">
        <v>46</v>
      </c>
      <c r="M341" t="str">
        <f t="shared" si="17"/>
        <v>non-charge-altering-copy2</v>
      </c>
      <c r="N341" t="str">
        <f t="shared" si="15"/>
        <v>3tu4</v>
      </c>
      <c r="O341" t="s">
        <v>33</v>
      </c>
      <c r="P341" t="str">
        <f t="shared" si="16"/>
        <v>H3 P121T</v>
      </c>
    </row>
    <row r="342" spans="1:16">
      <c r="A342" s="1" t="s">
        <v>15</v>
      </c>
      <c r="B342" s="1" t="s">
        <v>16</v>
      </c>
      <c r="C342" s="1" t="s">
        <v>18</v>
      </c>
      <c r="D342" s="1">
        <v>126</v>
      </c>
      <c r="E342" s="1" t="s">
        <v>28</v>
      </c>
      <c r="F342" s="1" t="s">
        <v>42</v>
      </c>
      <c r="G342" s="1">
        <v>1.04</v>
      </c>
      <c r="H342" s="1" t="s">
        <v>20</v>
      </c>
      <c r="I342" t="s">
        <v>43</v>
      </c>
      <c r="J342" t="s">
        <v>44</v>
      </c>
      <c r="K342" t="s">
        <v>45</v>
      </c>
      <c r="L342" t="s">
        <v>46</v>
      </c>
      <c r="M342" t="str">
        <f t="shared" si="17"/>
        <v>non-charge-altering-copy2</v>
      </c>
      <c r="N342" t="str">
        <f t="shared" si="15"/>
        <v>3tu4</v>
      </c>
      <c r="O342" t="s">
        <v>33</v>
      </c>
      <c r="P342" t="str">
        <f t="shared" si="16"/>
        <v>H3 L126V</v>
      </c>
    </row>
    <row r="343" spans="1:16">
      <c r="A343" s="1" t="s">
        <v>15</v>
      </c>
      <c r="B343" s="1" t="s">
        <v>16</v>
      </c>
      <c r="C343" s="1" t="s">
        <v>18</v>
      </c>
      <c r="D343" s="1">
        <v>126</v>
      </c>
      <c r="E343" s="1" t="s">
        <v>28</v>
      </c>
      <c r="F343" s="1" t="s">
        <v>53</v>
      </c>
      <c r="G343" s="1">
        <v>0.49</v>
      </c>
      <c r="H343" s="1" t="s">
        <v>20</v>
      </c>
      <c r="I343" t="s">
        <v>43</v>
      </c>
      <c r="J343" t="s">
        <v>44</v>
      </c>
      <c r="K343" t="s">
        <v>45</v>
      </c>
      <c r="L343" t="s">
        <v>46</v>
      </c>
      <c r="M343" t="str">
        <f t="shared" si="17"/>
        <v>non-charge-altering-copy2</v>
      </c>
      <c r="N343" t="str">
        <f t="shared" si="15"/>
        <v>3tu4</v>
      </c>
      <c r="O343" t="s">
        <v>33</v>
      </c>
      <c r="P343" t="str">
        <f t="shared" si="16"/>
        <v>H3 L126M</v>
      </c>
    </row>
    <row r="344" spans="1:16">
      <c r="A344" s="1" t="s">
        <v>15</v>
      </c>
      <c r="B344" s="1" t="s">
        <v>16</v>
      </c>
      <c r="C344" s="1" t="s">
        <v>18</v>
      </c>
      <c r="D344" s="1">
        <v>127</v>
      </c>
      <c r="E344" s="1" t="s">
        <v>32</v>
      </c>
      <c r="F344" s="1" t="s">
        <v>51</v>
      </c>
      <c r="G344" s="1">
        <v>0.5</v>
      </c>
      <c r="H344" s="1" t="s">
        <v>20</v>
      </c>
      <c r="I344" t="s">
        <v>43</v>
      </c>
      <c r="J344" t="s">
        <v>44</v>
      </c>
      <c r="K344" t="s">
        <v>45</v>
      </c>
      <c r="L344" t="s">
        <v>46</v>
      </c>
      <c r="M344" t="str">
        <f t="shared" si="17"/>
        <v>non-charge-altering-copy2</v>
      </c>
      <c r="N344" t="str">
        <f t="shared" si="15"/>
        <v>3tu4</v>
      </c>
      <c r="O344" t="s">
        <v>33</v>
      </c>
      <c r="P344" t="str">
        <f t="shared" si="16"/>
        <v>H3 A127P</v>
      </c>
    </row>
    <row r="345" spans="1:16">
      <c r="A345" s="1" t="s">
        <v>15</v>
      </c>
      <c r="B345" s="1" t="s">
        <v>16</v>
      </c>
      <c r="C345" s="1" t="s">
        <v>18</v>
      </c>
      <c r="D345" s="1">
        <v>44</v>
      </c>
      <c r="E345" s="1" t="s">
        <v>41</v>
      </c>
      <c r="F345" s="1" t="s">
        <v>42</v>
      </c>
      <c r="G345" s="1">
        <v>0.49</v>
      </c>
      <c r="H345" s="1" t="s">
        <v>20</v>
      </c>
      <c r="I345" t="s">
        <v>43</v>
      </c>
      <c r="J345" t="s">
        <v>44</v>
      </c>
      <c r="K345" t="s">
        <v>45</v>
      </c>
      <c r="L345" t="s">
        <v>46</v>
      </c>
      <c r="M345" t="str">
        <f t="shared" si="17"/>
        <v>non-charge-altering-copy2</v>
      </c>
      <c r="N345" t="str">
        <f t="shared" si="15"/>
        <v>3tu4</v>
      </c>
      <c r="O345" t="s">
        <v>33</v>
      </c>
      <c r="P345" t="str">
        <f t="shared" si="16"/>
        <v>H3 G44V</v>
      </c>
    </row>
    <row r="346" spans="1:16">
      <c r="A346" s="1" t="s">
        <v>15</v>
      </c>
      <c r="B346" s="1" t="s">
        <v>16</v>
      </c>
      <c r="C346" s="1" t="s">
        <v>18</v>
      </c>
      <c r="D346" s="1">
        <v>47</v>
      </c>
      <c r="E346" s="1" t="s">
        <v>32</v>
      </c>
      <c r="F346" s="1" t="s">
        <v>48</v>
      </c>
      <c r="G346" s="1">
        <v>0.36</v>
      </c>
      <c r="H346" s="1" t="s">
        <v>20</v>
      </c>
      <c r="I346" t="s">
        <v>43</v>
      </c>
      <c r="J346" t="s">
        <v>44</v>
      </c>
      <c r="K346" t="s">
        <v>45</v>
      </c>
      <c r="L346" t="s">
        <v>46</v>
      </c>
      <c r="M346" t="str">
        <f t="shared" si="17"/>
        <v>non-charge-altering-copy2</v>
      </c>
      <c r="N346" t="str">
        <f t="shared" si="15"/>
        <v>3tu4</v>
      </c>
      <c r="O346" t="s">
        <v>33</v>
      </c>
      <c r="P346" t="str">
        <f t="shared" si="16"/>
        <v>H3 A47S</v>
      </c>
    </row>
    <row r="347" spans="1:16">
      <c r="A347" s="1" t="s">
        <v>15</v>
      </c>
      <c r="B347" s="1" t="s">
        <v>16</v>
      </c>
      <c r="C347" s="1" t="s">
        <v>18</v>
      </c>
      <c r="D347" s="1">
        <v>47</v>
      </c>
      <c r="E347" s="1" t="s">
        <v>32</v>
      </c>
      <c r="F347" s="1" t="s">
        <v>47</v>
      </c>
      <c r="G347" s="1">
        <v>0.3</v>
      </c>
      <c r="H347" s="1" t="s">
        <v>20</v>
      </c>
      <c r="I347" t="s">
        <v>43</v>
      </c>
      <c r="J347" t="s">
        <v>44</v>
      </c>
      <c r="K347" t="s">
        <v>45</v>
      </c>
      <c r="L347" t="s">
        <v>46</v>
      </c>
      <c r="M347" t="str">
        <f t="shared" si="17"/>
        <v>non-charge-altering-copy2</v>
      </c>
      <c r="N347" t="str">
        <f t="shared" si="15"/>
        <v>3tu4</v>
      </c>
      <c r="O347" t="s">
        <v>33</v>
      </c>
      <c r="P347" t="str">
        <f t="shared" si="16"/>
        <v>H3 A47T</v>
      </c>
    </row>
    <row r="348" spans="1:16">
      <c r="A348" s="1" t="s">
        <v>15</v>
      </c>
      <c r="B348" s="1" t="s">
        <v>16</v>
      </c>
      <c r="C348" s="1" t="s">
        <v>18</v>
      </c>
      <c r="D348" s="1">
        <v>54</v>
      </c>
      <c r="E348" s="1" t="s">
        <v>54</v>
      </c>
      <c r="F348" s="1" t="s">
        <v>34</v>
      </c>
      <c r="G348" s="1">
        <v>2.02</v>
      </c>
      <c r="H348" s="1" t="s">
        <v>20</v>
      </c>
      <c r="I348" t="s">
        <v>43</v>
      </c>
      <c r="J348" t="s">
        <v>44</v>
      </c>
      <c r="K348" t="s">
        <v>45</v>
      </c>
      <c r="L348" t="s">
        <v>46</v>
      </c>
      <c r="M348" t="str">
        <f t="shared" si="17"/>
        <v>non-charge-altering-copy2</v>
      </c>
      <c r="N348" t="str">
        <f t="shared" si="15"/>
        <v>3tu4</v>
      </c>
      <c r="O348" t="s">
        <v>33</v>
      </c>
      <c r="P348" t="str">
        <f t="shared" si="16"/>
        <v>H3 Y54N</v>
      </c>
    </row>
    <row r="349" spans="1:16">
      <c r="A349" s="1" t="s">
        <v>15</v>
      </c>
      <c r="B349" s="1" t="s">
        <v>16</v>
      </c>
      <c r="C349" s="1" t="s">
        <v>18</v>
      </c>
      <c r="D349" s="1">
        <v>57</v>
      </c>
      <c r="E349" s="1" t="s">
        <v>48</v>
      </c>
      <c r="F349" s="1" t="s">
        <v>28</v>
      </c>
      <c r="G349" s="1">
        <v>0.83</v>
      </c>
      <c r="H349" s="1" t="s">
        <v>20</v>
      </c>
      <c r="I349" t="s">
        <v>43</v>
      </c>
      <c r="J349" t="s">
        <v>44</v>
      </c>
      <c r="K349" t="s">
        <v>45</v>
      </c>
      <c r="L349" t="s">
        <v>46</v>
      </c>
      <c r="M349" t="str">
        <f t="shared" si="17"/>
        <v>non-charge-altering-copy2</v>
      </c>
      <c r="N349" t="str">
        <f t="shared" si="15"/>
        <v>3tu4</v>
      </c>
      <c r="O349" t="s">
        <v>33</v>
      </c>
      <c r="P349" t="str">
        <f t="shared" si="16"/>
        <v>H3 S57L</v>
      </c>
    </row>
    <row r="350" spans="1:16">
      <c r="A350" s="1" t="s">
        <v>15</v>
      </c>
      <c r="B350" s="1" t="s">
        <v>16</v>
      </c>
      <c r="C350" s="1" t="s">
        <v>18</v>
      </c>
      <c r="D350" s="1">
        <v>58</v>
      </c>
      <c r="E350" s="1" t="s">
        <v>47</v>
      </c>
      <c r="F350" s="1" t="s">
        <v>48</v>
      </c>
      <c r="G350" s="1">
        <v>0.47</v>
      </c>
      <c r="H350" s="1" t="s">
        <v>20</v>
      </c>
      <c r="I350" t="s">
        <v>43</v>
      </c>
      <c r="J350" t="s">
        <v>44</v>
      </c>
      <c r="K350" t="s">
        <v>45</v>
      </c>
      <c r="L350" t="s">
        <v>46</v>
      </c>
      <c r="M350" t="str">
        <f t="shared" si="17"/>
        <v>non-charge-altering-copy2</v>
      </c>
      <c r="N350" t="str">
        <f t="shared" si="15"/>
        <v>3tu4</v>
      </c>
      <c r="O350" t="s">
        <v>33</v>
      </c>
      <c r="P350" t="str">
        <f t="shared" si="16"/>
        <v>H3 T58S</v>
      </c>
    </row>
    <row r="351" spans="1:16">
      <c r="A351" s="1" t="s">
        <v>15</v>
      </c>
      <c r="B351" s="1" t="s">
        <v>16</v>
      </c>
      <c r="C351" s="1" t="s">
        <v>18</v>
      </c>
      <c r="D351" s="1">
        <v>61</v>
      </c>
      <c r="E351" s="1" t="s">
        <v>28</v>
      </c>
      <c r="F351" s="1" t="s">
        <v>42</v>
      </c>
      <c r="G351" s="1">
        <v>0.9</v>
      </c>
      <c r="H351" s="1" t="s">
        <v>20</v>
      </c>
      <c r="I351" t="s">
        <v>43</v>
      </c>
      <c r="J351" t="s">
        <v>44</v>
      </c>
      <c r="K351" t="s">
        <v>45</v>
      </c>
      <c r="L351" t="s">
        <v>46</v>
      </c>
      <c r="M351" t="str">
        <f t="shared" si="17"/>
        <v>non-charge-altering-copy2</v>
      </c>
      <c r="N351" t="str">
        <f t="shared" si="15"/>
        <v>3tu4</v>
      </c>
      <c r="O351" t="s">
        <v>33</v>
      </c>
      <c r="P351" t="str">
        <f t="shared" si="16"/>
        <v>H3 L61V</v>
      </c>
    </row>
    <row r="352" spans="1:16">
      <c r="A352" s="1" t="s">
        <v>15</v>
      </c>
      <c r="B352" s="1" t="s">
        <v>16</v>
      </c>
      <c r="C352" s="1" t="s">
        <v>18</v>
      </c>
      <c r="D352" s="1">
        <v>66</v>
      </c>
      <c r="E352" s="1" t="s">
        <v>51</v>
      </c>
      <c r="F352" s="1" t="s">
        <v>48</v>
      </c>
      <c r="G352" s="1">
        <v>0.62</v>
      </c>
      <c r="H352" s="1" t="s">
        <v>20</v>
      </c>
      <c r="I352" t="s">
        <v>43</v>
      </c>
      <c r="J352" t="s">
        <v>44</v>
      </c>
      <c r="K352" t="s">
        <v>45</v>
      </c>
      <c r="L352" t="s">
        <v>46</v>
      </c>
      <c r="M352" t="str">
        <f t="shared" si="17"/>
        <v>non-charge-altering-copy2</v>
      </c>
      <c r="N352" t="str">
        <f t="shared" si="15"/>
        <v>3tu4</v>
      </c>
      <c r="O352" t="s">
        <v>33</v>
      </c>
      <c r="P352" t="str">
        <f t="shared" si="16"/>
        <v>H3 P66S</v>
      </c>
    </row>
    <row r="353" spans="1:16">
      <c r="A353" s="1" t="s">
        <v>15</v>
      </c>
      <c r="B353" s="1" t="s">
        <v>16</v>
      </c>
      <c r="C353" s="1" t="s">
        <v>18</v>
      </c>
      <c r="D353" s="1">
        <v>67</v>
      </c>
      <c r="E353" s="1" t="s">
        <v>31</v>
      </c>
      <c r="F353" s="1" t="s">
        <v>28</v>
      </c>
      <c r="G353" s="1">
        <v>1.41</v>
      </c>
      <c r="H353" s="1" t="s">
        <v>20</v>
      </c>
      <c r="I353" t="s">
        <v>43</v>
      </c>
      <c r="J353" t="s">
        <v>44</v>
      </c>
      <c r="K353" t="s">
        <v>45</v>
      </c>
      <c r="L353" t="s">
        <v>46</v>
      </c>
      <c r="M353" t="str">
        <f t="shared" si="17"/>
        <v>non-charge-altering-copy2</v>
      </c>
      <c r="N353" t="str">
        <f t="shared" si="15"/>
        <v>3tu4</v>
      </c>
      <c r="O353" t="s">
        <v>33</v>
      </c>
      <c r="P353" t="str">
        <f t="shared" si="16"/>
        <v>H3 F67L</v>
      </c>
    </row>
    <row r="354" spans="1:16">
      <c r="A354" s="1" t="s">
        <v>15</v>
      </c>
      <c r="B354" s="1" t="s">
        <v>16</v>
      </c>
      <c r="C354" s="1" t="s">
        <v>18</v>
      </c>
      <c r="D354" s="1">
        <v>71</v>
      </c>
      <c r="E354" s="1" t="s">
        <v>42</v>
      </c>
      <c r="F354" s="1" t="s">
        <v>28</v>
      </c>
      <c r="G354" s="1">
        <v>0.52</v>
      </c>
      <c r="H354" s="1" t="s">
        <v>20</v>
      </c>
      <c r="I354" t="s">
        <v>43</v>
      </c>
      <c r="J354" t="s">
        <v>44</v>
      </c>
      <c r="K354" t="s">
        <v>45</v>
      </c>
      <c r="L354" t="s">
        <v>46</v>
      </c>
      <c r="M354" t="str">
        <f t="shared" si="17"/>
        <v>non-charge-altering-copy2</v>
      </c>
      <c r="N354" t="str">
        <f t="shared" si="15"/>
        <v>3tu4</v>
      </c>
      <c r="O354" t="s">
        <v>33</v>
      </c>
      <c r="P354" t="str">
        <f t="shared" si="16"/>
        <v>H3 V71L</v>
      </c>
    </row>
    <row r="355" spans="1:16">
      <c r="A355" s="1" t="s">
        <v>15</v>
      </c>
      <c r="B355" s="1" t="s">
        <v>16</v>
      </c>
      <c r="C355" s="1" t="s">
        <v>18</v>
      </c>
      <c r="D355" s="1">
        <v>74</v>
      </c>
      <c r="E355" s="1" t="s">
        <v>62</v>
      </c>
      <c r="F355" s="1" t="s">
        <v>42</v>
      </c>
      <c r="G355" s="1">
        <v>0.98</v>
      </c>
      <c r="H355" s="1" t="s">
        <v>20</v>
      </c>
      <c r="I355" t="s">
        <v>43</v>
      </c>
      <c r="J355" t="s">
        <v>44</v>
      </c>
      <c r="K355" t="s">
        <v>45</v>
      </c>
      <c r="L355" t="s">
        <v>46</v>
      </c>
      <c r="M355" t="str">
        <f t="shared" si="17"/>
        <v>non-charge-altering-copy2</v>
      </c>
      <c r="N355" t="str">
        <f t="shared" si="15"/>
        <v>3tu4</v>
      </c>
      <c r="O355" t="s">
        <v>33</v>
      </c>
      <c r="P355" t="str">
        <f t="shared" si="16"/>
        <v>H3 I74V</v>
      </c>
    </row>
    <row r="356" spans="1:16">
      <c r="A356" s="1" t="s">
        <v>15</v>
      </c>
      <c r="B356" s="1" t="s">
        <v>16</v>
      </c>
      <c r="C356" s="1" t="s">
        <v>18</v>
      </c>
      <c r="D356" s="1">
        <v>75</v>
      </c>
      <c r="E356" s="1" t="s">
        <v>32</v>
      </c>
      <c r="F356" s="1" t="s">
        <v>41</v>
      </c>
      <c r="G356" s="1">
        <v>1.01</v>
      </c>
      <c r="H356" s="1" t="s">
        <v>20</v>
      </c>
      <c r="I356" t="s">
        <v>43</v>
      </c>
      <c r="J356" t="s">
        <v>44</v>
      </c>
      <c r="K356" t="s">
        <v>45</v>
      </c>
      <c r="L356" t="s">
        <v>46</v>
      </c>
      <c r="M356" t="str">
        <f t="shared" si="17"/>
        <v>non-charge-altering-copy2</v>
      </c>
      <c r="N356" t="str">
        <f t="shared" si="15"/>
        <v>3tu4</v>
      </c>
      <c r="O356" t="s">
        <v>33</v>
      </c>
      <c r="P356" t="str">
        <f t="shared" si="16"/>
        <v>H3 A75G</v>
      </c>
    </row>
    <row r="357" spans="1:16">
      <c r="A357" s="1" t="s">
        <v>15</v>
      </c>
      <c r="B357" s="1" t="s">
        <v>16</v>
      </c>
      <c r="C357" s="1" t="s">
        <v>18</v>
      </c>
      <c r="D357" s="1">
        <v>78</v>
      </c>
      <c r="E357" s="1" t="s">
        <v>31</v>
      </c>
      <c r="F357" s="1" t="s">
        <v>28</v>
      </c>
      <c r="G357" s="1">
        <v>1.49</v>
      </c>
      <c r="H357" s="1" t="s">
        <v>20</v>
      </c>
      <c r="I357" t="s">
        <v>43</v>
      </c>
      <c r="J357" t="s">
        <v>44</v>
      </c>
      <c r="K357" t="s">
        <v>45</v>
      </c>
      <c r="L357" t="s">
        <v>46</v>
      </c>
      <c r="M357" t="str">
        <f t="shared" si="17"/>
        <v>non-charge-altering-copy2</v>
      </c>
      <c r="N357" t="str">
        <f t="shared" si="15"/>
        <v>3tu4</v>
      </c>
      <c r="O357" t="s">
        <v>33</v>
      </c>
      <c r="P357" t="str">
        <f t="shared" si="16"/>
        <v>H3 F78L</v>
      </c>
    </row>
    <row r="358" spans="1:16">
      <c r="A358" s="1" t="s">
        <v>15</v>
      </c>
      <c r="B358" s="1" t="s">
        <v>16</v>
      </c>
      <c r="C358" s="1" t="s">
        <v>18</v>
      </c>
      <c r="D358" s="1">
        <v>78</v>
      </c>
      <c r="E358" s="1" t="s">
        <v>31</v>
      </c>
      <c r="F358" s="1" t="s">
        <v>39</v>
      </c>
      <c r="G358" s="1">
        <v>1.45</v>
      </c>
      <c r="H358" s="1" t="s">
        <v>20</v>
      </c>
      <c r="I358" t="s">
        <v>43</v>
      </c>
      <c r="J358" t="s">
        <v>44</v>
      </c>
      <c r="K358" t="s">
        <v>45</v>
      </c>
      <c r="L358" t="s">
        <v>46</v>
      </c>
      <c r="M358" t="str">
        <f t="shared" si="17"/>
        <v>non-charge-altering-copy2</v>
      </c>
      <c r="N358" t="str">
        <f t="shared" si="15"/>
        <v>3tu4</v>
      </c>
      <c r="O358" t="s">
        <v>33</v>
      </c>
      <c r="P358" t="str">
        <f t="shared" si="16"/>
        <v>H3 F78C</v>
      </c>
    </row>
    <row r="359" spans="1:16">
      <c r="A359" s="1" t="s">
        <v>15</v>
      </c>
      <c r="B359" s="1" t="s">
        <v>16</v>
      </c>
      <c r="C359" s="1" t="s">
        <v>18</v>
      </c>
      <c r="D359" s="1">
        <v>82</v>
      </c>
      <c r="E359" s="1" t="s">
        <v>28</v>
      </c>
      <c r="F359" s="1" t="s">
        <v>31</v>
      </c>
      <c r="G359" s="1">
        <v>0.01</v>
      </c>
      <c r="H359" s="1" t="s">
        <v>20</v>
      </c>
      <c r="I359" t="s">
        <v>43</v>
      </c>
      <c r="J359" t="s">
        <v>44</v>
      </c>
      <c r="K359" t="s">
        <v>45</v>
      </c>
      <c r="L359" t="s">
        <v>46</v>
      </c>
      <c r="M359" t="str">
        <f t="shared" si="17"/>
        <v>non-charge-altering-copy2</v>
      </c>
      <c r="N359" t="str">
        <f t="shared" si="15"/>
        <v>3tu4</v>
      </c>
      <c r="O359" t="s">
        <v>33</v>
      </c>
      <c r="P359" t="str">
        <f t="shared" si="16"/>
        <v>H3 L82F</v>
      </c>
    </row>
    <row r="360" spans="1:16">
      <c r="A360" s="1" t="s">
        <v>15</v>
      </c>
      <c r="B360" s="1" t="s">
        <v>16</v>
      </c>
      <c r="C360" s="1" t="s">
        <v>18</v>
      </c>
      <c r="D360" s="1">
        <v>84</v>
      </c>
      <c r="E360" s="1" t="s">
        <v>31</v>
      </c>
      <c r="F360" s="1" t="s">
        <v>28</v>
      </c>
      <c r="G360" s="1">
        <v>1.2</v>
      </c>
      <c r="H360" s="1" t="s">
        <v>20</v>
      </c>
      <c r="I360" t="s">
        <v>43</v>
      </c>
      <c r="J360" t="s">
        <v>44</v>
      </c>
      <c r="K360" t="s">
        <v>45</v>
      </c>
      <c r="L360" t="s">
        <v>46</v>
      </c>
      <c r="M360" t="str">
        <f t="shared" si="17"/>
        <v>non-charge-altering-copy2</v>
      </c>
      <c r="N360" t="str">
        <f t="shared" si="15"/>
        <v>3tu4</v>
      </c>
      <c r="O360" t="s">
        <v>33</v>
      </c>
      <c r="P360" t="str">
        <f t="shared" si="16"/>
        <v>H3 F84L</v>
      </c>
    </row>
    <row r="361" spans="1:16">
      <c r="A361" s="1" t="s">
        <v>15</v>
      </c>
      <c r="B361" s="1" t="s">
        <v>16</v>
      </c>
      <c r="C361" s="1" t="s">
        <v>18</v>
      </c>
      <c r="D361" s="1">
        <v>88</v>
      </c>
      <c r="E361" s="1" t="s">
        <v>32</v>
      </c>
      <c r="F361" s="1" t="s">
        <v>51</v>
      </c>
      <c r="G361" s="1">
        <v>0.97</v>
      </c>
      <c r="H361" s="1" t="s">
        <v>20</v>
      </c>
      <c r="I361" t="s">
        <v>43</v>
      </c>
      <c r="J361" t="s">
        <v>44</v>
      </c>
      <c r="K361" t="s">
        <v>45</v>
      </c>
      <c r="L361" t="s">
        <v>46</v>
      </c>
      <c r="M361" t="str">
        <f t="shared" si="17"/>
        <v>non-charge-altering-copy2</v>
      </c>
      <c r="N361" t="str">
        <f t="shared" si="15"/>
        <v>3tu4</v>
      </c>
      <c r="O361" t="s">
        <v>33</v>
      </c>
      <c r="P361" t="str">
        <f t="shared" si="16"/>
        <v>H3 A88P</v>
      </c>
    </row>
    <row r="362" spans="1:16">
      <c r="A362" s="1" t="s">
        <v>15</v>
      </c>
      <c r="B362" s="1" t="s">
        <v>16</v>
      </c>
      <c r="C362" s="1" t="s">
        <v>18</v>
      </c>
      <c r="D362" s="1">
        <v>92</v>
      </c>
      <c r="E362" s="1" t="s">
        <v>28</v>
      </c>
      <c r="F362" s="1" t="s">
        <v>42</v>
      </c>
      <c r="G362" s="1">
        <v>2.05</v>
      </c>
      <c r="H362" s="1" t="s">
        <v>20</v>
      </c>
      <c r="I362" t="s">
        <v>43</v>
      </c>
      <c r="J362" t="s">
        <v>44</v>
      </c>
      <c r="K362" t="s">
        <v>45</v>
      </c>
      <c r="L362" t="s">
        <v>46</v>
      </c>
      <c r="M362" t="str">
        <f t="shared" si="17"/>
        <v>non-charge-altering-copy2</v>
      </c>
      <c r="N362" t="str">
        <f t="shared" si="15"/>
        <v>3tu4</v>
      </c>
      <c r="O362" t="s">
        <v>33</v>
      </c>
      <c r="P362" t="str">
        <f t="shared" si="16"/>
        <v>H3 L92V</v>
      </c>
    </row>
    <row r="363" spans="1:16">
      <c r="A363" s="1" t="s">
        <v>15</v>
      </c>
      <c r="B363" s="1" t="s">
        <v>16</v>
      </c>
      <c r="C363" s="1" t="s">
        <v>18</v>
      </c>
      <c r="D363" s="1">
        <v>95</v>
      </c>
      <c r="E363" s="1" t="s">
        <v>32</v>
      </c>
      <c r="F363" s="1" t="s">
        <v>42</v>
      </c>
      <c r="G363" s="1">
        <v>0.87</v>
      </c>
      <c r="H363" s="1" t="s">
        <v>20</v>
      </c>
      <c r="I363" t="s">
        <v>43</v>
      </c>
      <c r="J363" t="s">
        <v>44</v>
      </c>
      <c r="K363" t="s">
        <v>45</v>
      </c>
      <c r="L363" t="s">
        <v>46</v>
      </c>
      <c r="M363" t="str">
        <f t="shared" si="17"/>
        <v>non-charge-altering-copy2</v>
      </c>
      <c r="N363" t="str">
        <f t="shared" si="15"/>
        <v>3tu4</v>
      </c>
      <c r="O363" t="s">
        <v>33</v>
      </c>
      <c r="P363" t="str">
        <f t="shared" si="16"/>
        <v>H3 A95V</v>
      </c>
    </row>
    <row r="364" spans="1:16">
      <c r="A364" s="1" t="s">
        <v>15</v>
      </c>
      <c r="B364" s="1" t="s">
        <v>16</v>
      </c>
      <c r="C364" s="1" t="s">
        <v>17</v>
      </c>
      <c r="D364" s="1">
        <v>69</v>
      </c>
      <c r="E364" s="1" t="s">
        <v>49</v>
      </c>
      <c r="F364" s="1" t="s">
        <v>26</v>
      </c>
      <c r="G364" s="1">
        <v>0.56</v>
      </c>
      <c r="H364" s="1" t="s">
        <v>20</v>
      </c>
      <c r="I364" t="s">
        <v>50</v>
      </c>
      <c r="J364" t="s">
        <v>44</v>
      </c>
      <c r="K364" t="s">
        <v>45</v>
      </c>
      <c r="L364" t="s">
        <v>46</v>
      </c>
      <c r="M364" t="str">
        <f t="shared" si="17"/>
        <v>non-charge-altering-copy1</v>
      </c>
      <c r="N364" t="str">
        <f t="shared" si="15"/>
        <v>3tu4</v>
      </c>
      <c r="O364" t="s">
        <v>25</v>
      </c>
      <c r="P364" t="str">
        <f t="shared" si="16"/>
        <v>H2B R69H</v>
      </c>
    </row>
    <row r="365" spans="1:16">
      <c r="A365" s="1" t="s">
        <v>15</v>
      </c>
      <c r="B365" s="1" t="s">
        <v>16</v>
      </c>
      <c r="C365" s="1" t="s">
        <v>17</v>
      </c>
      <c r="D365" s="1">
        <v>89</v>
      </c>
      <c r="E365" s="1" t="s">
        <v>49</v>
      </c>
      <c r="F365" s="1" t="s">
        <v>35</v>
      </c>
      <c r="G365" s="1">
        <v>0.89</v>
      </c>
      <c r="H365" s="1" t="s">
        <v>20</v>
      </c>
      <c r="I365" t="s">
        <v>50</v>
      </c>
      <c r="J365" t="s">
        <v>44</v>
      </c>
      <c r="K365" t="s">
        <v>45</v>
      </c>
      <c r="L365" t="s">
        <v>46</v>
      </c>
      <c r="M365" t="str">
        <f t="shared" si="17"/>
        <v>non-charge-altering-copy1</v>
      </c>
      <c r="N365" t="str">
        <f t="shared" si="15"/>
        <v>3tu4</v>
      </c>
      <c r="O365" t="s">
        <v>25</v>
      </c>
      <c r="P365" t="str">
        <f t="shared" si="16"/>
        <v>H2B R89K</v>
      </c>
    </row>
    <row r="366" spans="1:16">
      <c r="A366" s="1" t="s">
        <v>15</v>
      </c>
      <c r="B366" s="1" t="s">
        <v>16</v>
      </c>
      <c r="C366" s="1" t="s">
        <v>26</v>
      </c>
      <c r="D366" s="1">
        <v>69</v>
      </c>
      <c r="E366" s="1" t="s">
        <v>49</v>
      </c>
      <c r="F366" s="1" t="s">
        <v>26</v>
      </c>
      <c r="G366" s="1">
        <v>0.56</v>
      </c>
      <c r="H366" s="1" t="s">
        <v>20</v>
      </c>
      <c r="I366" t="s">
        <v>50</v>
      </c>
      <c r="J366" t="s">
        <v>44</v>
      </c>
      <c r="K366" t="s">
        <v>45</v>
      </c>
      <c r="L366" t="s">
        <v>46</v>
      </c>
      <c r="M366" t="str">
        <f t="shared" si="17"/>
        <v>non-charge-altering-copy2</v>
      </c>
      <c r="N366" t="str">
        <f t="shared" si="15"/>
        <v>3tu4</v>
      </c>
      <c r="O366" t="s">
        <v>25</v>
      </c>
      <c r="P366" t="str">
        <f t="shared" si="16"/>
        <v>H2B R69H</v>
      </c>
    </row>
    <row r="367" spans="1:16">
      <c r="A367" s="1" t="s">
        <v>15</v>
      </c>
      <c r="B367" s="1" t="s">
        <v>16</v>
      </c>
      <c r="C367" s="1" t="s">
        <v>26</v>
      </c>
      <c r="D367" s="1">
        <v>89</v>
      </c>
      <c r="E367" s="1" t="s">
        <v>49</v>
      </c>
      <c r="F367" s="1" t="s">
        <v>35</v>
      </c>
      <c r="G367" s="1">
        <v>0.62</v>
      </c>
      <c r="H367" s="1" t="s">
        <v>20</v>
      </c>
      <c r="I367" t="s">
        <v>50</v>
      </c>
      <c r="J367" t="s">
        <v>44</v>
      </c>
      <c r="K367" t="s">
        <v>45</v>
      </c>
      <c r="L367" t="s">
        <v>46</v>
      </c>
      <c r="M367" t="str">
        <f t="shared" si="17"/>
        <v>non-charge-altering-copy2</v>
      </c>
      <c r="N367" t="str">
        <f t="shared" si="15"/>
        <v>3tu4</v>
      </c>
      <c r="O367" t="s">
        <v>25</v>
      </c>
      <c r="P367" t="str">
        <f t="shared" si="16"/>
        <v>H2B R89K</v>
      </c>
    </row>
    <row r="368" spans="1:16">
      <c r="A368" s="1" t="s">
        <v>15</v>
      </c>
      <c r="B368" s="1" t="s">
        <v>16</v>
      </c>
      <c r="C368" s="1" t="s">
        <v>27</v>
      </c>
      <c r="D368" s="1">
        <v>17</v>
      </c>
      <c r="E368" s="1" t="s">
        <v>49</v>
      </c>
      <c r="F368" s="1" t="s">
        <v>26</v>
      </c>
      <c r="G368" s="1">
        <v>1.65</v>
      </c>
      <c r="H368" s="1" t="s">
        <v>20</v>
      </c>
      <c r="I368" t="s">
        <v>50</v>
      </c>
      <c r="J368" t="s">
        <v>44</v>
      </c>
      <c r="K368" t="s">
        <v>45</v>
      </c>
      <c r="L368" t="s">
        <v>46</v>
      </c>
      <c r="M368" t="str">
        <f t="shared" si="17"/>
        <v>non-charge-altering-copy1</v>
      </c>
      <c r="N368" t="str">
        <f t="shared" si="15"/>
        <v>3tu4</v>
      </c>
      <c r="O368" t="s">
        <v>30</v>
      </c>
      <c r="P368" t="str">
        <f t="shared" si="16"/>
        <v>H4 R17H</v>
      </c>
    </row>
    <row r="369" spans="1:16">
      <c r="A369" s="1" t="s">
        <v>15</v>
      </c>
      <c r="B369" s="1" t="s">
        <v>16</v>
      </c>
      <c r="C369" s="1" t="s">
        <v>31</v>
      </c>
      <c r="D369" s="1">
        <v>17</v>
      </c>
      <c r="E369" s="1" t="s">
        <v>49</v>
      </c>
      <c r="F369" s="1" t="s">
        <v>26</v>
      </c>
      <c r="G369" s="1">
        <v>1.59</v>
      </c>
      <c r="H369" s="1" t="s">
        <v>20</v>
      </c>
      <c r="I369" t="s">
        <v>50</v>
      </c>
      <c r="J369" t="s">
        <v>44</v>
      </c>
      <c r="K369" t="s">
        <v>45</v>
      </c>
      <c r="L369" t="s">
        <v>46</v>
      </c>
      <c r="M369" t="str">
        <f t="shared" si="17"/>
        <v>non-charge-altering-copy2</v>
      </c>
      <c r="N369" t="str">
        <f t="shared" si="15"/>
        <v>3tu4</v>
      </c>
      <c r="O369" t="s">
        <v>30</v>
      </c>
      <c r="P369" t="str">
        <f t="shared" si="16"/>
        <v>H4 R17H</v>
      </c>
    </row>
    <row r="370" spans="1:16">
      <c r="A370" s="1" t="s">
        <v>15</v>
      </c>
      <c r="B370" s="1" t="s">
        <v>16</v>
      </c>
      <c r="C370" s="1" t="s">
        <v>32</v>
      </c>
      <c r="D370" s="1">
        <v>128</v>
      </c>
      <c r="E370" s="1" t="s">
        <v>49</v>
      </c>
      <c r="F370" s="1" t="s">
        <v>26</v>
      </c>
      <c r="G370" s="1">
        <v>0.88</v>
      </c>
      <c r="H370" s="1" t="s">
        <v>20</v>
      </c>
      <c r="I370" t="s">
        <v>50</v>
      </c>
      <c r="J370" t="s">
        <v>44</v>
      </c>
      <c r="K370" t="s">
        <v>45</v>
      </c>
      <c r="L370" t="s">
        <v>46</v>
      </c>
      <c r="M370" t="str">
        <f t="shared" si="17"/>
        <v>non-charge-altering-copy1</v>
      </c>
      <c r="N370" t="str">
        <f t="shared" si="15"/>
        <v>3tu4</v>
      </c>
      <c r="O370" t="s">
        <v>33</v>
      </c>
      <c r="P370" t="str">
        <f t="shared" si="16"/>
        <v>H3 R128H</v>
      </c>
    </row>
    <row r="371" spans="1:16">
      <c r="A371" s="1" t="s">
        <v>15</v>
      </c>
      <c r="B371" s="1" t="s">
        <v>16</v>
      </c>
      <c r="C371" s="1" t="s">
        <v>32</v>
      </c>
      <c r="D371" s="1">
        <v>52</v>
      </c>
      <c r="E371" s="1" t="s">
        <v>49</v>
      </c>
      <c r="F371" s="1" t="s">
        <v>26</v>
      </c>
      <c r="G371" s="1">
        <v>0.92</v>
      </c>
      <c r="H371" s="1" t="s">
        <v>20</v>
      </c>
      <c r="I371" t="s">
        <v>50</v>
      </c>
      <c r="J371" t="s">
        <v>44</v>
      </c>
      <c r="K371" t="s">
        <v>45</v>
      </c>
      <c r="L371" t="s">
        <v>46</v>
      </c>
      <c r="M371" t="str">
        <f t="shared" si="17"/>
        <v>non-charge-altering-copy1</v>
      </c>
      <c r="N371" t="str">
        <f t="shared" si="15"/>
        <v>3tu4</v>
      </c>
      <c r="O371" t="s">
        <v>33</v>
      </c>
      <c r="P371" t="str">
        <f t="shared" si="16"/>
        <v>H3 R52H</v>
      </c>
    </row>
    <row r="372" spans="1:16">
      <c r="A372" s="1" t="s">
        <v>15</v>
      </c>
      <c r="B372" s="1" t="s">
        <v>16</v>
      </c>
      <c r="C372" s="1" t="s">
        <v>32</v>
      </c>
      <c r="D372" s="1">
        <v>63</v>
      </c>
      <c r="E372" s="1" t="s">
        <v>49</v>
      </c>
      <c r="F372" s="1" t="s">
        <v>26</v>
      </c>
      <c r="G372" s="1">
        <v>1.68</v>
      </c>
      <c r="H372" s="1" t="s">
        <v>20</v>
      </c>
      <c r="I372" t="s">
        <v>50</v>
      </c>
      <c r="J372" t="s">
        <v>44</v>
      </c>
      <c r="K372" t="s">
        <v>45</v>
      </c>
      <c r="L372" t="s">
        <v>46</v>
      </c>
      <c r="M372" t="str">
        <f t="shared" si="17"/>
        <v>non-charge-altering-copy1</v>
      </c>
      <c r="N372" t="str">
        <f t="shared" si="15"/>
        <v>3tu4</v>
      </c>
      <c r="O372" t="s">
        <v>33</v>
      </c>
      <c r="P372" t="str">
        <f t="shared" si="16"/>
        <v>H3 R63H</v>
      </c>
    </row>
    <row r="373" spans="1:16">
      <c r="A373" s="1" t="s">
        <v>15</v>
      </c>
      <c r="B373" s="1" t="s">
        <v>16</v>
      </c>
      <c r="C373" s="1" t="s">
        <v>18</v>
      </c>
      <c r="D373" s="1">
        <v>128</v>
      </c>
      <c r="E373" s="1" t="s">
        <v>49</v>
      </c>
      <c r="F373" s="1" t="s">
        <v>26</v>
      </c>
      <c r="G373" s="1">
        <v>1.08</v>
      </c>
      <c r="H373" s="1" t="s">
        <v>20</v>
      </c>
      <c r="I373" t="s">
        <v>50</v>
      </c>
      <c r="J373" t="s">
        <v>44</v>
      </c>
      <c r="K373" t="s">
        <v>45</v>
      </c>
      <c r="L373" t="s">
        <v>46</v>
      </c>
      <c r="M373" t="str">
        <f t="shared" si="17"/>
        <v>non-charge-altering-copy2</v>
      </c>
      <c r="N373" t="str">
        <f t="shared" si="15"/>
        <v>3tu4</v>
      </c>
      <c r="O373" t="s">
        <v>33</v>
      </c>
      <c r="P373" t="str">
        <f t="shared" si="16"/>
        <v>H3 R128H</v>
      </c>
    </row>
    <row r="374" spans="1:16">
      <c r="A374" s="1" t="s">
        <v>15</v>
      </c>
      <c r="B374" s="1" t="s">
        <v>16</v>
      </c>
      <c r="C374" s="1" t="s">
        <v>18</v>
      </c>
      <c r="D374" s="1">
        <v>52</v>
      </c>
      <c r="E374" s="1" t="s">
        <v>49</v>
      </c>
      <c r="F374" s="1" t="s">
        <v>26</v>
      </c>
      <c r="G374" s="1">
        <v>1.23</v>
      </c>
      <c r="H374" s="1" t="s">
        <v>20</v>
      </c>
      <c r="I374" t="s">
        <v>50</v>
      </c>
      <c r="J374" t="s">
        <v>44</v>
      </c>
      <c r="K374" t="s">
        <v>45</v>
      </c>
      <c r="L374" t="s">
        <v>46</v>
      </c>
      <c r="M374" t="str">
        <f t="shared" si="17"/>
        <v>non-charge-altering-copy2</v>
      </c>
      <c r="N374" t="str">
        <f t="shared" si="15"/>
        <v>3tu4</v>
      </c>
      <c r="O374" t="s">
        <v>33</v>
      </c>
      <c r="P374" t="str">
        <f t="shared" si="16"/>
        <v>H3 R52H</v>
      </c>
    </row>
    <row r="375" spans="1:16">
      <c r="A375" s="1" t="s">
        <v>15</v>
      </c>
      <c r="B375" s="1" t="s">
        <v>16</v>
      </c>
      <c r="C375" s="1" t="s">
        <v>18</v>
      </c>
      <c r="D375" s="1">
        <v>63</v>
      </c>
      <c r="E375" s="1" t="s">
        <v>49</v>
      </c>
      <c r="F375" s="1" t="s">
        <v>26</v>
      </c>
      <c r="G375" s="1">
        <v>1.68</v>
      </c>
      <c r="H375" s="1" t="s">
        <v>20</v>
      </c>
      <c r="I375" t="s">
        <v>50</v>
      </c>
      <c r="J375" t="s">
        <v>44</v>
      </c>
      <c r="K375" t="s">
        <v>45</v>
      </c>
      <c r="L375" t="s">
        <v>46</v>
      </c>
      <c r="M375" t="str">
        <f t="shared" si="17"/>
        <v>non-charge-altering-copy2</v>
      </c>
      <c r="N375" t="str">
        <f t="shared" si="15"/>
        <v>3tu4</v>
      </c>
      <c r="O375" t="s">
        <v>33</v>
      </c>
      <c r="P375" t="str">
        <f t="shared" si="16"/>
        <v>H3 R63H</v>
      </c>
    </row>
  </sheetData>
  <autoFilter xmlns:etc="http://www.wps.cn/officeDocument/2017/etCustomData" ref="A1:P375" etc:filterBottomFollowUsedRange="0">
    <extLst/>
  </autoFilter>
  <conditionalFormatting sqref="P$1:P$1048576">
    <cfRule type="duplicateValues" dxfId="0" priority="1"/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27"/>
  <sheetViews>
    <sheetView zoomScale="70" zoomScaleNormal="70" topLeftCell="J1" workbookViewId="0">
      <selection activeCell="AF2" sqref="AF2:AF127"/>
    </sheetView>
  </sheetViews>
  <sheetFormatPr defaultColWidth="8.7962962962963" defaultRowHeight="13.8"/>
  <cols>
    <col min="26" max="26" width="12.7962962962963"/>
    <col min="32" max="32" width="23.1296296296296" customWidth="1"/>
  </cols>
  <sheetData>
    <row r="1" spans="1:35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67</v>
      </c>
      <c r="G1" t="s">
        <v>13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64</v>
      </c>
      <c r="N1" t="s">
        <v>0</v>
      </c>
      <c r="O1" t="s">
        <v>73</v>
      </c>
      <c r="P1" t="s">
        <v>74</v>
      </c>
      <c r="Q1" t="s">
        <v>75</v>
      </c>
      <c r="R1" t="s">
        <v>76</v>
      </c>
      <c r="S1" t="s">
        <v>70</v>
      </c>
      <c r="T1" t="s">
        <v>77</v>
      </c>
      <c r="U1" t="s">
        <v>78</v>
      </c>
      <c r="V1" t="s">
        <v>79</v>
      </c>
      <c r="W1" t="s">
        <v>80</v>
      </c>
      <c r="X1" t="s">
        <v>81</v>
      </c>
      <c r="Y1" t="s">
        <v>82</v>
      </c>
      <c r="Z1" t="s">
        <v>83</v>
      </c>
      <c r="AA1" t="s">
        <v>84</v>
      </c>
      <c r="AB1" t="s">
        <v>8</v>
      </c>
      <c r="AC1" t="s">
        <v>9</v>
      </c>
      <c r="AD1" t="s">
        <v>10</v>
      </c>
      <c r="AE1" t="s">
        <v>11</v>
      </c>
      <c r="AF1" s="1" t="s">
        <v>12</v>
      </c>
      <c r="AG1" t="s">
        <v>0</v>
      </c>
      <c r="AH1" t="s">
        <v>13</v>
      </c>
      <c r="AI1" s="2" t="s">
        <v>14</v>
      </c>
    </row>
    <row r="2" spans="1:35">
      <c r="A2" t="s">
        <v>85</v>
      </c>
      <c r="B2" t="s">
        <v>86</v>
      </c>
      <c r="C2" t="s">
        <v>87</v>
      </c>
      <c r="D2" t="s">
        <v>17</v>
      </c>
      <c r="E2" t="s">
        <v>88</v>
      </c>
      <c r="F2" t="s">
        <v>89</v>
      </c>
      <c r="G2" t="s">
        <v>25</v>
      </c>
      <c r="H2">
        <v>36</v>
      </c>
      <c r="I2">
        <v>41</v>
      </c>
      <c r="J2">
        <v>36</v>
      </c>
      <c r="K2">
        <v>32</v>
      </c>
      <c r="L2" t="s">
        <v>18</v>
      </c>
      <c r="M2" t="s">
        <v>86</v>
      </c>
      <c r="N2" t="s">
        <v>90</v>
      </c>
      <c r="O2" t="s">
        <v>91</v>
      </c>
      <c r="P2" t="s">
        <v>92</v>
      </c>
      <c r="Q2" t="s">
        <v>18</v>
      </c>
      <c r="R2" t="s">
        <v>93</v>
      </c>
      <c r="S2">
        <v>36</v>
      </c>
      <c r="T2" t="s">
        <v>18</v>
      </c>
      <c r="U2" t="s">
        <v>32</v>
      </c>
      <c r="V2" t="s">
        <v>94</v>
      </c>
      <c r="W2" t="s">
        <v>95</v>
      </c>
      <c r="X2" t="s">
        <v>96</v>
      </c>
      <c r="Y2">
        <v>0.263</v>
      </c>
      <c r="Z2">
        <v>0.221013308</v>
      </c>
      <c r="AA2" t="s">
        <v>93</v>
      </c>
      <c r="AB2" t="s">
        <v>21</v>
      </c>
      <c r="AC2" t="s">
        <v>22</v>
      </c>
      <c r="AD2" t="s">
        <v>23</v>
      </c>
      <c r="AE2" t="s">
        <v>24</v>
      </c>
      <c r="AF2" t="str">
        <f>AE2&amp;"-"&amp;IF(OR(D2="A",D2="B",D2="C",D2="D"),"copy1",IF(OR(D2="E",D2="F",D2="G",D2="H"),"copy2",""))</f>
        <v>charge-altering-copy1</v>
      </c>
      <c r="AG2" t="s">
        <v>90</v>
      </c>
      <c r="AH2" t="s">
        <v>25</v>
      </c>
      <c r="AI2" t="str">
        <f t="shared" ref="AI2:AI65" si="0">G2&amp;" "&amp;X2</f>
        <v>H2B E32A</v>
      </c>
    </row>
    <row r="3" spans="1:35">
      <c r="A3" t="s">
        <v>97</v>
      </c>
      <c r="B3" t="s">
        <v>98</v>
      </c>
      <c r="C3" t="s">
        <v>87</v>
      </c>
      <c r="D3" t="s">
        <v>17</v>
      </c>
      <c r="E3" t="s">
        <v>88</v>
      </c>
      <c r="F3" t="s">
        <v>89</v>
      </c>
      <c r="G3" t="s">
        <v>25</v>
      </c>
      <c r="H3">
        <v>87</v>
      </c>
      <c r="I3">
        <v>92</v>
      </c>
      <c r="J3">
        <v>87</v>
      </c>
      <c r="K3">
        <v>83</v>
      </c>
      <c r="L3" t="s">
        <v>49</v>
      </c>
      <c r="M3" t="s">
        <v>98</v>
      </c>
      <c r="N3" t="s">
        <v>90</v>
      </c>
      <c r="O3" t="s">
        <v>91</v>
      </c>
      <c r="P3" t="s">
        <v>92</v>
      </c>
      <c r="Q3" t="s">
        <v>49</v>
      </c>
      <c r="R3" t="s">
        <v>93</v>
      </c>
      <c r="S3">
        <v>87</v>
      </c>
      <c r="T3" t="s">
        <v>49</v>
      </c>
      <c r="U3" t="s">
        <v>51</v>
      </c>
      <c r="V3" t="s">
        <v>99</v>
      </c>
      <c r="W3" t="s">
        <v>100</v>
      </c>
      <c r="X3" t="s">
        <v>101</v>
      </c>
      <c r="Y3">
        <v>1.278</v>
      </c>
      <c r="Z3">
        <v>0.132249175</v>
      </c>
      <c r="AA3" t="s">
        <v>102</v>
      </c>
      <c r="AB3" t="s">
        <v>29</v>
      </c>
      <c r="AC3" t="s">
        <v>22</v>
      </c>
      <c r="AD3" t="s">
        <v>23</v>
      </c>
      <c r="AE3" t="s">
        <v>24</v>
      </c>
      <c r="AF3" t="str">
        <f t="shared" ref="AF3:AF34" si="1">AE3&amp;"-"&amp;IF(OR(D3="A",D3="B",D3="C",D3="D"),"copy1",IF(OR(D3="E",D3="F",D3="G",D3="H"),"copy2",""))</f>
        <v>charge-altering-copy1</v>
      </c>
      <c r="AG3" t="s">
        <v>90</v>
      </c>
      <c r="AH3" t="s">
        <v>25</v>
      </c>
      <c r="AI3" t="str">
        <f t="shared" si="0"/>
        <v>H2B R83P</v>
      </c>
    </row>
    <row r="4" spans="1:35">
      <c r="A4" t="s">
        <v>103</v>
      </c>
      <c r="B4" t="s">
        <v>104</v>
      </c>
      <c r="C4" t="s">
        <v>87</v>
      </c>
      <c r="D4" t="s">
        <v>26</v>
      </c>
      <c r="E4" t="s">
        <v>88</v>
      </c>
      <c r="F4" t="s">
        <v>89</v>
      </c>
      <c r="G4" t="s">
        <v>25</v>
      </c>
      <c r="H4">
        <v>36</v>
      </c>
      <c r="I4">
        <v>41</v>
      </c>
      <c r="J4">
        <v>36</v>
      </c>
      <c r="K4">
        <v>32</v>
      </c>
      <c r="L4" t="s">
        <v>18</v>
      </c>
      <c r="M4" t="s">
        <v>104</v>
      </c>
      <c r="N4" t="s">
        <v>90</v>
      </c>
      <c r="O4" t="s">
        <v>91</v>
      </c>
      <c r="P4" t="s">
        <v>92</v>
      </c>
      <c r="Q4" t="s">
        <v>18</v>
      </c>
      <c r="R4" t="s">
        <v>93</v>
      </c>
      <c r="S4">
        <v>36</v>
      </c>
      <c r="T4" t="s">
        <v>18</v>
      </c>
      <c r="U4" t="s">
        <v>32</v>
      </c>
      <c r="V4" t="s">
        <v>94</v>
      </c>
      <c r="W4" t="s">
        <v>95</v>
      </c>
      <c r="X4" t="s">
        <v>96</v>
      </c>
      <c r="Y4">
        <v>0.274</v>
      </c>
      <c r="Z4">
        <v>0.221013308</v>
      </c>
      <c r="AA4" t="s">
        <v>93</v>
      </c>
      <c r="AB4" t="s">
        <v>21</v>
      </c>
      <c r="AC4" t="s">
        <v>22</v>
      </c>
      <c r="AD4" t="s">
        <v>23</v>
      </c>
      <c r="AE4" t="s">
        <v>24</v>
      </c>
      <c r="AF4" t="str">
        <f t="shared" si="1"/>
        <v>charge-altering-copy2</v>
      </c>
      <c r="AG4" t="s">
        <v>90</v>
      </c>
      <c r="AH4" t="s">
        <v>25</v>
      </c>
      <c r="AI4" t="str">
        <f t="shared" si="0"/>
        <v>H2B E32A</v>
      </c>
    </row>
    <row r="5" spans="1:35">
      <c r="A5" t="s">
        <v>105</v>
      </c>
      <c r="B5" t="s">
        <v>106</v>
      </c>
      <c r="C5" t="s">
        <v>87</v>
      </c>
      <c r="D5" t="s">
        <v>26</v>
      </c>
      <c r="E5" t="s">
        <v>88</v>
      </c>
      <c r="F5" t="s">
        <v>89</v>
      </c>
      <c r="G5" t="s">
        <v>25</v>
      </c>
      <c r="H5">
        <v>87</v>
      </c>
      <c r="I5">
        <v>92</v>
      </c>
      <c r="J5">
        <v>87</v>
      </c>
      <c r="K5">
        <v>83</v>
      </c>
      <c r="L5" t="s">
        <v>49</v>
      </c>
      <c r="M5" t="s">
        <v>106</v>
      </c>
      <c r="N5" t="s">
        <v>90</v>
      </c>
      <c r="O5" t="s">
        <v>91</v>
      </c>
      <c r="P5" t="s">
        <v>92</v>
      </c>
      <c r="Q5" t="s">
        <v>49</v>
      </c>
      <c r="R5" t="s">
        <v>93</v>
      </c>
      <c r="S5">
        <v>87</v>
      </c>
      <c r="T5" t="s">
        <v>49</v>
      </c>
      <c r="U5" t="s">
        <v>51</v>
      </c>
      <c r="V5" t="s">
        <v>99</v>
      </c>
      <c r="W5" t="s">
        <v>100</v>
      </c>
      <c r="X5" t="s">
        <v>101</v>
      </c>
      <c r="Y5">
        <v>1.234</v>
      </c>
      <c r="Z5">
        <v>0.132249175</v>
      </c>
      <c r="AA5" t="s">
        <v>102</v>
      </c>
      <c r="AB5" t="s">
        <v>29</v>
      </c>
      <c r="AC5" t="s">
        <v>22</v>
      </c>
      <c r="AD5" t="s">
        <v>23</v>
      </c>
      <c r="AE5" t="s">
        <v>24</v>
      </c>
      <c r="AF5" t="str">
        <f t="shared" si="1"/>
        <v>charge-altering-copy2</v>
      </c>
      <c r="AG5" t="s">
        <v>90</v>
      </c>
      <c r="AH5" t="s">
        <v>25</v>
      </c>
      <c r="AI5" t="str">
        <f t="shared" si="0"/>
        <v>H2B R83P</v>
      </c>
    </row>
    <row r="6" spans="1:35">
      <c r="A6" t="s">
        <v>107</v>
      </c>
      <c r="B6" t="s">
        <v>108</v>
      </c>
      <c r="C6" t="s">
        <v>109</v>
      </c>
      <c r="D6" t="s">
        <v>39</v>
      </c>
      <c r="E6" t="s">
        <v>110</v>
      </c>
      <c r="F6" t="s">
        <v>89</v>
      </c>
      <c r="G6" t="s">
        <v>40</v>
      </c>
      <c r="H6">
        <v>18</v>
      </c>
      <c r="I6">
        <v>19</v>
      </c>
      <c r="J6">
        <v>18</v>
      </c>
      <c r="K6">
        <v>17</v>
      </c>
      <c r="L6" t="s">
        <v>49</v>
      </c>
      <c r="M6" t="s">
        <v>108</v>
      </c>
      <c r="N6" t="s">
        <v>90</v>
      </c>
      <c r="O6" t="s">
        <v>91</v>
      </c>
      <c r="P6" t="s">
        <v>92</v>
      </c>
      <c r="Q6" t="s">
        <v>49</v>
      </c>
      <c r="R6" t="s">
        <v>93</v>
      </c>
      <c r="S6">
        <v>18</v>
      </c>
      <c r="T6" t="s">
        <v>49</v>
      </c>
      <c r="U6" t="s">
        <v>51</v>
      </c>
      <c r="V6" t="s">
        <v>111</v>
      </c>
      <c r="W6" t="s">
        <v>112</v>
      </c>
      <c r="X6" t="s">
        <v>112</v>
      </c>
      <c r="Y6">
        <v>0.383</v>
      </c>
      <c r="Z6">
        <v>0.09230766</v>
      </c>
      <c r="AA6" t="s">
        <v>102</v>
      </c>
      <c r="AB6" t="s">
        <v>29</v>
      </c>
      <c r="AC6" t="s">
        <v>22</v>
      </c>
      <c r="AD6" t="s">
        <v>23</v>
      </c>
      <c r="AE6" t="s">
        <v>24</v>
      </c>
      <c r="AF6" t="str">
        <f t="shared" si="1"/>
        <v>charge-altering-copy1</v>
      </c>
      <c r="AG6" t="s">
        <v>90</v>
      </c>
      <c r="AH6" t="s">
        <v>40</v>
      </c>
      <c r="AI6" t="str">
        <f t="shared" si="0"/>
        <v>H2A R17P</v>
      </c>
    </row>
    <row r="7" spans="1:35">
      <c r="A7" t="s">
        <v>113</v>
      </c>
      <c r="B7" t="s">
        <v>114</v>
      </c>
      <c r="C7" t="s">
        <v>109</v>
      </c>
      <c r="D7" t="s">
        <v>39</v>
      </c>
      <c r="E7" t="s">
        <v>110</v>
      </c>
      <c r="F7" t="s">
        <v>89</v>
      </c>
      <c r="G7" t="s">
        <v>40</v>
      </c>
      <c r="H7">
        <v>30</v>
      </c>
      <c r="I7">
        <v>31</v>
      </c>
      <c r="J7">
        <v>30</v>
      </c>
      <c r="K7">
        <v>29</v>
      </c>
      <c r="L7" t="s">
        <v>49</v>
      </c>
      <c r="M7" t="s">
        <v>114</v>
      </c>
      <c r="N7" t="s">
        <v>90</v>
      </c>
      <c r="O7" t="s">
        <v>91</v>
      </c>
      <c r="P7" t="s">
        <v>92</v>
      </c>
      <c r="Q7" t="s">
        <v>49</v>
      </c>
      <c r="R7" t="s">
        <v>93</v>
      </c>
      <c r="S7">
        <v>30</v>
      </c>
      <c r="T7" t="s">
        <v>49</v>
      </c>
      <c r="U7" t="s">
        <v>51</v>
      </c>
      <c r="V7" t="s">
        <v>115</v>
      </c>
      <c r="W7" t="s">
        <v>116</v>
      </c>
      <c r="X7" t="s">
        <v>116</v>
      </c>
      <c r="Y7">
        <v>1.578</v>
      </c>
      <c r="Z7">
        <v>0.045659862</v>
      </c>
      <c r="AA7" t="s">
        <v>102</v>
      </c>
      <c r="AB7" t="s">
        <v>29</v>
      </c>
      <c r="AC7" t="s">
        <v>22</v>
      </c>
      <c r="AD7" t="s">
        <v>23</v>
      </c>
      <c r="AE7" t="s">
        <v>24</v>
      </c>
      <c r="AF7" t="str">
        <f t="shared" si="1"/>
        <v>charge-altering-copy1</v>
      </c>
      <c r="AG7" t="s">
        <v>90</v>
      </c>
      <c r="AH7" t="s">
        <v>40</v>
      </c>
      <c r="AI7" t="str">
        <f t="shared" si="0"/>
        <v>H2A R29P</v>
      </c>
    </row>
    <row r="8" spans="1:35">
      <c r="A8" t="s">
        <v>117</v>
      </c>
      <c r="B8" t="s">
        <v>114</v>
      </c>
      <c r="C8" t="s">
        <v>109</v>
      </c>
      <c r="D8" t="s">
        <v>39</v>
      </c>
      <c r="E8" t="s">
        <v>110</v>
      </c>
      <c r="F8" t="s">
        <v>89</v>
      </c>
      <c r="G8" t="s">
        <v>40</v>
      </c>
      <c r="H8">
        <v>30</v>
      </c>
      <c r="I8">
        <v>31</v>
      </c>
      <c r="J8">
        <v>30</v>
      </c>
      <c r="K8">
        <v>29</v>
      </c>
      <c r="L8" t="s">
        <v>49</v>
      </c>
      <c r="M8" t="s">
        <v>114</v>
      </c>
      <c r="N8" t="s">
        <v>90</v>
      </c>
      <c r="O8" t="s">
        <v>91</v>
      </c>
      <c r="P8" t="s">
        <v>92</v>
      </c>
      <c r="Q8" t="s">
        <v>49</v>
      </c>
      <c r="R8" t="s">
        <v>93</v>
      </c>
      <c r="S8">
        <v>30</v>
      </c>
      <c r="T8" t="s">
        <v>49</v>
      </c>
      <c r="U8" t="s">
        <v>19</v>
      </c>
      <c r="V8" t="s">
        <v>118</v>
      </c>
      <c r="W8" t="s">
        <v>119</v>
      </c>
      <c r="X8" t="s">
        <v>119</v>
      </c>
      <c r="Y8">
        <v>1.578</v>
      </c>
      <c r="Z8">
        <v>0.045659862</v>
      </c>
      <c r="AA8" t="s">
        <v>102</v>
      </c>
      <c r="AB8" t="s">
        <v>29</v>
      </c>
      <c r="AC8" t="s">
        <v>22</v>
      </c>
      <c r="AD8" t="s">
        <v>23</v>
      </c>
      <c r="AE8" t="s">
        <v>24</v>
      </c>
      <c r="AF8" t="str">
        <f t="shared" si="1"/>
        <v>charge-altering-copy1</v>
      </c>
      <c r="AG8" t="s">
        <v>90</v>
      </c>
      <c r="AH8" t="s">
        <v>40</v>
      </c>
      <c r="AI8" t="str">
        <f t="shared" si="0"/>
        <v>H2A R29Q</v>
      </c>
    </row>
    <row r="9" spans="1:35">
      <c r="A9" t="s">
        <v>120</v>
      </c>
      <c r="B9" t="s">
        <v>121</v>
      </c>
      <c r="C9" t="s">
        <v>109</v>
      </c>
      <c r="D9" t="s">
        <v>39</v>
      </c>
      <c r="E9" t="s">
        <v>110</v>
      </c>
      <c r="F9" t="s">
        <v>89</v>
      </c>
      <c r="G9" t="s">
        <v>40</v>
      </c>
      <c r="H9">
        <v>32</v>
      </c>
      <c r="I9">
        <v>33</v>
      </c>
      <c r="J9">
        <v>32</v>
      </c>
      <c r="K9">
        <v>31</v>
      </c>
      <c r="L9" t="s">
        <v>26</v>
      </c>
      <c r="M9" t="s">
        <v>121</v>
      </c>
      <c r="N9" t="s">
        <v>90</v>
      </c>
      <c r="O9" t="s">
        <v>91</v>
      </c>
      <c r="P9" t="s">
        <v>92</v>
      </c>
      <c r="Q9" t="s">
        <v>26</v>
      </c>
      <c r="R9" t="s">
        <v>93</v>
      </c>
      <c r="S9">
        <v>32</v>
      </c>
      <c r="T9" t="s">
        <v>26</v>
      </c>
      <c r="U9" t="s">
        <v>54</v>
      </c>
      <c r="V9" t="s">
        <v>122</v>
      </c>
      <c r="W9" t="s">
        <v>123</v>
      </c>
      <c r="X9" t="s">
        <v>123</v>
      </c>
      <c r="Y9">
        <v>0.474</v>
      </c>
      <c r="Z9">
        <v>0.070683077</v>
      </c>
      <c r="AA9" t="s">
        <v>102</v>
      </c>
      <c r="AB9" t="s">
        <v>29</v>
      </c>
      <c r="AC9" t="s">
        <v>22</v>
      </c>
      <c r="AD9" t="s">
        <v>23</v>
      </c>
      <c r="AE9" t="s">
        <v>24</v>
      </c>
      <c r="AF9" t="str">
        <f t="shared" si="1"/>
        <v>charge-altering-copy1</v>
      </c>
      <c r="AG9" t="s">
        <v>90</v>
      </c>
      <c r="AH9" t="s">
        <v>40</v>
      </c>
      <c r="AI9" t="str">
        <f t="shared" si="0"/>
        <v>H2A H31Y</v>
      </c>
    </row>
    <row r="10" spans="1:35">
      <c r="A10" t="s">
        <v>124</v>
      </c>
      <c r="B10" t="s">
        <v>125</v>
      </c>
      <c r="C10" t="s">
        <v>109</v>
      </c>
      <c r="D10" t="s">
        <v>39</v>
      </c>
      <c r="E10" t="s">
        <v>110</v>
      </c>
      <c r="F10" t="s">
        <v>89</v>
      </c>
      <c r="G10" t="s">
        <v>40</v>
      </c>
      <c r="H10">
        <v>36</v>
      </c>
      <c r="I10">
        <v>37</v>
      </c>
      <c r="J10">
        <v>36</v>
      </c>
      <c r="K10">
        <v>35</v>
      </c>
      <c r="L10" t="s">
        <v>49</v>
      </c>
      <c r="M10" t="s">
        <v>125</v>
      </c>
      <c r="N10" t="s">
        <v>90</v>
      </c>
      <c r="O10" t="s">
        <v>91</v>
      </c>
      <c r="P10" t="s">
        <v>92</v>
      </c>
      <c r="Q10" t="s">
        <v>49</v>
      </c>
      <c r="R10" t="s">
        <v>93</v>
      </c>
      <c r="S10">
        <v>36</v>
      </c>
      <c r="T10" t="s">
        <v>49</v>
      </c>
      <c r="U10" t="s">
        <v>28</v>
      </c>
      <c r="V10" t="s">
        <v>126</v>
      </c>
      <c r="W10" t="s">
        <v>127</v>
      </c>
      <c r="X10" t="s">
        <v>127</v>
      </c>
      <c r="Y10">
        <v>0.223</v>
      </c>
      <c r="Z10">
        <v>0.367188583</v>
      </c>
      <c r="AA10" t="s">
        <v>93</v>
      </c>
      <c r="AB10" t="s">
        <v>29</v>
      </c>
      <c r="AC10" t="s">
        <v>22</v>
      </c>
      <c r="AD10" t="s">
        <v>23</v>
      </c>
      <c r="AE10" t="s">
        <v>24</v>
      </c>
      <c r="AF10" t="str">
        <f t="shared" si="1"/>
        <v>charge-altering-copy1</v>
      </c>
      <c r="AG10" t="s">
        <v>90</v>
      </c>
      <c r="AH10" t="s">
        <v>40</v>
      </c>
      <c r="AI10" t="str">
        <f t="shared" si="0"/>
        <v>H2A R35L</v>
      </c>
    </row>
    <row r="11" spans="1:35">
      <c r="A11" t="s">
        <v>128</v>
      </c>
      <c r="B11" t="s">
        <v>129</v>
      </c>
      <c r="C11" t="s">
        <v>109</v>
      </c>
      <c r="D11" t="s">
        <v>39</v>
      </c>
      <c r="E11" t="s">
        <v>110</v>
      </c>
      <c r="F11" t="s">
        <v>89</v>
      </c>
      <c r="G11" t="s">
        <v>40</v>
      </c>
      <c r="H11">
        <v>75</v>
      </c>
      <c r="I11">
        <v>76</v>
      </c>
      <c r="J11">
        <v>75</v>
      </c>
      <c r="K11">
        <v>74</v>
      </c>
      <c r="L11" t="s">
        <v>35</v>
      </c>
      <c r="M11" t="s">
        <v>129</v>
      </c>
      <c r="N11" t="s">
        <v>90</v>
      </c>
      <c r="O11" t="s">
        <v>91</v>
      </c>
      <c r="P11" t="s">
        <v>92</v>
      </c>
      <c r="Q11" t="s">
        <v>35</v>
      </c>
      <c r="R11" t="s">
        <v>93</v>
      </c>
      <c r="S11">
        <v>75</v>
      </c>
      <c r="T11" t="s">
        <v>35</v>
      </c>
      <c r="U11" t="s">
        <v>34</v>
      </c>
      <c r="V11" t="s">
        <v>130</v>
      </c>
      <c r="W11" t="s">
        <v>131</v>
      </c>
      <c r="X11" t="s">
        <v>131</v>
      </c>
      <c r="Y11">
        <v>1.01</v>
      </c>
      <c r="Z11">
        <v>0.459537832</v>
      </c>
      <c r="AA11" t="s">
        <v>93</v>
      </c>
      <c r="AB11" t="s">
        <v>29</v>
      </c>
      <c r="AC11" t="s">
        <v>22</v>
      </c>
      <c r="AD11" t="s">
        <v>23</v>
      </c>
      <c r="AE11" t="s">
        <v>24</v>
      </c>
      <c r="AF11" t="str">
        <f t="shared" si="1"/>
        <v>charge-altering-copy1</v>
      </c>
      <c r="AG11" t="s">
        <v>90</v>
      </c>
      <c r="AH11" t="s">
        <v>40</v>
      </c>
      <c r="AI11" t="str">
        <f t="shared" si="0"/>
        <v>H2A K74N</v>
      </c>
    </row>
    <row r="12" spans="1:35">
      <c r="A12" t="s">
        <v>132</v>
      </c>
      <c r="B12" t="s">
        <v>133</v>
      </c>
      <c r="C12" t="s">
        <v>109</v>
      </c>
      <c r="D12" t="s">
        <v>39</v>
      </c>
      <c r="E12" t="s">
        <v>110</v>
      </c>
      <c r="F12" t="s">
        <v>89</v>
      </c>
      <c r="G12" t="s">
        <v>40</v>
      </c>
      <c r="H12">
        <v>76</v>
      </c>
      <c r="I12">
        <v>77</v>
      </c>
      <c r="J12">
        <v>76</v>
      </c>
      <c r="K12">
        <v>75</v>
      </c>
      <c r="L12" t="s">
        <v>35</v>
      </c>
      <c r="M12" t="s">
        <v>133</v>
      </c>
      <c r="N12" t="s">
        <v>90</v>
      </c>
      <c r="O12" t="s">
        <v>91</v>
      </c>
      <c r="P12" t="s">
        <v>92</v>
      </c>
      <c r="Q12" t="s">
        <v>35</v>
      </c>
      <c r="R12" t="s">
        <v>93</v>
      </c>
      <c r="S12">
        <v>76</v>
      </c>
      <c r="T12" t="s">
        <v>35</v>
      </c>
      <c r="U12" t="s">
        <v>34</v>
      </c>
      <c r="V12" t="s">
        <v>134</v>
      </c>
      <c r="W12" t="s">
        <v>130</v>
      </c>
      <c r="X12" t="s">
        <v>130</v>
      </c>
      <c r="Y12">
        <v>0.488</v>
      </c>
      <c r="Z12">
        <v>0.151490121</v>
      </c>
      <c r="AA12" t="s">
        <v>102</v>
      </c>
      <c r="AB12" t="s">
        <v>29</v>
      </c>
      <c r="AC12" t="s">
        <v>22</v>
      </c>
      <c r="AD12" t="s">
        <v>23</v>
      </c>
      <c r="AE12" t="s">
        <v>24</v>
      </c>
      <c r="AF12" t="str">
        <f t="shared" si="1"/>
        <v>charge-altering-copy1</v>
      </c>
      <c r="AG12" t="s">
        <v>90</v>
      </c>
      <c r="AH12" t="s">
        <v>40</v>
      </c>
      <c r="AI12" t="str">
        <f t="shared" si="0"/>
        <v>H2A K75N</v>
      </c>
    </row>
    <row r="13" spans="1:35">
      <c r="A13" t="s">
        <v>135</v>
      </c>
      <c r="B13" t="s">
        <v>136</v>
      </c>
      <c r="C13" t="s">
        <v>109</v>
      </c>
      <c r="D13" t="s">
        <v>39</v>
      </c>
      <c r="E13" t="s">
        <v>110</v>
      </c>
      <c r="F13" t="s">
        <v>89</v>
      </c>
      <c r="G13" t="s">
        <v>40</v>
      </c>
      <c r="H13">
        <v>78</v>
      </c>
      <c r="I13">
        <v>79</v>
      </c>
      <c r="J13">
        <v>78</v>
      </c>
      <c r="K13">
        <v>77</v>
      </c>
      <c r="L13" t="s">
        <v>49</v>
      </c>
      <c r="M13" t="s">
        <v>136</v>
      </c>
      <c r="N13" t="s">
        <v>90</v>
      </c>
      <c r="O13" t="s">
        <v>91</v>
      </c>
      <c r="P13" t="s">
        <v>92</v>
      </c>
      <c r="Q13" t="s">
        <v>49</v>
      </c>
      <c r="R13" t="s">
        <v>93</v>
      </c>
      <c r="S13">
        <v>78</v>
      </c>
      <c r="T13" t="s">
        <v>49</v>
      </c>
      <c r="U13" t="s">
        <v>39</v>
      </c>
      <c r="V13" t="s">
        <v>137</v>
      </c>
      <c r="W13" t="s">
        <v>138</v>
      </c>
      <c r="X13" t="s">
        <v>138</v>
      </c>
      <c r="Y13">
        <v>1.71</v>
      </c>
      <c r="Z13">
        <v>0.118824895</v>
      </c>
      <c r="AA13" t="s">
        <v>102</v>
      </c>
      <c r="AB13" t="s">
        <v>29</v>
      </c>
      <c r="AC13" t="s">
        <v>22</v>
      </c>
      <c r="AD13" t="s">
        <v>23</v>
      </c>
      <c r="AE13" t="s">
        <v>24</v>
      </c>
      <c r="AF13" t="str">
        <f t="shared" si="1"/>
        <v>charge-altering-copy1</v>
      </c>
      <c r="AG13" t="s">
        <v>90</v>
      </c>
      <c r="AH13" t="s">
        <v>40</v>
      </c>
      <c r="AI13" t="str">
        <f t="shared" si="0"/>
        <v>H2A R77C</v>
      </c>
    </row>
    <row r="14" spans="1:35">
      <c r="A14" t="s">
        <v>139</v>
      </c>
      <c r="B14" t="s">
        <v>140</v>
      </c>
      <c r="C14" t="s">
        <v>109</v>
      </c>
      <c r="D14" t="s">
        <v>41</v>
      </c>
      <c r="E14" t="s">
        <v>110</v>
      </c>
      <c r="F14" t="s">
        <v>89</v>
      </c>
      <c r="G14" t="s">
        <v>40</v>
      </c>
      <c r="H14">
        <v>18</v>
      </c>
      <c r="I14">
        <v>19</v>
      </c>
      <c r="J14">
        <v>18</v>
      </c>
      <c r="K14">
        <v>17</v>
      </c>
      <c r="L14" t="s">
        <v>49</v>
      </c>
      <c r="M14" t="s">
        <v>140</v>
      </c>
      <c r="N14" t="s">
        <v>90</v>
      </c>
      <c r="O14" t="s">
        <v>91</v>
      </c>
      <c r="P14" t="s">
        <v>92</v>
      </c>
      <c r="Q14" t="s">
        <v>49</v>
      </c>
      <c r="R14" t="s">
        <v>93</v>
      </c>
      <c r="S14">
        <v>18</v>
      </c>
      <c r="T14" t="s">
        <v>49</v>
      </c>
      <c r="U14" t="s">
        <v>51</v>
      </c>
      <c r="V14" t="s">
        <v>111</v>
      </c>
      <c r="W14" t="s">
        <v>112</v>
      </c>
      <c r="X14" t="s">
        <v>112</v>
      </c>
      <c r="Y14">
        <v>0.718</v>
      </c>
      <c r="Z14">
        <v>0.09230766</v>
      </c>
      <c r="AA14" t="s">
        <v>102</v>
      </c>
      <c r="AB14" t="s">
        <v>29</v>
      </c>
      <c r="AC14" t="s">
        <v>22</v>
      </c>
      <c r="AD14" t="s">
        <v>23</v>
      </c>
      <c r="AE14" t="s">
        <v>24</v>
      </c>
      <c r="AF14" t="str">
        <f t="shared" si="1"/>
        <v>charge-altering-copy2</v>
      </c>
      <c r="AG14" t="s">
        <v>90</v>
      </c>
      <c r="AH14" t="s">
        <v>40</v>
      </c>
      <c r="AI14" t="str">
        <f t="shared" si="0"/>
        <v>H2A R17P</v>
      </c>
    </row>
    <row r="15" spans="1:35">
      <c r="A15" t="s">
        <v>141</v>
      </c>
      <c r="B15" t="s">
        <v>142</v>
      </c>
      <c r="C15" t="s">
        <v>109</v>
      </c>
      <c r="D15" t="s">
        <v>41</v>
      </c>
      <c r="E15" t="s">
        <v>110</v>
      </c>
      <c r="F15" t="s">
        <v>89</v>
      </c>
      <c r="G15" t="s">
        <v>40</v>
      </c>
      <c r="H15">
        <v>30</v>
      </c>
      <c r="I15">
        <v>31</v>
      </c>
      <c r="J15">
        <v>30</v>
      </c>
      <c r="K15">
        <v>29</v>
      </c>
      <c r="L15" t="s">
        <v>49</v>
      </c>
      <c r="M15" t="s">
        <v>142</v>
      </c>
      <c r="N15" t="s">
        <v>90</v>
      </c>
      <c r="O15" t="s">
        <v>91</v>
      </c>
      <c r="P15" t="s">
        <v>92</v>
      </c>
      <c r="Q15" t="s">
        <v>49</v>
      </c>
      <c r="R15" t="s">
        <v>93</v>
      </c>
      <c r="S15">
        <v>30</v>
      </c>
      <c r="T15" t="s">
        <v>49</v>
      </c>
      <c r="U15" t="s">
        <v>51</v>
      </c>
      <c r="V15" t="s">
        <v>115</v>
      </c>
      <c r="W15" t="s">
        <v>116</v>
      </c>
      <c r="X15" t="s">
        <v>116</v>
      </c>
      <c r="Y15">
        <v>1.596</v>
      </c>
      <c r="Z15">
        <v>0.045659862</v>
      </c>
      <c r="AA15" t="s">
        <v>102</v>
      </c>
      <c r="AB15" t="s">
        <v>29</v>
      </c>
      <c r="AC15" t="s">
        <v>22</v>
      </c>
      <c r="AD15" t="s">
        <v>23</v>
      </c>
      <c r="AE15" t="s">
        <v>24</v>
      </c>
      <c r="AF15" t="str">
        <f t="shared" si="1"/>
        <v>charge-altering-copy2</v>
      </c>
      <c r="AG15" t="s">
        <v>90</v>
      </c>
      <c r="AH15" t="s">
        <v>40</v>
      </c>
      <c r="AI15" t="str">
        <f t="shared" si="0"/>
        <v>H2A R29P</v>
      </c>
    </row>
    <row r="16" spans="1:35">
      <c r="A16" t="s">
        <v>143</v>
      </c>
      <c r="B16" t="s">
        <v>142</v>
      </c>
      <c r="C16" t="s">
        <v>109</v>
      </c>
      <c r="D16" t="s">
        <v>41</v>
      </c>
      <c r="E16" t="s">
        <v>110</v>
      </c>
      <c r="F16" t="s">
        <v>89</v>
      </c>
      <c r="G16" t="s">
        <v>40</v>
      </c>
      <c r="H16">
        <v>30</v>
      </c>
      <c r="I16">
        <v>31</v>
      </c>
      <c r="J16">
        <v>30</v>
      </c>
      <c r="K16">
        <v>29</v>
      </c>
      <c r="L16" t="s">
        <v>49</v>
      </c>
      <c r="M16" t="s">
        <v>142</v>
      </c>
      <c r="N16" t="s">
        <v>90</v>
      </c>
      <c r="O16" t="s">
        <v>91</v>
      </c>
      <c r="P16" t="s">
        <v>92</v>
      </c>
      <c r="Q16" t="s">
        <v>49</v>
      </c>
      <c r="R16" t="s">
        <v>93</v>
      </c>
      <c r="S16">
        <v>30</v>
      </c>
      <c r="T16" t="s">
        <v>49</v>
      </c>
      <c r="U16" t="s">
        <v>19</v>
      </c>
      <c r="V16" t="s">
        <v>118</v>
      </c>
      <c r="W16" t="s">
        <v>119</v>
      </c>
      <c r="X16" t="s">
        <v>119</v>
      </c>
      <c r="Y16">
        <v>1.596</v>
      </c>
      <c r="Z16">
        <v>0.045659862</v>
      </c>
      <c r="AA16" t="s">
        <v>102</v>
      </c>
      <c r="AB16" t="s">
        <v>29</v>
      </c>
      <c r="AC16" t="s">
        <v>22</v>
      </c>
      <c r="AD16" t="s">
        <v>23</v>
      </c>
      <c r="AE16" t="s">
        <v>24</v>
      </c>
      <c r="AF16" t="str">
        <f t="shared" si="1"/>
        <v>charge-altering-copy2</v>
      </c>
      <c r="AG16" t="s">
        <v>90</v>
      </c>
      <c r="AH16" t="s">
        <v>40</v>
      </c>
      <c r="AI16" t="str">
        <f t="shared" si="0"/>
        <v>H2A R29Q</v>
      </c>
    </row>
    <row r="17" spans="1:35">
      <c r="A17" t="s">
        <v>144</v>
      </c>
      <c r="B17" t="s">
        <v>145</v>
      </c>
      <c r="C17" t="s">
        <v>109</v>
      </c>
      <c r="D17" t="s">
        <v>41</v>
      </c>
      <c r="E17" t="s">
        <v>110</v>
      </c>
      <c r="F17" t="s">
        <v>89</v>
      </c>
      <c r="G17" t="s">
        <v>40</v>
      </c>
      <c r="H17">
        <v>32</v>
      </c>
      <c r="I17">
        <v>33</v>
      </c>
      <c r="J17">
        <v>32</v>
      </c>
      <c r="K17">
        <v>31</v>
      </c>
      <c r="L17" t="s">
        <v>26</v>
      </c>
      <c r="M17" t="s">
        <v>145</v>
      </c>
      <c r="N17" t="s">
        <v>90</v>
      </c>
      <c r="O17" t="s">
        <v>91</v>
      </c>
      <c r="P17" t="s">
        <v>92</v>
      </c>
      <c r="Q17" t="s">
        <v>26</v>
      </c>
      <c r="R17" t="s">
        <v>93</v>
      </c>
      <c r="S17">
        <v>32</v>
      </c>
      <c r="T17" t="s">
        <v>26</v>
      </c>
      <c r="U17" t="s">
        <v>54</v>
      </c>
      <c r="V17" t="s">
        <v>122</v>
      </c>
      <c r="W17" t="s">
        <v>123</v>
      </c>
      <c r="X17" t="s">
        <v>123</v>
      </c>
      <c r="Y17">
        <v>0.458</v>
      </c>
      <c r="Z17">
        <v>0.070683077</v>
      </c>
      <c r="AA17" t="s">
        <v>102</v>
      </c>
      <c r="AB17" t="s">
        <v>29</v>
      </c>
      <c r="AC17" t="s">
        <v>22</v>
      </c>
      <c r="AD17" t="s">
        <v>23</v>
      </c>
      <c r="AE17" t="s">
        <v>24</v>
      </c>
      <c r="AF17" t="str">
        <f t="shared" si="1"/>
        <v>charge-altering-copy2</v>
      </c>
      <c r="AG17" t="s">
        <v>90</v>
      </c>
      <c r="AH17" t="s">
        <v>40</v>
      </c>
      <c r="AI17" t="str">
        <f t="shared" si="0"/>
        <v>H2A H31Y</v>
      </c>
    </row>
    <row r="18" spans="1:35">
      <c r="A18" t="s">
        <v>146</v>
      </c>
      <c r="B18" t="s">
        <v>147</v>
      </c>
      <c r="C18" t="s">
        <v>109</v>
      </c>
      <c r="D18" t="s">
        <v>41</v>
      </c>
      <c r="E18" t="s">
        <v>110</v>
      </c>
      <c r="F18" t="s">
        <v>89</v>
      </c>
      <c r="G18" t="s">
        <v>40</v>
      </c>
      <c r="H18">
        <v>36</v>
      </c>
      <c r="I18">
        <v>37</v>
      </c>
      <c r="J18">
        <v>36</v>
      </c>
      <c r="K18">
        <v>35</v>
      </c>
      <c r="L18" t="s">
        <v>49</v>
      </c>
      <c r="M18" t="s">
        <v>147</v>
      </c>
      <c r="N18" t="s">
        <v>90</v>
      </c>
      <c r="O18" t="s">
        <v>91</v>
      </c>
      <c r="P18" t="s">
        <v>92</v>
      </c>
      <c r="Q18" t="s">
        <v>49</v>
      </c>
      <c r="R18" t="s">
        <v>93</v>
      </c>
      <c r="S18">
        <v>36</v>
      </c>
      <c r="T18" t="s">
        <v>49</v>
      </c>
      <c r="U18" t="s">
        <v>28</v>
      </c>
      <c r="V18" t="s">
        <v>126</v>
      </c>
      <c r="W18" t="s">
        <v>127</v>
      </c>
      <c r="X18" t="s">
        <v>127</v>
      </c>
      <c r="Y18">
        <v>0.227</v>
      </c>
      <c r="Z18">
        <v>0.367188583</v>
      </c>
      <c r="AA18" t="s">
        <v>93</v>
      </c>
      <c r="AB18" t="s">
        <v>29</v>
      </c>
      <c r="AC18" t="s">
        <v>22</v>
      </c>
      <c r="AD18" t="s">
        <v>23</v>
      </c>
      <c r="AE18" t="s">
        <v>24</v>
      </c>
      <c r="AF18" t="str">
        <f t="shared" si="1"/>
        <v>charge-altering-copy2</v>
      </c>
      <c r="AG18" t="s">
        <v>90</v>
      </c>
      <c r="AH18" t="s">
        <v>40</v>
      </c>
      <c r="AI18" t="str">
        <f t="shared" si="0"/>
        <v>H2A R35L</v>
      </c>
    </row>
    <row r="19" spans="1:35">
      <c r="A19" t="s">
        <v>148</v>
      </c>
      <c r="B19" t="s">
        <v>149</v>
      </c>
      <c r="C19" t="s">
        <v>109</v>
      </c>
      <c r="D19" t="s">
        <v>41</v>
      </c>
      <c r="E19" t="s">
        <v>110</v>
      </c>
      <c r="F19" t="s">
        <v>89</v>
      </c>
      <c r="G19" t="s">
        <v>40</v>
      </c>
      <c r="H19">
        <v>75</v>
      </c>
      <c r="I19">
        <v>76</v>
      </c>
      <c r="J19">
        <v>75</v>
      </c>
      <c r="K19">
        <v>74</v>
      </c>
      <c r="L19" t="s">
        <v>35</v>
      </c>
      <c r="M19" t="s">
        <v>149</v>
      </c>
      <c r="N19" t="s">
        <v>90</v>
      </c>
      <c r="O19" t="s">
        <v>91</v>
      </c>
      <c r="P19" t="s">
        <v>92</v>
      </c>
      <c r="Q19" t="s">
        <v>35</v>
      </c>
      <c r="R19" t="s">
        <v>93</v>
      </c>
      <c r="S19">
        <v>75</v>
      </c>
      <c r="T19" t="s">
        <v>35</v>
      </c>
      <c r="U19" t="s">
        <v>34</v>
      </c>
      <c r="V19" t="s">
        <v>130</v>
      </c>
      <c r="W19" t="s">
        <v>131</v>
      </c>
      <c r="X19" t="s">
        <v>131</v>
      </c>
      <c r="Y19">
        <v>1.008</v>
      </c>
      <c r="Z19">
        <v>0.459537832</v>
      </c>
      <c r="AA19" t="s">
        <v>93</v>
      </c>
      <c r="AB19" t="s">
        <v>29</v>
      </c>
      <c r="AC19" t="s">
        <v>22</v>
      </c>
      <c r="AD19" t="s">
        <v>23</v>
      </c>
      <c r="AE19" t="s">
        <v>24</v>
      </c>
      <c r="AF19" t="str">
        <f t="shared" si="1"/>
        <v>charge-altering-copy2</v>
      </c>
      <c r="AG19" t="s">
        <v>90</v>
      </c>
      <c r="AH19" t="s">
        <v>40</v>
      </c>
      <c r="AI19" t="str">
        <f t="shared" si="0"/>
        <v>H2A K74N</v>
      </c>
    </row>
    <row r="20" spans="1:35">
      <c r="A20" t="s">
        <v>150</v>
      </c>
      <c r="B20" t="s">
        <v>151</v>
      </c>
      <c r="C20" t="s">
        <v>109</v>
      </c>
      <c r="D20" t="s">
        <v>41</v>
      </c>
      <c r="E20" t="s">
        <v>110</v>
      </c>
      <c r="F20" t="s">
        <v>89</v>
      </c>
      <c r="G20" t="s">
        <v>40</v>
      </c>
      <c r="H20">
        <v>76</v>
      </c>
      <c r="I20">
        <v>77</v>
      </c>
      <c r="J20">
        <v>76</v>
      </c>
      <c r="K20">
        <v>75</v>
      </c>
      <c r="L20" t="s">
        <v>35</v>
      </c>
      <c r="M20" t="s">
        <v>151</v>
      </c>
      <c r="N20" t="s">
        <v>90</v>
      </c>
      <c r="O20" t="s">
        <v>91</v>
      </c>
      <c r="P20" t="s">
        <v>92</v>
      </c>
      <c r="Q20" t="s">
        <v>35</v>
      </c>
      <c r="R20" t="s">
        <v>93</v>
      </c>
      <c r="S20">
        <v>76</v>
      </c>
      <c r="T20" t="s">
        <v>35</v>
      </c>
      <c r="U20" t="s">
        <v>34</v>
      </c>
      <c r="V20" t="s">
        <v>134</v>
      </c>
      <c r="W20" t="s">
        <v>130</v>
      </c>
      <c r="X20" t="s">
        <v>130</v>
      </c>
      <c r="Y20">
        <v>0.602</v>
      </c>
      <c r="Z20">
        <v>0.151490121</v>
      </c>
      <c r="AA20" t="s">
        <v>102</v>
      </c>
      <c r="AB20" t="s">
        <v>29</v>
      </c>
      <c r="AC20" t="s">
        <v>22</v>
      </c>
      <c r="AD20" t="s">
        <v>23</v>
      </c>
      <c r="AE20" t="s">
        <v>24</v>
      </c>
      <c r="AF20" t="str">
        <f t="shared" si="1"/>
        <v>charge-altering-copy2</v>
      </c>
      <c r="AG20" t="s">
        <v>90</v>
      </c>
      <c r="AH20" t="s">
        <v>40</v>
      </c>
      <c r="AI20" t="str">
        <f t="shared" si="0"/>
        <v>H2A K75N</v>
      </c>
    </row>
    <row r="21" spans="1:35">
      <c r="A21" t="s">
        <v>152</v>
      </c>
      <c r="B21" t="s">
        <v>153</v>
      </c>
      <c r="C21" t="s">
        <v>109</v>
      </c>
      <c r="D21" t="s">
        <v>41</v>
      </c>
      <c r="E21" t="s">
        <v>110</v>
      </c>
      <c r="F21" t="s">
        <v>89</v>
      </c>
      <c r="G21" t="s">
        <v>40</v>
      </c>
      <c r="H21">
        <v>78</v>
      </c>
      <c r="I21">
        <v>79</v>
      </c>
      <c r="J21">
        <v>78</v>
      </c>
      <c r="K21">
        <v>77</v>
      </c>
      <c r="L21" t="s">
        <v>49</v>
      </c>
      <c r="M21" t="s">
        <v>153</v>
      </c>
      <c r="N21" t="s">
        <v>90</v>
      </c>
      <c r="O21" t="s">
        <v>91</v>
      </c>
      <c r="P21" t="s">
        <v>92</v>
      </c>
      <c r="Q21" t="s">
        <v>49</v>
      </c>
      <c r="R21" t="s">
        <v>93</v>
      </c>
      <c r="S21">
        <v>78</v>
      </c>
      <c r="T21" t="s">
        <v>49</v>
      </c>
      <c r="U21" t="s">
        <v>39</v>
      </c>
      <c r="V21" t="s">
        <v>137</v>
      </c>
      <c r="W21" t="s">
        <v>138</v>
      </c>
      <c r="X21" t="s">
        <v>138</v>
      </c>
      <c r="Y21">
        <v>1.599</v>
      </c>
      <c r="Z21">
        <v>0.118824895</v>
      </c>
      <c r="AA21" t="s">
        <v>102</v>
      </c>
      <c r="AB21" t="s">
        <v>29</v>
      </c>
      <c r="AC21" t="s">
        <v>22</v>
      </c>
      <c r="AD21" t="s">
        <v>23</v>
      </c>
      <c r="AE21" t="s">
        <v>24</v>
      </c>
      <c r="AF21" t="str">
        <f t="shared" si="1"/>
        <v>charge-altering-copy2</v>
      </c>
      <c r="AG21" t="s">
        <v>90</v>
      </c>
      <c r="AH21" t="s">
        <v>40</v>
      </c>
      <c r="AI21" t="str">
        <f t="shared" si="0"/>
        <v>H2A R77C</v>
      </c>
    </row>
    <row r="22" spans="1:35">
      <c r="A22" t="s">
        <v>154</v>
      </c>
      <c r="B22" t="s">
        <v>155</v>
      </c>
      <c r="C22" t="s">
        <v>156</v>
      </c>
      <c r="D22" t="s">
        <v>27</v>
      </c>
      <c r="E22" t="s">
        <v>157</v>
      </c>
      <c r="F22" t="s">
        <v>89</v>
      </c>
      <c r="G22" t="s">
        <v>30</v>
      </c>
      <c r="H22">
        <v>40</v>
      </c>
      <c r="I22">
        <v>40</v>
      </c>
      <c r="J22">
        <v>40</v>
      </c>
      <c r="K22">
        <v>39</v>
      </c>
      <c r="L22" t="s">
        <v>49</v>
      </c>
      <c r="M22" t="s">
        <v>155</v>
      </c>
      <c r="N22" t="s">
        <v>90</v>
      </c>
      <c r="O22" t="s">
        <v>91</v>
      </c>
      <c r="P22" t="s">
        <v>92</v>
      </c>
      <c r="Q22" t="s">
        <v>49</v>
      </c>
      <c r="R22" t="s">
        <v>93</v>
      </c>
      <c r="S22">
        <v>40</v>
      </c>
      <c r="T22" t="s">
        <v>49</v>
      </c>
      <c r="U22" t="s">
        <v>41</v>
      </c>
      <c r="V22" t="s">
        <v>158</v>
      </c>
      <c r="W22" t="s">
        <v>159</v>
      </c>
      <c r="X22" t="s">
        <v>159</v>
      </c>
      <c r="Y22">
        <v>0.218</v>
      </c>
      <c r="Z22">
        <v>0</v>
      </c>
      <c r="AA22" t="s">
        <v>102</v>
      </c>
      <c r="AB22" t="s">
        <v>29</v>
      </c>
      <c r="AC22" t="s">
        <v>22</v>
      </c>
      <c r="AD22" t="s">
        <v>23</v>
      </c>
      <c r="AE22" t="s">
        <v>24</v>
      </c>
      <c r="AF22" t="str">
        <f t="shared" si="1"/>
        <v>charge-altering-copy1</v>
      </c>
      <c r="AG22" t="s">
        <v>90</v>
      </c>
      <c r="AH22" t="s">
        <v>30</v>
      </c>
      <c r="AI22" t="str">
        <f t="shared" si="0"/>
        <v>H4 R39G</v>
      </c>
    </row>
    <row r="23" spans="1:35">
      <c r="A23" t="s">
        <v>160</v>
      </c>
      <c r="B23" t="s">
        <v>155</v>
      </c>
      <c r="C23" t="s">
        <v>156</v>
      </c>
      <c r="D23" t="s">
        <v>27</v>
      </c>
      <c r="E23" t="s">
        <v>157</v>
      </c>
      <c r="F23" t="s">
        <v>89</v>
      </c>
      <c r="G23" t="s">
        <v>30</v>
      </c>
      <c r="H23">
        <v>40</v>
      </c>
      <c r="I23">
        <v>40</v>
      </c>
      <c r="J23">
        <v>40</v>
      </c>
      <c r="K23">
        <v>39</v>
      </c>
      <c r="L23" t="s">
        <v>49</v>
      </c>
      <c r="M23" t="s">
        <v>155</v>
      </c>
      <c r="N23" t="s">
        <v>90</v>
      </c>
      <c r="O23" t="s">
        <v>91</v>
      </c>
      <c r="P23" t="s">
        <v>92</v>
      </c>
      <c r="Q23" t="s">
        <v>49</v>
      </c>
      <c r="R23" t="s">
        <v>93</v>
      </c>
      <c r="S23">
        <v>40</v>
      </c>
      <c r="T23" t="s">
        <v>49</v>
      </c>
      <c r="U23" t="s">
        <v>39</v>
      </c>
      <c r="V23" t="s">
        <v>161</v>
      </c>
      <c r="W23" t="s">
        <v>162</v>
      </c>
      <c r="X23" t="s">
        <v>162</v>
      </c>
      <c r="Y23">
        <v>0.232</v>
      </c>
      <c r="Z23">
        <v>0</v>
      </c>
      <c r="AA23" t="s">
        <v>102</v>
      </c>
      <c r="AB23" t="s">
        <v>29</v>
      </c>
      <c r="AC23" t="s">
        <v>22</v>
      </c>
      <c r="AD23" t="s">
        <v>23</v>
      </c>
      <c r="AE23" t="s">
        <v>24</v>
      </c>
      <c r="AF23" t="str">
        <f t="shared" si="1"/>
        <v>charge-altering-copy1</v>
      </c>
      <c r="AG23" t="s">
        <v>90</v>
      </c>
      <c r="AH23" t="s">
        <v>30</v>
      </c>
      <c r="AI23" t="str">
        <f t="shared" si="0"/>
        <v>H4 R39C</v>
      </c>
    </row>
    <row r="24" spans="1:35">
      <c r="A24" t="s">
        <v>163</v>
      </c>
      <c r="B24" t="s">
        <v>164</v>
      </c>
      <c r="C24" t="s">
        <v>156</v>
      </c>
      <c r="D24" t="s">
        <v>27</v>
      </c>
      <c r="E24" t="s">
        <v>157</v>
      </c>
      <c r="F24" t="s">
        <v>89</v>
      </c>
      <c r="G24" t="s">
        <v>30</v>
      </c>
      <c r="H24">
        <v>46</v>
      </c>
      <c r="I24">
        <v>46</v>
      </c>
      <c r="J24">
        <v>46</v>
      </c>
      <c r="K24">
        <v>45</v>
      </c>
      <c r="L24" t="s">
        <v>49</v>
      </c>
      <c r="M24" t="s">
        <v>164</v>
      </c>
      <c r="N24" t="s">
        <v>90</v>
      </c>
      <c r="O24" t="s">
        <v>91</v>
      </c>
      <c r="P24" t="s">
        <v>92</v>
      </c>
      <c r="Q24" t="s">
        <v>49</v>
      </c>
      <c r="R24" t="s">
        <v>93</v>
      </c>
      <c r="S24">
        <v>46</v>
      </c>
      <c r="T24" t="s">
        <v>49</v>
      </c>
      <c r="U24" t="s">
        <v>19</v>
      </c>
      <c r="V24" t="s">
        <v>165</v>
      </c>
      <c r="W24" t="s">
        <v>166</v>
      </c>
      <c r="X24" t="s">
        <v>166</v>
      </c>
      <c r="Y24">
        <v>0.166</v>
      </c>
      <c r="Z24">
        <v>0.091694657</v>
      </c>
      <c r="AA24" t="s">
        <v>102</v>
      </c>
      <c r="AB24" t="s">
        <v>29</v>
      </c>
      <c r="AC24" t="s">
        <v>22</v>
      </c>
      <c r="AD24" t="s">
        <v>23</v>
      </c>
      <c r="AE24" t="s">
        <v>24</v>
      </c>
      <c r="AF24" t="str">
        <f t="shared" si="1"/>
        <v>charge-altering-copy1</v>
      </c>
      <c r="AG24" t="s">
        <v>90</v>
      </c>
      <c r="AH24" t="s">
        <v>30</v>
      </c>
      <c r="AI24" t="str">
        <f t="shared" si="0"/>
        <v>H4 R45Q</v>
      </c>
    </row>
    <row r="25" spans="1:35">
      <c r="A25" t="s">
        <v>167</v>
      </c>
      <c r="B25" t="s">
        <v>168</v>
      </c>
      <c r="C25" t="s">
        <v>156</v>
      </c>
      <c r="D25" t="s">
        <v>27</v>
      </c>
      <c r="E25" t="s">
        <v>157</v>
      </c>
      <c r="F25" t="s">
        <v>89</v>
      </c>
      <c r="G25" t="s">
        <v>30</v>
      </c>
      <c r="H25">
        <v>79</v>
      </c>
      <c r="I25">
        <v>79</v>
      </c>
      <c r="J25">
        <v>79</v>
      </c>
      <c r="K25">
        <v>78</v>
      </c>
      <c r="L25" t="s">
        <v>49</v>
      </c>
      <c r="M25" t="s">
        <v>168</v>
      </c>
      <c r="N25" t="s">
        <v>90</v>
      </c>
      <c r="O25" t="s">
        <v>91</v>
      </c>
      <c r="P25" t="s">
        <v>92</v>
      </c>
      <c r="Q25" t="s">
        <v>49</v>
      </c>
      <c r="R25" t="s">
        <v>93</v>
      </c>
      <c r="S25">
        <v>79</v>
      </c>
      <c r="T25" t="s">
        <v>49</v>
      </c>
      <c r="U25" t="s">
        <v>39</v>
      </c>
      <c r="V25" t="s">
        <v>169</v>
      </c>
      <c r="W25" t="s">
        <v>137</v>
      </c>
      <c r="X25" t="s">
        <v>137</v>
      </c>
      <c r="Y25">
        <v>1.362</v>
      </c>
      <c r="Z25">
        <v>0.12987269</v>
      </c>
      <c r="AA25" t="s">
        <v>102</v>
      </c>
      <c r="AB25" t="s">
        <v>29</v>
      </c>
      <c r="AC25" t="s">
        <v>22</v>
      </c>
      <c r="AD25" t="s">
        <v>23</v>
      </c>
      <c r="AE25" t="s">
        <v>24</v>
      </c>
      <c r="AF25" t="str">
        <f t="shared" si="1"/>
        <v>charge-altering-copy1</v>
      </c>
      <c r="AG25" t="s">
        <v>90</v>
      </c>
      <c r="AH25" t="s">
        <v>30</v>
      </c>
      <c r="AI25" t="str">
        <f t="shared" si="0"/>
        <v>H4 R78C</v>
      </c>
    </row>
    <row r="26" spans="1:35">
      <c r="A26" t="s">
        <v>170</v>
      </c>
      <c r="B26" t="s">
        <v>171</v>
      </c>
      <c r="C26" t="s">
        <v>156</v>
      </c>
      <c r="D26" t="s">
        <v>27</v>
      </c>
      <c r="E26" t="s">
        <v>157</v>
      </c>
      <c r="F26" t="s">
        <v>89</v>
      </c>
      <c r="G26" t="s">
        <v>30</v>
      </c>
      <c r="H26">
        <v>80</v>
      </c>
      <c r="I26">
        <v>80</v>
      </c>
      <c r="J26">
        <v>80</v>
      </c>
      <c r="K26">
        <v>79</v>
      </c>
      <c r="L26" t="s">
        <v>35</v>
      </c>
      <c r="M26" t="s">
        <v>171</v>
      </c>
      <c r="N26" t="s">
        <v>90</v>
      </c>
      <c r="O26" t="s">
        <v>91</v>
      </c>
      <c r="P26" t="s">
        <v>92</v>
      </c>
      <c r="Q26" t="s">
        <v>35</v>
      </c>
      <c r="R26" t="s">
        <v>93</v>
      </c>
      <c r="S26">
        <v>80</v>
      </c>
      <c r="T26" t="s">
        <v>35</v>
      </c>
      <c r="U26" t="s">
        <v>34</v>
      </c>
      <c r="V26" t="s">
        <v>172</v>
      </c>
      <c r="W26" t="s">
        <v>173</v>
      </c>
      <c r="X26" t="s">
        <v>173</v>
      </c>
      <c r="Y26">
        <v>1.821</v>
      </c>
      <c r="Z26">
        <v>0.272424262</v>
      </c>
      <c r="AA26" t="s">
        <v>93</v>
      </c>
      <c r="AB26" t="s">
        <v>29</v>
      </c>
      <c r="AC26" t="s">
        <v>22</v>
      </c>
      <c r="AD26" t="s">
        <v>23</v>
      </c>
      <c r="AE26" t="s">
        <v>24</v>
      </c>
      <c r="AF26" t="str">
        <f t="shared" si="1"/>
        <v>charge-altering-copy1</v>
      </c>
      <c r="AG26" t="s">
        <v>90</v>
      </c>
      <c r="AH26" t="s">
        <v>30</v>
      </c>
      <c r="AI26" t="str">
        <f t="shared" si="0"/>
        <v>H4 K79N</v>
      </c>
    </row>
    <row r="27" spans="1:35">
      <c r="A27" t="s">
        <v>174</v>
      </c>
      <c r="B27" t="s">
        <v>175</v>
      </c>
      <c r="C27" t="s">
        <v>156</v>
      </c>
      <c r="D27" t="s">
        <v>31</v>
      </c>
      <c r="E27" t="s">
        <v>157</v>
      </c>
      <c r="F27" t="s">
        <v>89</v>
      </c>
      <c r="G27" t="s">
        <v>30</v>
      </c>
      <c r="H27">
        <v>40</v>
      </c>
      <c r="I27">
        <v>40</v>
      </c>
      <c r="J27">
        <v>40</v>
      </c>
      <c r="K27">
        <v>39</v>
      </c>
      <c r="L27" t="s">
        <v>49</v>
      </c>
      <c r="M27" t="s">
        <v>175</v>
      </c>
      <c r="N27" t="s">
        <v>90</v>
      </c>
      <c r="O27" t="s">
        <v>91</v>
      </c>
      <c r="P27" t="s">
        <v>92</v>
      </c>
      <c r="Q27" t="s">
        <v>49</v>
      </c>
      <c r="R27" t="s">
        <v>93</v>
      </c>
      <c r="S27">
        <v>40</v>
      </c>
      <c r="T27" t="s">
        <v>49</v>
      </c>
      <c r="U27" t="s">
        <v>41</v>
      </c>
      <c r="V27" t="s">
        <v>158</v>
      </c>
      <c r="W27" t="s">
        <v>159</v>
      </c>
      <c r="X27" t="s">
        <v>159</v>
      </c>
      <c r="Y27">
        <v>0.205</v>
      </c>
      <c r="Z27">
        <v>0</v>
      </c>
      <c r="AA27" t="s">
        <v>102</v>
      </c>
      <c r="AB27" t="s">
        <v>29</v>
      </c>
      <c r="AC27" t="s">
        <v>22</v>
      </c>
      <c r="AD27" t="s">
        <v>23</v>
      </c>
      <c r="AE27" t="s">
        <v>24</v>
      </c>
      <c r="AF27" t="str">
        <f t="shared" si="1"/>
        <v>charge-altering-copy2</v>
      </c>
      <c r="AG27" t="s">
        <v>90</v>
      </c>
      <c r="AH27" t="s">
        <v>30</v>
      </c>
      <c r="AI27" t="str">
        <f t="shared" si="0"/>
        <v>H4 R39G</v>
      </c>
    </row>
    <row r="28" spans="1:35">
      <c r="A28" t="s">
        <v>176</v>
      </c>
      <c r="B28" t="s">
        <v>175</v>
      </c>
      <c r="C28" t="s">
        <v>156</v>
      </c>
      <c r="D28" t="s">
        <v>31</v>
      </c>
      <c r="E28" t="s">
        <v>157</v>
      </c>
      <c r="F28" t="s">
        <v>89</v>
      </c>
      <c r="G28" t="s">
        <v>30</v>
      </c>
      <c r="H28">
        <v>40</v>
      </c>
      <c r="I28">
        <v>40</v>
      </c>
      <c r="J28">
        <v>40</v>
      </c>
      <c r="K28">
        <v>39</v>
      </c>
      <c r="L28" t="s">
        <v>49</v>
      </c>
      <c r="M28" t="s">
        <v>175</v>
      </c>
      <c r="N28" t="s">
        <v>90</v>
      </c>
      <c r="O28" t="s">
        <v>91</v>
      </c>
      <c r="P28" t="s">
        <v>92</v>
      </c>
      <c r="Q28" t="s">
        <v>49</v>
      </c>
      <c r="R28" t="s">
        <v>93</v>
      </c>
      <c r="S28">
        <v>40</v>
      </c>
      <c r="T28" t="s">
        <v>49</v>
      </c>
      <c r="U28" t="s">
        <v>39</v>
      </c>
      <c r="V28" t="s">
        <v>161</v>
      </c>
      <c r="W28" t="s">
        <v>162</v>
      </c>
      <c r="X28" t="s">
        <v>162</v>
      </c>
      <c r="Y28">
        <v>0.223</v>
      </c>
      <c r="Z28">
        <v>0</v>
      </c>
      <c r="AA28" t="s">
        <v>102</v>
      </c>
      <c r="AB28" t="s">
        <v>29</v>
      </c>
      <c r="AC28" t="s">
        <v>22</v>
      </c>
      <c r="AD28" t="s">
        <v>23</v>
      </c>
      <c r="AE28" t="s">
        <v>24</v>
      </c>
      <c r="AF28" t="str">
        <f t="shared" si="1"/>
        <v>charge-altering-copy2</v>
      </c>
      <c r="AG28" t="s">
        <v>90</v>
      </c>
      <c r="AH28" t="s">
        <v>30</v>
      </c>
      <c r="AI28" t="str">
        <f t="shared" si="0"/>
        <v>H4 R39C</v>
      </c>
    </row>
    <row r="29" spans="1:35">
      <c r="A29" t="s">
        <v>177</v>
      </c>
      <c r="B29" t="s">
        <v>178</v>
      </c>
      <c r="C29" t="s">
        <v>156</v>
      </c>
      <c r="D29" t="s">
        <v>31</v>
      </c>
      <c r="E29" t="s">
        <v>157</v>
      </c>
      <c r="F29" t="s">
        <v>89</v>
      </c>
      <c r="G29" t="s">
        <v>30</v>
      </c>
      <c r="H29">
        <v>46</v>
      </c>
      <c r="I29">
        <v>46</v>
      </c>
      <c r="J29">
        <v>46</v>
      </c>
      <c r="K29">
        <v>45</v>
      </c>
      <c r="L29" t="s">
        <v>49</v>
      </c>
      <c r="M29" t="s">
        <v>178</v>
      </c>
      <c r="N29" t="s">
        <v>90</v>
      </c>
      <c r="O29" t="s">
        <v>91</v>
      </c>
      <c r="P29" t="s">
        <v>92</v>
      </c>
      <c r="Q29" t="s">
        <v>49</v>
      </c>
      <c r="R29" t="s">
        <v>93</v>
      </c>
      <c r="S29">
        <v>46</v>
      </c>
      <c r="T29" t="s">
        <v>49</v>
      </c>
      <c r="U29" t="s">
        <v>19</v>
      </c>
      <c r="V29" t="s">
        <v>165</v>
      </c>
      <c r="W29" t="s">
        <v>166</v>
      </c>
      <c r="X29" t="s">
        <v>166</v>
      </c>
      <c r="Y29">
        <v>0.256</v>
      </c>
      <c r="Z29">
        <v>0.091694657</v>
      </c>
      <c r="AA29" t="s">
        <v>102</v>
      </c>
      <c r="AB29" t="s">
        <v>29</v>
      </c>
      <c r="AC29" t="s">
        <v>22</v>
      </c>
      <c r="AD29" t="s">
        <v>23</v>
      </c>
      <c r="AE29" t="s">
        <v>24</v>
      </c>
      <c r="AF29" t="str">
        <f t="shared" si="1"/>
        <v>charge-altering-copy2</v>
      </c>
      <c r="AG29" t="s">
        <v>90</v>
      </c>
      <c r="AH29" t="s">
        <v>30</v>
      </c>
      <c r="AI29" t="str">
        <f t="shared" si="0"/>
        <v>H4 R45Q</v>
      </c>
    </row>
    <row r="30" spans="1:35">
      <c r="A30" t="s">
        <v>179</v>
      </c>
      <c r="B30" t="s">
        <v>180</v>
      </c>
      <c r="C30" t="s">
        <v>156</v>
      </c>
      <c r="D30" t="s">
        <v>31</v>
      </c>
      <c r="E30" t="s">
        <v>157</v>
      </c>
      <c r="F30" t="s">
        <v>89</v>
      </c>
      <c r="G30" t="s">
        <v>30</v>
      </c>
      <c r="H30">
        <v>79</v>
      </c>
      <c r="I30">
        <v>79</v>
      </c>
      <c r="J30">
        <v>79</v>
      </c>
      <c r="K30">
        <v>78</v>
      </c>
      <c r="L30" t="s">
        <v>49</v>
      </c>
      <c r="M30" t="s">
        <v>180</v>
      </c>
      <c r="N30" t="s">
        <v>90</v>
      </c>
      <c r="O30" t="s">
        <v>91</v>
      </c>
      <c r="P30" t="s">
        <v>92</v>
      </c>
      <c r="Q30" t="s">
        <v>49</v>
      </c>
      <c r="R30" t="s">
        <v>93</v>
      </c>
      <c r="S30">
        <v>79</v>
      </c>
      <c r="T30" t="s">
        <v>49</v>
      </c>
      <c r="U30" t="s">
        <v>39</v>
      </c>
      <c r="V30" t="s">
        <v>169</v>
      </c>
      <c r="W30" t="s">
        <v>137</v>
      </c>
      <c r="X30" t="s">
        <v>137</v>
      </c>
      <c r="Y30">
        <v>1.458</v>
      </c>
      <c r="Z30">
        <v>0.12987269</v>
      </c>
      <c r="AA30" t="s">
        <v>102</v>
      </c>
      <c r="AB30" t="s">
        <v>29</v>
      </c>
      <c r="AC30" t="s">
        <v>22</v>
      </c>
      <c r="AD30" t="s">
        <v>23</v>
      </c>
      <c r="AE30" t="s">
        <v>24</v>
      </c>
      <c r="AF30" t="str">
        <f t="shared" si="1"/>
        <v>charge-altering-copy2</v>
      </c>
      <c r="AG30" t="s">
        <v>90</v>
      </c>
      <c r="AH30" t="s">
        <v>30</v>
      </c>
      <c r="AI30" t="str">
        <f t="shared" si="0"/>
        <v>H4 R78C</v>
      </c>
    </row>
    <row r="31" spans="1:35">
      <c r="A31" t="s">
        <v>181</v>
      </c>
      <c r="B31" t="s">
        <v>182</v>
      </c>
      <c r="C31" t="s">
        <v>156</v>
      </c>
      <c r="D31" t="s">
        <v>31</v>
      </c>
      <c r="E31" t="s">
        <v>157</v>
      </c>
      <c r="F31" t="s">
        <v>89</v>
      </c>
      <c r="G31" t="s">
        <v>30</v>
      </c>
      <c r="H31">
        <v>80</v>
      </c>
      <c r="I31">
        <v>80</v>
      </c>
      <c r="J31">
        <v>80</v>
      </c>
      <c r="K31">
        <v>79</v>
      </c>
      <c r="L31" t="s">
        <v>35</v>
      </c>
      <c r="M31" t="s">
        <v>182</v>
      </c>
      <c r="N31" t="s">
        <v>90</v>
      </c>
      <c r="O31" t="s">
        <v>91</v>
      </c>
      <c r="P31" t="s">
        <v>92</v>
      </c>
      <c r="Q31" t="s">
        <v>35</v>
      </c>
      <c r="R31" t="s">
        <v>93</v>
      </c>
      <c r="S31">
        <v>80</v>
      </c>
      <c r="T31" t="s">
        <v>35</v>
      </c>
      <c r="U31" t="s">
        <v>34</v>
      </c>
      <c r="V31" t="s">
        <v>172</v>
      </c>
      <c r="W31" t="s">
        <v>173</v>
      </c>
      <c r="X31" t="s">
        <v>173</v>
      </c>
      <c r="Y31">
        <v>1.825</v>
      </c>
      <c r="Z31">
        <v>0.272424262</v>
      </c>
      <c r="AA31" t="s">
        <v>93</v>
      </c>
      <c r="AB31" t="s">
        <v>29</v>
      </c>
      <c r="AC31" t="s">
        <v>22</v>
      </c>
      <c r="AD31" t="s">
        <v>23</v>
      </c>
      <c r="AE31" t="s">
        <v>24</v>
      </c>
      <c r="AF31" t="str">
        <f t="shared" si="1"/>
        <v>charge-altering-copy2</v>
      </c>
      <c r="AG31" t="s">
        <v>90</v>
      </c>
      <c r="AH31" t="s">
        <v>30</v>
      </c>
      <c r="AI31" t="str">
        <f t="shared" si="0"/>
        <v>H4 K79N</v>
      </c>
    </row>
    <row r="32" spans="1:35">
      <c r="A32" t="s">
        <v>183</v>
      </c>
      <c r="B32" t="s">
        <v>184</v>
      </c>
      <c r="C32" t="s">
        <v>185</v>
      </c>
      <c r="D32" t="s">
        <v>32</v>
      </c>
      <c r="E32" t="s">
        <v>186</v>
      </c>
      <c r="F32" t="s">
        <v>89</v>
      </c>
      <c r="G32" t="s">
        <v>33</v>
      </c>
      <c r="H32">
        <v>117</v>
      </c>
      <c r="I32">
        <v>210</v>
      </c>
      <c r="J32">
        <v>117</v>
      </c>
      <c r="K32">
        <v>116</v>
      </c>
      <c r="L32" t="s">
        <v>49</v>
      </c>
      <c r="M32" t="s">
        <v>184</v>
      </c>
      <c r="N32" t="s">
        <v>90</v>
      </c>
      <c r="O32" t="s">
        <v>91</v>
      </c>
      <c r="P32" t="s">
        <v>92</v>
      </c>
      <c r="Q32" t="s">
        <v>49</v>
      </c>
      <c r="R32" t="s">
        <v>93</v>
      </c>
      <c r="S32">
        <v>117</v>
      </c>
      <c r="T32" t="s">
        <v>49</v>
      </c>
      <c r="U32" t="s">
        <v>19</v>
      </c>
      <c r="V32" t="s">
        <v>187</v>
      </c>
      <c r="W32" t="s">
        <v>188</v>
      </c>
      <c r="X32" t="s">
        <v>188</v>
      </c>
      <c r="Y32">
        <v>2.605</v>
      </c>
      <c r="Z32">
        <v>0.033064373</v>
      </c>
      <c r="AA32" t="s">
        <v>102</v>
      </c>
      <c r="AB32" t="s">
        <v>29</v>
      </c>
      <c r="AC32" t="s">
        <v>22</v>
      </c>
      <c r="AD32" t="s">
        <v>23</v>
      </c>
      <c r="AE32" t="s">
        <v>24</v>
      </c>
      <c r="AF32" t="str">
        <f t="shared" si="1"/>
        <v>charge-altering-copy1</v>
      </c>
      <c r="AG32" t="s">
        <v>90</v>
      </c>
      <c r="AH32" t="s">
        <v>33</v>
      </c>
      <c r="AI32" t="str">
        <f t="shared" si="0"/>
        <v>H3 R116Q</v>
      </c>
    </row>
    <row r="33" spans="1:35">
      <c r="A33" t="s">
        <v>189</v>
      </c>
      <c r="B33" t="s">
        <v>184</v>
      </c>
      <c r="C33" t="s">
        <v>185</v>
      </c>
      <c r="D33" t="s">
        <v>32</v>
      </c>
      <c r="E33" t="s">
        <v>186</v>
      </c>
      <c r="F33" t="s">
        <v>89</v>
      </c>
      <c r="G33" t="s">
        <v>33</v>
      </c>
      <c r="H33">
        <v>117</v>
      </c>
      <c r="I33">
        <v>210</v>
      </c>
      <c r="J33">
        <v>117</v>
      </c>
      <c r="K33">
        <v>116</v>
      </c>
      <c r="L33" t="s">
        <v>49</v>
      </c>
      <c r="M33" t="s">
        <v>184</v>
      </c>
      <c r="N33" t="s">
        <v>90</v>
      </c>
      <c r="O33" t="s">
        <v>91</v>
      </c>
      <c r="P33" t="s">
        <v>92</v>
      </c>
      <c r="Q33" t="s">
        <v>49</v>
      </c>
      <c r="R33" t="s">
        <v>93</v>
      </c>
      <c r="S33">
        <v>117</v>
      </c>
      <c r="T33" t="s">
        <v>49</v>
      </c>
      <c r="U33" t="s">
        <v>51</v>
      </c>
      <c r="V33" t="s">
        <v>190</v>
      </c>
      <c r="W33" t="s">
        <v>191</v>
      </c>
      <c r="X33" t="s">
        <v>191</v>
      </c>
      <c r="Y33">
        <v>2.605</v>
      </c>
      <c r="Z33">
        <v>0.033064373</v>
      </c>
      <c r="AA33" t="s">
        <v>102</v>
      </c>
      <c r="AB33" t="s">
        <v>29</v>
      </c>
      <c r="AC33" t="s">
        <v>22</v>
      </c>
      <c r="AD33" t="s">
        <v>23</v>
      </c>
      <c r="AE33" t="s">
        <v>24</v>
      </c>
      <c r="AF33" t="str">
        <f t="shared" si="1"/>
        <v>charge-altering-copy1</v>
      </c>
      <c r="AG33" t="s">
        <v>90</v>
      </c>
      <c r="AH33" t="s">
        <v>33</v>
      </c>
      <c r="AI33" t="str">
        <f t="shared" si="0"/>
        <v>H3 R116P</v>
      </c>
    </row>
    <row r="34" spans="1:35">
      <c r="A34" t="s">
        <v>192</v>
      </c>
      <c r="B34" t="s">
        <v>193</v>
      </c>
      <c r="C34" t="s">
        <v>185</v>
      </c>
      <c r="D34" t="s">
        <v>32</v>
      </c>
      <c r="E34" t="s">
        <v>186</v>
      </c>
      <c r="F34" t="s">
        <v>89</v>
      </c>
      <c r="G34" t="s">
        <v>33</v>
      </c>
      <c r="H34">
        <v>41</v>
      </c>
      <c r="I34">
        <v>131</v>
      </c>
      <c r="J34">
        <v>41</v>
      </c>
      <c r="K34">
        <v>40</v>
      </c>
      <c r="L34" t="s">
        <v>49</v>
      </c>
      <c r="M34" t="s">
        <v>193</v>
      </c>
      <c r="N34" t="s">
        <v>90</v>
      </c>
      <c r="O34" t="s">
        <v>91</v>
      </c>
      <c r="P34" t="s">
        <v>92</v>
      </c>
      <c r="Q34" t="s">
        <v>49</v>
      </c>
      <c r="R34" t="s">
        <v>93</v>
      </c>
      <c r="S34">
        <v>41</v>
      </c>
      <c r="T34" t="s">
        <v>49</v>
      </c>
      <c r="U34" t="s">
        <v>41</v>
      </c>
      <c r="V34" t="s">
        <v>194</v>
      </c>
      <c r="W34" t="s">
        <v>158</v>
      </c>
      <c r="X34" t="s">
        <v>158</v>
      </c>
      <c r="Y34">
        <v>1.251</v>
      </c>
      <c r="Z34">
        <v>0.276406078</v>
      </c>
      <c r="AA34" t="s">
        <v>93</v>
      </c>
      <c r="AB34" t="s">
        <v>29</v>
      </c>
      <c r="AC34" t="s">
        <v>22</v>
      </c>
      <c r="AD34" t="s">
        <v>23</v>
      </c>
      <c r="AE34" t="s">
        <v>24</v>
      </c>
      <c r="AF34" t="str">
        <f t="shared" si="1"/>
        <v>charge-altering-copy1</v>
      </c>
      <c r="AG34" t="s">
        <v>90</v>
      </c>
      <c r="AH34" t="s">
        <v>33</v>
      </c>
      <c r="AI34" t="str">
        <f t="shared" si="0"/>
        <v>H3 R40G</v>
      </c>
    </row>
    <row r="35" spans="1:35">
      <c r="A35" t="s">
        <v>195</v>
      </c>
      <c r="B35" t="s">
        <v>193</v>
      </c>
      <c r="C35" t="s">
        <v>185</v>
      </c>
      <c r="D35" t="s">
        <v>32</v>
      </c>
      <c r="E35" t="s">
        <v>186</v>
      </c>
      <c r="F35" t="s">
        <v>89</v>
      </c>
      <c r="G35" t="s">
        <v>33</v>
      </c>
      <c r="H35">
        <v>41</v>
      </c>
      <c r="I35">
        <v>131</v>
      </c>
      <c r="J35">
        <v>41</v>
      </c>
      <c r="K35">
        <v>40</v>
      </c>
      <c r="L35" t="s">
        <v>49</v>
      </c>
      <c r="M35" t="s">
        <v>193</v>
      </c>
      <c r="N35" t="s">
        <v>90</v>
      </c>
      <c r="O35" t="s">
        <v>91</v>
      </c>
      <c r="P35" t="s">
        <v>92</v>
      </c>
      <c r="Q35" t="s">
        <v>49</v>
      </c>
      <c r="R35" t="s">
        <v>93</v>
      </c>
      <c r="S35">
        <v>41</v>
      </c>
      <c r="T35" t="s">
        <v>49</v>
      </c>
      <c r="U35" t="s">
        <v>39</v>
      </c>
      <c r="V35" t="s">
        <v>196</v>
      </c>
      <c r="W35" t="s">
        <v>161</v>
      </c>
      <c r="X35" t="s">
        <v>161</v>
      </c>
      <c r="Y35">
        <v>1.156</v>
      </c>
      <c r="Z35">
        <v>0.276406078</v>
      </c>
      <c r="AA35" t="s">
        <v>93</v>
      </c>
      <c r="AB35" t="s">
        <v>29</v>
      </c>
      <c r="AC35" t="s">
        <v>22</v>
      </c>
      <c r="AD35" t="s">
        <v>23</v>
      </c>
      <c r="AE35" t="s">
        <v>24</v>
      </c>
      <c r="AF35" t="str">
        <f t="shared" ref="AF35:AF66" si="2">AE35&amp;"-"&amp;IF(OR(D35="A",D35="B",D35="C",D35="D"),"copy1",IF(OR(D35="E",D35="F",D35="G",D35="H"),"copy2",""))</f>
        <v>charge-altering-copy1</v>
      </c>
      <c r="AG35" t="s">
        <v>90</v>
      </c>
      <c r="AH35" t="s">
        <v>33</v>
      </c>
      <c r="AI35" t="str">
        <f t="shared" si="0"/>
        <v>H3 R40C</v>
      </c>
    </row>
    <row r="36" spans="1:35">
      <c r="A36" t="s">
        <v>197</v>
      </c>
      <c r="B36" t="s">
        <v>198</v>
      </c>
      <c r="C36" t="s">
        <v>185</v>
      </c>
      <c r="D36" t="s">
        <v>32</v>
      </c>
      <c r="E36" t="s">
        <v>186</v>
      </c>
      <c r="F36" t="s">
        <v>89</v>
      </c>
      <c r="G36" t="s">
        <v>33</v>
      </c>
      <c r="H36">
        <v>43</v>
      </c>
      <c r="I36">
        <v>133</v>
      </c>
      <c r="J36">
        <v>43</v>
      </c>
      <c r="K36">
        <v>42</v>
      </c>
      <c r="L36" t="s">
        <v>49</v>
      </c>
      <c r="M36" t="s">
        <v>198</v>
      </c>
      <c r="N36" t="s">
        <v>90</v>
      </c>
      <c r="O36" t="s">
        <v>91</v>
      </c>
      <c r="P36" t="s">
        <v>92</v>
      </c>
      <c r="Q36" t="s">
        <v>49</v>
      </c>
      <c r="R36" t="s">
        <v>93</v>
      </c>
      <c r="S36">
        <v>43</v>
      </c>
      <c r="T36" t="s">
        <v>49</v>
      </c>
      <c r="U36" t="s">
        <v>39</v>
      </c>
      <c r="V36" t="s">
        <v>199</v>
      </c>
      <c r="W36" t="s">
        <v>200</v>
      </c>
      <c r="X36" t="s">
        <v>200</v>
      </c>
      <c r="Y36">
        <v>0.698</v>
      </c>
      <c r="Z36">
        <v>0.260405709</v>
      </c>
      <c r="AA36" t="s">
        <v>93</v>
      </c>
      <c r="AB36" t="s">
        <v>29</v>
      </c>
      <c r="AC36" t="s">
        <v>22</v>
      </c>
      <c r="AD36" t="s">
        <v>23</v>
      </c>
      <c r="AE36" t="s">
        <v>24</v>
      </c>
      <c r="AF36" t="str">
        <f t="shared" si="2"/>
        <v>charge-altering-copy1</v>
      </c>
      <c r="AG36" t="s">
        <v>90</v>
      </c>
      <c r="AH36" t="s">
        <v>33</v>
      </c>
      <c r="AI36" t="str">
        <f t="shared" si="0"/>
        <v>H3 R42C</v>
      </c>
    </row>
    <row r="37" spans="1:35">
      <c r="A37" t="s">
        <v>201</v>
      </c>
      <c r="B37" t="s">
        <v>202</v>
      </c>
      <c r="C37" t="s">
        <v>185</v>
      </c>
      <c r="D37" t="s">
        <v>32</v>
      </c>
      <c r="E37" t="s">
        <v>186</v>
      </c>
      <c r="F37" t="s">
        <v>89</v>
      </c>
      <c r="G37" t="s">
        <v>33</v>
      </c>
      <c r="H37">
        <v>51</v>
      </c>
      <c r="I37">
        <v>141</v>
      </c>
      <c r="J37">
        <v>51</v>
      </c>
      <c r="K37">
        <v>50</v>
      </c>
      <c r="L37" t="s">
        <v>18</v>
      </c>
      <c r="M37" t="s">
        <v>202</v>
      </c>
      <c r="N37" t="s">
        <v>90</v>
      </c>
      <c r="O37" t="s">
        <v>91</v>
      </c>
      <c r="P37" t="s">
        <v>92</v>
      </c>
      <c r="Q37" t="s">
        <v>18</v>
      </c>
      <c r="R37" t="s">
        <v>93</v>
      </c>
      <c r="S37">
        <v>51</v>
      </c>
      <c r="T37" t="s">
        <v>18</v>
      </c>
      <c r="U37" t="s">
        <v>19</v>
      </c>
      <c r="V37" t="s">
        <v>203</v>
      </c>
      <c r="W37" t="s">
        <v>204</v>
      </c>
      <c r="X37" t="s">
        <v>204</v>
      </c>
      <c r="Y37">
        <v>0.798</v>
      </c>
      <c r="Z37">
        <v>0.12509097</v>
      </c>
      <c r="AA37" t="s">
        <v>102</v>
      </c>
      <c r="AB37" t="s">
        <v>21</v>
      </c>
      <c r="AC37" t="s">
        <v>22</v>
      </c>
      <c r="AD37" t="s">
        <v>23</v>
      </c>
      <c r="AE37" t="s">
        <v>24</v>
      </c>
      <c r="AF37" t="str">
        <f t="shared" si="2"/>
        <v>charge-altering-copy1</v>
      </c>
      <c r="AG37" t="s">
        <v>90</v>
      </c>
      <c r="AH37" t="s">
        <v>33</v>
      </c>
      <c r="AI37" t="str">
        <f t="shared" si="0"/>
        <v>H3 E50Q</v>
      </c>
    </row>
    <row r="38" spans="1:35">
      <c r="A38" t="s">
        <v>205</v>
      </c>
      <c r="B38" t="s">
        <v>206</v>
      </c>
      <c r="C38" t="s">
        <v>185</v>
      </c>
      <c r="D38" t="s">
        <v>32</v>
      </c>
      <c r="E38" t="s">
        <v>186</v>
      </c>
      <c r="F38" t="s">
        <v>89</v>
      </c>
      <c r="G38" t="s">
        <v>33</v>
      </c>
      <c r="H38">
        <v>65</v>
      </c>
      <c r="I38">
        <v>155</v>
      </c>
      <c r="J38">
        <v>65</v>
      </c>
      <c r="K38">
        <v>64</v>
      </c>
      <c r="L38" t="s">
        <v>35</v>
      </c>
      <c r="M38" t="s">
        <v>206</v>
      </c>
      <c r="N38" t="s">
        <v>90</v>
      </c>
      <c r="O38" t="s">
        <v>91</v>
      </c>
      <c r="P38" t="s">
        <v>92</v>
      </c>
      <c r="Q38" t="s">
        <v>35</v>
      </c>
      <c r="R38" t="s">
        <v>93</v>
      </c>
      <c r="S38">
        <v>65</v>
      </c>
      <c r="T38" t="s">
        <v>35</v>
      </c>
      <c r="U38" t="s">
        <v>47</v>
      </c>
      <c r="V38" t="s">
        <v>207</v>
      </c>
      <c r="W38" t="s">
        <v>208</v>
      </c>
      <c r="X38" t="s">
        <v>208</v>
      </c>
      <c r="Y38">
        <v>0.996</v>
      </c>
      <c r="Z38">
        <v>0.29033928</v>
      </c>
      <c r="AA38" t="s">
        <v>93</v>
      </c>
      <c r="AB38" t="s">
        <v>29</v>
      </c>
      <c r="AC38" t="s">
        <v>22</v>
      </c>
      <c r="AD38" t="s">
        <v>23</v>
      </c>
      <c r="AE38" t="s">
        <v>24</v>
      </c>
      <c r="AF38" t="str">
        <f t="shared" si="2"/>
        <v>charge-altering-copy1</v>
      </c>
      <c r="AG38" t="s">
        <v>90</v>
      </c>
      <c r="AH38" t="s">
        <v>33</v>
      </c>
      <c r="AI38" t="str">
        <f t="shared" si="0"/>
        <v>H3 K64T</v>
      </c>
    </row>
    <row r="39" spans="1:35">
      <c r="A39" t="s">
        <v>209</v>
      </c>
      <c r="B39" t="s">
        <v>210</v>
      </c>
      <c r="C39" t="s">
        <v>185</v>
      </c>
      <c r="D39" t="s">
        <v>32</v>
      </c>
      <c r="E39" t="s">
        <v>186</v>
      </c>
      <c r="F39" t="s">
        <v>89</v>
      </c>
      <c r="G39" t="s">
        <v>33</v>
      </c>
      <c r="H39">
        <v>73</v>
      </c>
      <c r="I39">
        <v>163</v>
      </c>
      <c r="J39">
        <v>73</v>
      </c>
      <c r="K39">
        <v>72</v>
      </c>
      <c r="L39" t="s">
        <v>49</v>
      </c>
      <c r="M39" t="s">
        <v>210</v>
      </c>
      <c r="N39" t="s">
        <v>90</v>
      </c>
      <c r="O39" t="s">
        <v>91</v>
      </c>
      <c r="P39" t="s">
        <v>92</v>
      </c>
      <c r="Q39" t="s">
        <v>49</v>
      </c>
      <c r="R39" t="s">
        <v>93</v>
      </c>
      <c r="S39">
        <v>73</v>
      </c>
      <c r="T39" t="s">
        <v>49</v>
      </c>
      <c r="U39" t="s">
        <v>51</v>
      </c>
      <c r="V39" t="s">
        <v>211</v>
      </c>
      <c r="W39" t="s">
        <v>212</v>
      </c>
      <c r="X39" t="s">
        <v>212</v>
      </c>
      <c r="Y39">
        <v>0.253</v>
      </c>
      <c r="Z39">
        <v>0.221293323</v>
      </c>
      <c r="AA39" t="s">
        <v>93</v>
      </c>
      <c r="AB39" t="s">
        <v>29</v>
      </c>
      <c r="AC39" t="s">
        <v>22</v>
      </c>
      <c r="AD39" t="s">
        <v>23</v>
      </c>
      <c r="AE39" t="s">
        <v>24</v>
      </c>
      <c r="AF39" t="str">
        <f t="shared" si="2"/>
        <v>charge-altering-copy1</v>
      </c>
      <c r="AG39" t="s">
        <v>90</v>
      </c>
      <c r="AH39" t="s">
        <v>33</v>
      </c>
      <c r="AI39" t="str">
        <f t="shared" si="0"/>
        <v>H3 R72P</v>
      </c>
    </row>
    <row r="40" spans="1:35">
      <c r="A40" t="s">
        <v>213</v>
      </c>
      <c r="B40" t="s">
        <v>210</v>
      </c>
      <c r="C40" t="s">
        <v>185</v>
      </c>
      <c r="D40" t="s">
        <v>32</v>
      </c>
      <c r="E40" t="s">
        <v>186</v>
      </c>
      <c r="F40" t="s">
        <v>89</v>
      </c>
      <c r="G40" t="s">
        <v>33</v>
      </c>
      <c r="H40">
        <v>73</v>
      </c>
      <c r="I40">
        <v>163</v>
      </c>
      <c r="J40">
        <v>73</v>
      </c>
      <c r="K40">
        <v>72</v>
      </c>
      <c r="L40" t="s">
        <v>49</v>
      </c>
      <c r="M40" t="s">
        <v>210</v>
      </c>
      <c r="N40" t="s">
        <v>90</v>
      </c>
      <c r="O40" t="s">
        <v>91</v>
      </c>
      <c r="P40" t="s">
        <v>92</v>
      </c>
      <c r="Q40" t="s">
        <v>49</v>
      </c>
      <c r="R40" t="s">
        <v>93</v>
      </c>
      <c r="S40">
        <v>73</v>
      </c>
      <c r="T40" t="s">
        <v>49</v>
      </c>
      <c r="U40" t="s">
        <v>19</v>
      </c>
      <c r="V40" t="s">
        <v>214</v>
      </c>
      <c r="W40" t="s">
        <v>215</v>
      </c>
      <c r="X40" t="s">
        <v>215</v>
      </c>
      <c r="Y40">
        <v>0.253</v>
      </c>
      <c r="Z40">
        <v>0.221293323</v>
      </c>
      <c r="AA40" t="s">
        <v>93</v>
      </c>
      <c r="AB40" t="s">
        <v>29</v>
      </c>
      <c r="AC40" t="s">
        <v>22</v>
      </c>
      <c r="AD40" t="s">
        <v>23</v>
      </c>
      <c r="AE40" t="s">
        <v>24</v>
      </c>
      <c r="AF40" t="str">
        <f t="shared" si="2"/>
        <v>charge-altering-copy1</v>
      </c>
      <c r="AG40" t="s">
        <v>90</v>
      </c>
      <c r="AH40" t="s">
        <v>33</v>
      </c>
      <c r="AI40" t="str">
        <f t="shared" si="0"/>
        <v>H3 R72Q</v>
      </c>
    </row>
    <row r="41" spans="1:35">
      <c r="A41" t="s">
        <v>216</v>
      </c>
      <c r="B41" t="s">
        <v>217</v>
      </c>
      <c r="C41" t="s">
        <v>185</v>
      </c>
      <c r="D41" t="s">
        <v>32</v>
      </c>
      <c r="E41" t="s">
        <v>186</v>
      </c>
      <c r="F41" t="s">
        <v>89</v>
      </c>
      <c r="G41" t="s">
        <v>33</v>
      </c>
      <c r="H41">
        <v>82</v>
      </c>
      <c r="I41">
        <v>175</v>
      </c>
      <c r="J41">
        <v>82</v>
      </c>
      <c r="K41">
        <v>81</v>
      </c>
      <c r="L41" t="s">
        <v>17</v>
      </c>
      <c r="M41" t="s">
        <v>217</v>
      </c>
      <c r="N41" t="s">
        <v>90</v>
      </c>
      <c r="O41" t="s">
        <v>91</v>
      </c>
      <c r="P41" t="s">
        <v>92</v>
      </c>
      <c r="Q41" t="s">
        <v>17</v>
      </c>
      <c r="R41" t="s">
        <v>93</v>
      </c>
      <c r="S41">
        <v>82</v>
      </c>
      <c r="T41" t="s">
        <v>17</v>
      </c>
      <c r="U41" t="s">
        <v>34</v>
      </c>
      <c r="V41" t="s">
        <v>218</v>
      </c>
      <c r="W41" t="s">
        <v>219</v>
      </c>
      <c r="X41" t="s">
        <v>219</v>
      </c>
      <c r="Y41">
        <v>-0.012</v>
      </c>
      <c r="Z41">
        <v>0.424294857</v>
      </c>
      <c r="AA41" t="s">
        <v>93</v>
      </c>
      <c r="AB41" t="s">
        <v>21</v>
      </c>
      <c r="AC41" t="s">
        <v>22</v>
      </c>
      <c r="AD41" t="s">
        <v>23</v>
      </c>
      <c r="AE41" t="s">
        <v>24</v>
      </c>
      <c r="AF41" t="str">
        <f t="shared" si="2"/>
        <v>charge-altering-copy1</v>
      </c>
      <c r="AG41" t="s">
        <v>90</v>
      </c>
      <c r="AH41" t="s">
        <v>33</v>
      </c>
      <c r="AI41" t="str">
        <f t="shared" si="0"/>
        <v>H3 D81N</v>
      </c>
    </row>
    <row r="42" spans="1:35">
      <c r="A42" t="s">
        <v>220</v>
      </c>
      <c r="B42" t="s">
        <v>221</v>
      </c>
      <c r="C42" t="s">
        <v>185</v>
      </c>
      <c r="D42" t="s">
        <v>32</v>
      </c>
      <c r="E42" t="s">
        <v>186</v>
      </c>
      <c r="F42" t="s">
        <v>89</v>
      </c>
      <c r="G42" t="s">
        <v>33</v>
      </c>
      <c r="H42">
        <v>84</v>
      </c>
      <c r="I42">
        <v>177</v>
      </c>
      <c r="J42">
        <v>84</v>
      </c>
      <c r="K42">
        <v>83</v>
      </c>
      <c r="L42" t="s">
        <v>49</v>
      </c>
      <c r="M42" t="s">
        <v>221</v>
      </c>
      <c r="N42" t="s">
        <v>90</v>
      </c>
      <c r="O42" t="s">
        <v>91</v>
      </c>
      <c r="P42" t="s">
        <v>92</v>
      </c>
      <c r="Q42" t="s">
        <v>49</v>
      </c>
      <c r="R42" t="s">
        <v>93</v>
      </c>
      <c r="S42">
        <v>84</v>
      </c>
      <c r="T42" t="s">
        <v>49</v>
      </c>
      <c r="U42" t="s">
        <v>39</v>
      </c>
      <c r="V42" t="s">
        <v>222</v>
      </c>
      <c r="W42" t="s">
        <v>223</v>
      </c>
      <c r="X42" t="s">
        <v>223</v>
      </c>
      <c r="Y42">
        <v>1.522</v>
      </c>
      <c r="Z42">
        <v>0.091244182</v>
      </c>
      <c r="AA42" t="s">
        <v>102</v>
      </c>
      <c r="AB42" t="s">
        <v>29</v>
      </c>
      <c r="AC42" t="s">
        <v>22</v>
      </c>
      <c r="AD42" t="s">
        <v>23</v>
      </c>
      <c r="AE42" t="s">
        <v>24</v>
      </c>
      <c r="AF42" t="str">
        <f t="shared" si="2"/>
        <v>charge-altering-copy1</v>
      </c>
      <c r="AG42" t="s">
        <v>90</v>
      </c>
      <c r="AH42" t="s">
        <v>33</v>
      </c>
      <c r="AI42" t="str">
        <f t="shared" si="0"/>
        <v>H3 R83C</v>
      </c>
    </row>
    <row r="43" spans="1:35">
      <c r="A43" t="s">
        <v>224</v>
      </c>
      <c r="B43" t="s">
        <v>221</v>
      </c>
      <c r="C43" t="s">
        <v>185</v>
      </c>
      <c r="D43" t="s">
        <v>32</v>
      </c>
      <c r="E43" t="s">
        <v>186</v>
      </c>
      <c r="F43" t="s">
        <v>89</v>
      </c>
      <c r="G43" t="s">
        <v>33</v>
      </c>
      <c r="H43">
        <v>84</v>
      </c>
      <c r="I43">
        <v>177</v>
      </c>
      <c r="J43">
        <v>84</v>
      </c>
      <c r="K43">
        <v>83</v>
      </c>
      <c r="L43" t="s">
        <v>49</v>
      </c>
      <c r="M43" t="s">
        <v>221</v>
      </c>
      <c r="N43" t="s">
        <v>90</v>
      </c>
      <c r="O43" t="s">
        <v>91</v>
      </c>
      <c r="P43" t="s">
        <v>92</v>
      </c>
      <c r="Q43" t="s">
        <v>49</v>
      </c>
      <c r="R43" t="s">
        <v>93</v>
      </c>
      <c r="S43">
        <v>84</v>
      </c>
      <c r="T43" t="s">
        <v>49</v>
      </c>
      <c r="U43" t="s">
        <v>48</v>
      </c>
      <c r="V43" t="s">
        <v>225</v>
      </c>
      <c r="W43" t="s">
        <v>226</v>
      </c>
      <c r="X43" t="s">
        <v>226</v>
      </c>
      <c r="Y43">
        <v>1.522</v>
      </c>
      <c r="Z43">
        <v>0.091244182</v>
      </c>
      <c r="AA43" t="s">
        <v>102</v>
      </c>
      <c r="AB43" t="s">
        <v>29</v>
      </c>
      <c r="AC43" t="s">
        <v>22</v>
      </c>
      <c r="AD43" t="s">
        <v>23</v>
      </c>
      <c r="AE43" t="s">
        <v>24</v>
      </c>
      <c r="AF43" t="str">
        <f t="shared" si="2"/>
        <v>charge-altering-copy1</v>
      </c>
      <c r="AG43" t="s">
        <v>90</v>
      </c>
      <c r="AH43" t="s">
        <v>33</v>
      </c>
      <c r="AI43" t="str">
        <f t="shared" si="0"/>
        <v>H3 R83S</v>
      </c>
    </row>
    <row r="44" spans="1:35">
      <c r="A44" t="s">
        <v>227</v>
      </c>
      <c r="B44" t="s">
        <v>228</v>
      </c>
      <c r="C44" t="s">
        <v>185</v>
      </c>
      <c r="D44" t="s">
        <v>18</v>
      </c>
      <c r="E44" t="s">
        <v>186</v>
      </c>
      <c r="F44" t="s">
        <v>89</v>
      </c>
      <c r="G44" t="s">
        <v>33</v>
      </c>
      <c r="H44">
        <v>117</v>
      </c>
      <c r="I44">
        <v>210</v>
      </c>
      <c r="J44">
        <v>117</v>
      </c>
      <c r="K44">
        <v>116</v>
      </c>
      <c r="L44" t="s">
        <v>49</v>
      </c>
      <c r="M44" t="s">
        <v>228</v>
      </c>
      <c r="N44" t="s">
        <v>90</v>
      </c>
      <c r="O44" t="s">
        <v>91</v>
      </c>
      <c r="P44" t="s">
        <v>92</v>
      </c>
      <c r="Q44" t="s">
        <v>49</v>
      </c>
      <c r="R44" t="s">
        <v>93</v>
      </c>
      <c r="S44">
        <v>117</v>
      </c>
      <c r="T44" t="s">
        <v>49</v>
      </c>
      <c r="U44" t="s">
        <v>19</v>
      </c>
      <c r="V44" t="s">
        <v>187</v>
      </c>
      <c r="W44" t="s">
        <v>188</v>
      </c>
      <c r="X44" t="s">
        <v>188</v>
      </c>
      <c r="Y44">
        <v>2.453</v>
      </c>
      <c r="Z44">
        <v>0.033064373</v>
      </c>
      <c r="AA44" t="s">
        <v>102</v>
      </c>
      <c r="AB44" t="s">
        <v>29</v>
      </c>
      <c r="AC44" t="s">
        <v>22</v>
      </c>
      <c r="AD44" t="s">
        <v>23</v>
      </c>
      <c r="AE44" t="s">
        <v>24</v>
      </c>
      <c r="AF44" t="str">
        <f t="shared" si="2"/>
        <v>charge-altering-copy2</v>
      </c>
      <c r="AG44" t="s">
        <v>90</v>
      </c>
      <c r="AH44" t="s">
        <v>33</v>
      </c>
      <c r="AI44" t="str">
        <f t="shared" si="0"/>
        <v>H3 R116Q</v>
      </c>
    </row>
    <row r="45" spans="1:35">
      <c r="A45" t="s">
        <v>229</v>
      </c>
      <c r="B45" t="s">
        <v>228</v>
      </c>
      <c r="C45" t="s">
        <v>185</v>
      </c>
      <c r="D45" t="s">
        <v>18</v>
      </c>
      <c r="E45" t="s">
        <v>186</v>
      </c>
      <c r="F45" t="s">
        <v>89</v>
      </c>
      <c r="G45" t="s">
        <v>33</v>
      </c>
      <c r="H45">
        <v>117</v>
      </c>
      <c r="I45">
        <v>210</v>
      </c>
      <c r="J45">
        <v>117</v>
      </c>
      <c r="K45">
        <v>116</v>
      </c>
      <c r="L45" t="s">
        <v>49</v>
      </c>
      <c r="M45" t="s">
        <v>228</v>
      </c>
      <c r="N45" t="s">
        <v>90</v>
      </c>
      <c r="O45" t="s">
        <v>91</v>
      </c>
      <c r="P45" t="s">
        <v>92</v>
      </c>
      <c r="Q45" t="s">
        <v>49</v>
      </c>
      <c r="R45" t="s">
        <v>93</v>
      </c>
      <c r="S45">
        <v>117</v>
      </c>
      <c r="T45" t="s">
        <v>49</v>
      </c>
      <c r="U45" t="s">
        <v>51</v>
      </c>
      <c r="V45" t="s">
        <v>190</v>
      </c>
      <c r="W45" t="s">
        <v>191</v>
      </c>
      <c r="X45" t="s">
        <v>191</v>
      </c>
      <c r="Y45">
        <v>2.453</v>
      </c>
      <c r="Z45">
        <v>0.033064373</v>
      </c>
      <c r="AA45" t="s">
        <v>102</v>
      </c>
      <c r="AB45" t="s">
        <v>29</v>
      </c>
      <c r="AC45" t="s">
        <v>22</v>
      </c>
      <c r="AD45" t="s">
        <v>23</v>
      </c>
      <c r="AE45" t="s">
        <v>24</v>
      </c>
      <c r="AF45" t="str">
        <f t="shared" si="2"/>
        <v>charge-altering-copy2</v>
      </c>
      <c r="AG45" t="s">
        <v>90</v>
      </c>
      <c r="AH45" t="s">
        <v>33</v>
      </c>
      <c r="AI45" t="str">
        <f t="shared" si="0"/>
        <v>H3 R116P</v>
      </c>
    </row>
    <row r="46" spans="1:35">
      <c r="A46" t="s">
        <v>230</v>
      </c>
      <c r="B46" t="s">
        <v>231</v>
      </c>
      <c r="C46" t="s">
        <v>185</v>
      </c>
      <c r="D46" t="s">
        <v>18</v>
      </c>
      <c r="E46" t="s">
        <v>186</v>
      </c>
      <c r="F46" t="s">
        <v>89</v>
      </c>
      <c r="G46" t="s">
        <v>33</v>
      </c>
      <c r="H46">
        <v>41</v>
      </c>
      <c r="I46">
        <v>131</v>
      </c>
      <c r="J46">
        <v>41</v>
      </c>
      <c r="K46">
        <v>40</v>
      </c>
      <c r="L46" t="s">
        <v>49</v>
      </c>
      <c r="M46" t="s">
        <v>231</v>
      </c>
      <c r="N46" t="s">
        <v>90</v>
      </c>
      <c r="O46" t="s">
        <v>91</v>
      </c>
      <c r="P46" t="s">
        <v>92</v>
      </c>
      <c r="Q46" t="s">
        <v>49</v>
      </c>
      <c r="R46" t="s">
        <v>93</v>
      </c>
      <c r="S46">
        <v>41</v>
      </c>
      <c r="T46" t="s">
        <v>49</v>
      </c>
      <c r="U46" t="s">
        <v>41</v>
      </c>
      <c r="V46" t="s">
        <v>194</v>
      </c>
      <c r="W46" t="s">
        <v>158</v>
      </c>
      <c r="X46" t="s">
        <v>158</v>
      </c>
      <c r="Y46">
        <v>2.594</v>
      </c>
      <c r="Z46">
        <v>0.276406078</v>
      </c>
      <c r="AA46" t="s">
        <v>93</v>
      </c>
      <c r="AB46" t="s">
        <v>29</v>
      </c>
      <c r="AC46" t="s">
        <v>22</v>
      </c>
      <c r="AD46" t="s">
        <v>23</v>
      </c>
      <c r="AE46" t="s">
        <v>24</v>
      </c>
      <c r="AF46" t="str">
        <f t="shared" si="2"/>
        <v>charge-altering-copy2</v>
      </c>
      <c r="AG46" t="s">
        <v>90</v>
      </c>
      <c r="AH46" t="s">
        <v>33</v>
      </c>
      <c r="AI46" t="str">
        <f t="shared" si="0"/>
        <v>H3 R40G</v>
      </c>
    </row>
    <row r="47" spans="1:35">
      <c r="A47" t="s">
        <v>232</v>
      </c>
      <c r="B47" t="s">
        <v>231</v>
      </c>
      <c r="C47" t="s">
        <v>185</v>
      </c>
      <c r="D47" t="s">
        <v>18</v>
      </c>
      <c r="E47" t="s">
        <v>186</v>
      </c>
      <c r="F47" t="s">
        <v>89</v>
      </c>
      <c r="G47" t="s">
        <v>33</v>
      </c>
      <c r="H47">
        <v>41</v>
      </c>
      <c r="I47">
        <v>131</v>
      </c>
      <c r="J47">
        <v>41</v>
      </c>
      <c r="K47">
        <v>40</v>
      </c>
      <c r="L47" t="s">
        <v>49</v>
      </c>
      <c r="M47" t="s">
        <v>231</v>
      </c>
      <c r="N47" t="s">
        <v>90</v>
      </c>
      <c r="O47" t="s">
        <v>91</v>
      </c>
      <c r="P47" t="s">
        <v>92</v>
      </c>
      <c r="Q47" t="s">
        <v>49</v>
      </c>
      <c r="R47" t="s">
        <v>93</v>
      </c>
      <c r="S47">
        <v>41</v>
      </c>
      <c r="T47" t="s">
        <v>49</v>
      </c>
      <c r="U47" t="s">
        <v>39</v>
      </c>
      <c r="V47" t="s">
        <v>196</v>
      </c>
      <c r="W47" t="s">
        <v>161</v>
      </c>
      <c r="X47" t="s">
        <v>161</v>
      </c>
      <c r="Y47">
        <v>2.585</v>
      </c>
      <c r="Z47">
        <v>0.276406078</v>
      </c>
      <c r="AA47" t="s">
        <v>93</v>
      </c>
      <c r="AB47" t="s">
        <v>29</v>
      </c>
      <c r="AC47" t="s">
        <v>22</v>
      </c>
      <c r="AD47" t="s">
        <v>23</v>
      </c>
      <c r="AE47" t="s">
        <v>24</v>
      </c>
      <c r="AF47" t="str">
        <f t="shared" si="2"/>
        <v>charge-altering-copy2</v>
      </c>
      <c r="AG47" t="s">
        <v>90</v>
      </c>
      <c r="AH47" t="s">
        <v>33</v>
      </c>
      <c r="AI47" t="str">
        <f t="shared" si="0"/>
        <v>H3 R40C</v>
      </c>
    </row>
    <row r="48" spans="1:35">
      <c r="A48" t="s">
        <v>233</v>
      </c>
      <c r="B48" t="s">
        <v>234</v>
      </c>
      <c r="C48" t="s">
        <v>185</v>
      </c>
      <c r="D48" t="s">
        <v>18</v>
      </c>
      <c r="E48" t="s">
        <v>186</v>
      </c>
      <c r="F48" t="s">
        <v>89</v>
      </c>
      <c r="G48" t="s">
        <v>33</v>
      </c>
      <c r="H48">
        <v>43</v>
      </c>
      <c r="I48">
        <v>133</v>
      </c>
      <c r="J48">
        <v>43</v>
      </c>
      <c r="K48">
        <v>42</v>
      </c>
      <c r="L48" t="s">
        <v>49</v>
      </c>
      <c r="M48" t="s">
        <v>234</v>
      </c>
      <c r="N48" t="s">
        <v>90</v>
      </c>
      <c r="O48" t="s">
        <v>91</v>
      </c>
      <c r="P48" t="s">
        <v>92</v>
      </c>
      <c r="Q48" t="s">
        <v>49</v>
      </c>
      <c r="R48" t="s">
        <v>93</v>
      </c>
      <c r="S48">
        <v>43</v>
      </c>
      <c r="T48" t="s">
        <v>49</v>
      </c>
      <c r="U48" t="s">
        <v>39</v>
      </c>
      <c r="V48" t="s">
        <v>199</v>
      </c>
      <c r="W48" t="s">
        <v>200</v>
      </c>
      <c r="X48" t="s">
        <v>200</v>
      </c>
      <c r="Y48">
        <v>0.77</v>
      </c>
      <c r="Z48">
        <v>0.260405709</v>
      </c>
      <c r="AA48" t="s">
        <v>93</v>
      </c>
      <c r="AB48" t="s">
        <v>29</v>
      </c>
      <c r="AC48" t="s">
        <v>22</v>
      </c>
      <c r="AD48" t="s">
        <v>23</v>
      </c>
      <c r="AE48" t="s">
        <v>24</v>
      </c>
      <c r="AF48" t="str">
        <f t="shared" si="2"/>
        <v>charge-altering-copy2</v>
      </c>
      <c r="AG48" t="s">
        <v>90</v>
      </c>
      <c r="AH48" t="s">
        <v>33</v>
      </c>
      <c r="AI48" t="str">
        <f t="shared" si="0"/>
        <v>H3 R42C</v>
      </c>
    </row>
    <row r="49" spans="1:35">
      <c r="A49" t="s">
        <v>235</v>
      </c>
      <c r="B49" t="s">
        <v>236</v>
      </c>
      <c r="C49" t="s">
        <v>185</v>
      </c>
      <c r="D49" t="s">
        <v>18</v>
      </c>
      <c r="E49" t="s">
        <v>186</v>
      </c>
      <c r="F49" t="s">
        <v>89</v>
      </c>
      <c r="G49" t="s">
        <v>33</v>
      </c>
      <c r="H49">
        <v>51</v>
      </c>
      <c r="I49">
        <v>141</v>
      </c>
      <c r="J49">
        <v>51</v>
      </c>
      <c r="K49">
        <v>50</v>
      </c>
      <c r="L49" t="s">
        <v>18</v>
      </c>
      <c r="M49" t="s">
        <v>236</v>
      </c>
      <c r="N49" t="s">
        <v>90</v>
      </c>
      <c r="O49" t="s">
        <v>91</v>
      </c>
      <c r="P49" t="s">
        <v>92</v>
      </c>
      <c r="Q49" t="s">
        <v>18</v>
      </c>
      <c r="R49" t="s">
        <v>93</v>
      </c>
      <c r="S49">
        <v>51</v>
      </c>
      <c r="T49" t="s">
        <v>18</v>
      </c>
      <c r="U49" t="s">
        <v>19</v>
      </c>
      <c r="V49" t="s">
        <v>203</v>
      </c>
      <c r="W49" t="s">
        <v>204</v>
      </c>
      <c r="X49" t="s">
        <v>204</v>
      </c>
      <c r="Y49">
        <v>0.754</v>
      </c>
      <c r="Z49">
        <v>0.12509097</v>
      </c>
      <c r="AA49" t="s">
        <v>102</v>
      </c>
      <c r="AB49" t="s">
        <v>21</v>
      </c>
      <c r="AC49" t="s">
        <v>22</v>
      </c>
      <c r="AD49" t="s">
        <v>23</v>
      </c>
      <c r="AE49" t="s">
        <v>24</v>
      </c>
      <c r="AF49" t="str">
        <f t="shared" si="2"/>
        <v>charge-altering-copy2</v>
      </c>
      <c r="AG49" t="s">
        <v>90</v>
      </c>
      <c r="AH49" t="s">
        <v>33</v>
      </c>
      <c r="AI49" t="str">
        <f t="shared" si="0"/>
        <v>H3 E50Q</v>
      </c>
    </row>
    <row r="50" spans="1:35">
      <c r="A50" t="s">
        <v>237</v>
      </c>
      <c r="B50" t="s">
        <v>238</v>
      </c>
      <c r="C50" t="s">
        <v>185</v>
      </c>
      <c r="D50" t="s">
        <v>18</v>
      </c>
      <c r="E50" t="s">
        <v>186</v>
      </c>
      <c r="F50" t="s">
        <v>89</v>
      </c>
      <c r="G50" t="s">
        <v>33</v>
      </c>
      <c r="H50">
        <v>65</v>
      </c>
      <c r="I50">
        <v>155</v>
      </c>
      <c r="J50">
        <v>65</v>
      </c>
      <c r="K50">
        <v>64</v>
      </c>
      <c r="L50" t="s">
        <v>35</v>
      </c>
      <c r="M50" t="s">
        <v>238</v>
      </c>
      <c r="N50" t="s">
        <v>90</v>
      </c>
      <c r="O50" t="s">
        <v>91</v>
      </c>
      <c r="P50" t="s">
        <v>92</v>
      </c>
      <c r="Q50" t="s">
        <v>35</v>
      </c>
      <c r="R50" t="s">
        <v>93</v>
      </c>
      <c r="S50">
        <v>65</v>
      </c>
      <c r="T50" t="s">
        <v>35</v>
      </c>
      <c r="U50" t="s">
        <v>47</v>
      </c>
      <c r="V50" t="s">
        <v>207</v>
      </c>
      <c r="W50" t="s">
        <v>208</v>
      </c>
      <c r="X50" t="s">
        <v>208</v>
      </c>
      <c r="Y50">
        <v>1.072</v>
      </c>
      <c r="Z50">
        <v>0.29033928</v>
      </c>
      <c r="AA50" t="s">
        <v>93</v>
      </c>
      <c r="AB50" t="s">
        <v>29</v>
      </c>
      <c r="AC50" t="s">
        <v>22</v>
      </c>
      <c r="AD50" t="s">
        <v>23</v>
      </c>
      <c r="AE50" t="s">
        <v>24</v>
      </c>
      <c r="AF50" t="str">
        <f t="shared" si="2"/>
        <v>charge-altering-copy2</v>
      </c>
      <c r="AG50" t="s">
        <v>90</v>
      </c>
      <c r="AH50" t="s">
        <v>33</v>
      </c>
      <c r="AI50" t="str">
        <f t="shared" si="0"/>
        <v>H3 K64T</v>
      </c>
    </row>
    <row r="51" spans="1:35">
      <c r="A51" t="s">
        <v>239</v>
      </c>
      <c r="B51" t="s">
        <v>240</v>
      </c>
      <c r="C51" t="s">
        <v>185</v>
      </c>
      <c r="D51" t="s">
        <v>18</v>
      </c>
      <c r="E51" t="s">
        <v>186</v>
      </c>
      <c r="F51" t="s">
        <v>89</v>
      </c>
      <c r="G51" t="s">
        <v>33</v>
      </c>
      <c r="H51">
        <v>73</v>
      </c>
      <c r="I51">
        <v>163</v>
      </c>
      <c r="J51">
        <v>73</v>
      </c>
      <c r="K51">
        <v>72</v>
      </c>
      <c r="L51" t="s">
        <v>49</v>
      </c>
      <c r="M51" t="s">
        <v>240</v>
      </c>
      <c r="N51" t="s">
        <v>90</v>
      </c>
      <c r="O51" t="s">
        <v>91</v>
      </c>
      <c r="P51" t="s">
        <v>92</v>
      </c>
      <c r="Q51" t="s">
        <v>49</v>
      </c>
      <c r="R51" t="s">
        <v>93</v>
      </c>
      <c r="S51">
        <v>73</v>
      </c>
      <c r="T51" t="s">
        <v>49</v>
      </c>
      <c r="U51" t="s">
        <v>51</v>
      </c>
      <c r="V51" t="s">
        <v>211</v>
      </c>
      <c r="W51" t="s">
        <v>212</v>
      </c>
      <c r="X51" t="s">
        <v>212</v>
      </c>
      <c r="Y51">
        <v>0.445</v>
      </c>
      <c r="Z51">
        <v>0.221293323</v>
      </c>
      <c r="AA51" t="s">
        <v>93</v>
      </c>
      <c r="AB51" t="s">
        <v>29</v>
      </c>
      <c r="AC51" t="s">
        <v>22</v>
      </c>
      <c r="AD51" t="s">
        <v>23</v>
      </c>
      <c r="AE51" t="s">
        <v>24</v>
      </c>
      <c r="AF51" t="str">
        <f t="shared" si="2"/>
        <v>charge-altering-copy2</v>
      </c>
      <c r="AG51" t="s">
        <v>90</v>
      </c>
      <c r="AH51" t="s">
        <v>33</v>
      </c>
      <c r="AI51" t="str">
        <f t="shared" si="0"/>
        <v>H3 R72P</v>
      </c>
    </row>
    <row r="52" spans="1:35">
      <c r="A52" t="s">
        <v>241</v>
      </c>
      <c r="B52" t="s">
        <v>240</v>
      </c>
      <c r="C52" t="s">
        <v>185</v>
      </c>
      <c r="D52" t="s">
        <v>18</v>
      </c>
      <c r="E52" t="s">
        <v>186</v>
      </c>
      <c r="F52" t="s">
        <v>89</v>
      </c>
      <c r="G52" t="s">
        <v>33</v>
      </c>
      <c r="H52">
        <v>73</v>
      </c>
      <c r="I52">
        <v>163</v>
      </c>
      <c r="J52">
        <v>73</v>
      </c>
      <c r="K52">
        <v>72</v>
      </c>
      <c r="L52" t="s">
        <v>49</v>
      </c>
      <c r="M52" t="s">
        <v>240</v>
      </c>
      <c r="N52" t="s">
        <v>90</v>
      </c>
      <c r="O52" t="s">
        <v>91</v>
      </c>
      <c r="P52" t="s">
        <v>92</v>
      </c>
      <c r="Q52" t="s">
        <v>49</v>
      </c>
      <c r="R52" t="s">
        <v>93</v>
      </c>
      <c r="S52">
        <v>73</v>
      </c>
      <c r="T52" t="s">
        <v>49</v>
      </c>
      <c r="U52" t="s">
        <v>19</v>
      </c>
      <c r="V52" t="s">
        <v>214</v>
      </c>
      <c r="W52" t="s">
        <v>215</v>
      </c>
      <c r="X52" t="s">
        <v>215</v>
      </c>
      <c r="Y52">
        <v>0.445</v>
      </c>
      <c r="Z52">
        <v>0.221293323</v>
      </c>
      <c r="AA52" t="s">
        <v>93</v>
      </c>
      <c r="AB52" t="s">
        <v>29</v>
      </c>
      <c r="AC52" t="s">
        <v>22</v>
      </c>
      <c r="AD52" t="s">
        <v>23</v>
      </c>
      <c r="AE52" t="s">
        <v>24</v>
      </c>
      <c r="AF52" t="str">
        <f t="shared" si="2"/>
        <v>charge-altering-copy2</v>
      </c>
      <c r="AG52" t="s">
        <v>90</v>
      </c>
      <c r="AH52" t="s">
        <v>33</v>
      </c>
      <c r="AI52" t="str">
        <f t="shared" si="0"/>
        <v>H3 R72Q</v>
      </c>
    </row>
    <row r="53" spans="1:35">
      <c r="A53" t="s">
        <v>242</v>
      </c>
      <c r="B53" t="s">
        <v>243</v>
      </c>
      <c r="C53" t="s">
        <v>185</v>
      </c>
      <c r="D53" t="s">
        <v>18</v>
      </c>
      <c r="E53" t="s">
        <v>186</v>
      </c>
      <c r="F53" t="s">
        <v>89</v>
      </c>
      <c r="G53" t="s">
        <v>33</v>
      </c>
      <c r="H53">
        <v>82</v>
      </c>
      <c r="I53">
        <v>175</v>
      </c>
      <c r="J53">
        <v>82</v>
      </c>
      <c r="K53">
        <v>81</v>
      </c>
      <c r="L53" t="s">
        <v>17</v>
      </c>
      <c r="M53" t="s">
        <v>243</v>
      </c>
      <c r="N53" t="s">
        <v>90</v>
      </c>
      <c r="O53" t="s">
        <v>91</v>
      </c>
      <c r="P53" t="s">
        <v>92</v>
      </c>
      <c r="Q53" t="s">
        <v>17</v>
      </c>
      <c r="R53" t="s">
        <v>93</v>
      </c>
      <c r="S53">
        <v>82</v>
      </c>
      <c r="T53" t="s">
        <v>17</v>
      </c>
      <c r="U53" t="s">
        <v>34</v>
      </c>
      <c r="V53" t="s">
        <v>218</v>
      </c>
      <c r="W53" t="s">
        <v>219</v>
      </c>
      <c r="X53" t="s">
        <v>219</v>
      </c>
      <c r="Y53">
        <v>0.262</v>
      </c>
      <c r="Z53">
        <v>0.424294857</v>
      </c>
      <c r="AA53" t="s">
        <v>93</v>
      </c>
      <c r="AB53" t="s">
        <v>21</v>
      </c>
      <c r="AC53" t="s">
        <v>22</v>
      </c>
      <c r="AD53" t="s">
        <v>23</v>
      </c>
      <c r="AE53" t="s">
        <v>24</v>
      </c>
      <c r="AF53" t="str">
        <f t="shared" si="2"/>
        <v>charge-altering-copy2</v>
      </c>
      <c r="AG53" t="s">
        <v>90</v>
      </c>
      <c r="AH53" t="s">
        <v>33</v>
      </c>
      <c r="AI53" t="str">
        <f t="shared" si="0"/>
        <v>H3 D81N</v>
      </c>
    </row>
    <row r="54" spans="1:35">
      <c r="A54" t="s">
        <v>244</v>
      </c>
      <c r="B54" t="s">
        <v>245</v>
      </c>
      <c r="C54" t="s">
        <v>185</v>
      </c>
      <c r="D54" t="s">
        <v>18</v>
      </c>
      <c r="E54" t="s">
        <v>186</v>
      </c>
      <c r="F54" t="s">
        <v>89</v>
      </c>
      <c r="G54" t="s">
        <v>33</v>
      </c>
      <c r="H54">
        <v>84</v>
      </c>
      <c r="I54">
        <v>177</v>
      </c>
      <c r="J54">
        <v>84</v>
      </c>
      <c r="K54">
        <v>83</v>
      </c>
      <c r="L54" t="s">
        <v>49</v>
      </c>
      <c r="M54" t="s">
        <v>245</v>
      </c>
      <c r="N54" t="s">
        <v>90</v>
      </c>
      <c r="O54" t="s">
        <v>91</v>
      </c>
      <c r="P54" t="s">
        <v>92</v>
      </c>
      <c r="Q54" t="s">
        <v>49</v>
      </c>
      <c r="R54" t="s">
        <v>93</v>
      </c>
      <c r="S54">
        <v>84</v>
      </c>
      <c r="T54" t="s">
        <v>49</v>
      </c>
      <c r="U54" t="s">
        <v>39</v>
      </c>
      <c r="V54" t="s">
        <v>222</v>
      </c>
      <c r="W54" t="s">
        <v>223</v>
      </c>
      <c r="X54" t="s">
        <v>223</v>
      </c>
      <c r="Y54">
        <v>1.523</v>
      </c>
      <c r="Z54">
        <v>0.091244182</v>
      </c>
      <c r="AA54" t="s">
        <v>102</v>
      </c>
      <c r="AB54" t="s">
        <v>29</v>
      </c>
      <c r="AC54" t="s">
        <v>22</v>
      </c>
      <c r="AD54" t="s">
        <v>23</v>
      </c>
      <c r="AE54" t="s">
        <v>24</v>
      </c>
      <c r="AF54" t="str">
        <f t="shared" si="2"/>
        <v>charge-altering-copy2</v>
      </c>
      <c r="AG54" t="s">
        <v>90</v>
      </c>
      <c r="AH54" t="s">
        <v>33</v>
      </c>
      <c r="AI54" t="str">
        <f t="shared" si="0"/>
        <v>H3 R83C</v>
      </c>
    </row>
    <row r="55" spans="1:35">
      <c r="A55" t="s">
        <v>246</v>
      </c>
      <c r="B55" t="s">
        <v>245</v>
      </c>
      <c r="C55" t="s">
        <v>185</v>
      </c>
      <c r="D55" t="s">
        <v>18</v>
      </c>
      <c r="E55" t="s">
        <v>186</v>
      </c>
      <c r="F55" t="s">
        <v>89</v>
      </c>
      <c r="G55" t="s">
        <v>33</v>
      </c>
      <c r="H55">
        <v>84</v>
      </c>
      <c r="I55">
        <v>177</v>
      </c>
      <c r="J55">
        <v>84</v>
      </c>
      <c r="K55">
        <v>83</v>
      </c>
      <c r="L55" t="s">
        <v>49</v>
      </c>
      <c r="M55" t="s">
        <v>245</v>
      </c>
      <c r="N55" t="s">
        <v>90</v>
      </c>
      <c r="O55" t="s">
        <v>91</v>
      </c>
      <c r="P55" t="s">
        <v>92</v>
      </c>
      <c r="Q55" t="s">
        <v>49</v>
      </c>
      <c r="R55" t="s">
        <v>93</v>
      </c>
      <c r="S55">
        <v>84</v>
      </c>
      <c r="T55" t="s">
        <v>49</v>
      </c>
      <c r="U55" t="s">
        <v>48</v>
      </c>
      <c r="V55" t="s">
        <v>225</v>
      </c>
      <c r="W55" t="s">
        <v>226</v>
      </c>
      <c r="X55" t="s">
        <v>226</v>
      </c>
      <c r="Y55">
        <v>1.523</v>
      </c>
      <c r="Z55">
        <v>0.091244182</v>
      </c>
      <c r="AA55" t="s">
        <v>102</v>
      </c>
      <c r="AB55" t="s">
        <v>29</v>
      </c>
      <c r="AC55" t="s">
        <v>22</v>
      </c>
      <c r="AD55" t="s">
        <v>23</v>
      </c>
      <c r="AE55" t="s">
        <v>24</v>
      </c>
      <c r="AF55" t="str">
        <f t="shared" si="2"/>
        <v>charge-altering-copy2</v>
      </c>
      <c r="AG55" t="s">
        <v>90</v>
      </c>
      <c r="AH55" t="s">
        <v>33</v>
      </c>
      <c r="AI55" t="str">
        <f t="shared" si="0"/>
        <v>H3 R83S</v>
      </c>
    </row>
    <row r="56" spans="1:35">
      <c r="A56" t="s">
        <v>247</v>
      </c>
      <c r="B56" t="s">
        <v>248</v>
      </c>
      <c r="C56" t="s">
        <v>87</v>
      </c>
      <c r="D56" t="s">
        <v>17</v>
      </c>
      <c r="E56" t="s">
        <v>88</v>
      </c>
      <c r="F56" t="s">
        <v>89</v>
      </c>
      <c r="G56" t="s">
        <v>25</v>
      </c>
      <c r="H56">
        <v>37</v>
      </c>
      <c r="I56">
        <v>42</v>
      </c>
      <c r="J56">
        <v>37</v>
      </c>
      <c r="K56">
        <v>33</v>
      </c>
      <c r="L56" t="s">
        <v>48</v>
      </c>
      <c r="M56" t="s">
        <v>248</v>
      </c>
      <c r="N56" t="s">
        <v>90</v>
      </c>
      <c r="O56" t="s">
        <v>91</v>
      </c>
      <c r="P56" t="s">
        <v>92</v>
      </c>
      <c r="Q56" t="s">
        <v>48</v>
      </c>
      <c r="R56" t="s">
        <v>93</v>
      </c>
      <c r="S56">
        <v>37</v>
      </c>
      <c r="T56" t="s">
        <v>48</v>
      </c>
      <c r="U56" t="s">
        <v>49</v>
      </c>
      <c r="V56" t="s">
        <v>249</v>
      </c>
      <c r="W56" t="s">
        <v>250</v>
      </c>
      <c r="X56" t="s">
        <v>251</v>
      </c>
      <c r="Y56">
        <v>0.245</v>
      </c>
      <c r="Z56">
        <v>0.124627129</v>
      </c>
      <c r="AA56" t="s">
        <v>102</v>
      </c>
      <c r="AB56" t="s">
        <v>59</v>
      </c>
      <c r="AC56" t="s">
        <v>56</v>
      </c>
      <c r="AD56" t="s">
        <v>57</v>
      </c>
      <c r="AE56" t="s">
        <v>24</v>
      </c>
      <c r="AF56" t="str">
        <f t="shared" si="2"/>
        <v>charge-altering-copy1</v>
      </c>
      <c r="AG56" t="s">
        <v>90</v>
      </c>
      <c r="AH56" t="s">
        <v>25</v>
      </c>
      <c r="AI56" t="str">
        <f t="shared" si="0"/>
        <v>H2B S33R</v>
      </c>
    </row>
    <row r="57" spans="1:35">
      <c r="A57" t="s">
        <v>252</v>
      </c>
      <c r="B57" t="s">
        <v>253</v>
      </c>
      <c r="C57" t="s">
        <v>87</v>
      </c>
      <c r="D57" t="s">
        <v>17</v>
      </c>
      <c r="E57" t="s">
        <v>88</v>
      </c>
      <c r="F57" t="s">
        <v>89</v>
      </c>
      <c r="G57" t="s">
        <v>25</v>
      </c>
      <c r="H57">
        <v>54</v>
      </c>
      <c r="I57">
        <v>59</v>
      </c>
      <c r="J57">
        <v>54</v>
      </c>
      <c r="K57">
        <v>50</v>
      </c>
      <c r="L57" t="s">
        <v>41</v>
      </c>
      <c r="M57" t="s">
        <v>253</v>
      </c>
      <c r="N57" t="s">
        <v>90</v>
      </c>
      <c r="O57" t="s">
        <v>91</v>
      </c>
      <c r="P57" t="s">
        <v>92</v>
      </c>
      <c r="Q57" t="s">
        <v>41</v>
      </c>
      <c r="R57" t="s">
        <v>93</v>
      </c>
      <c r="S57">
        <v>54</v>
      </c>
      <c r="T57" t="s">
        <v>41</v>
      </c>
      <c r="U57" t="s">
        <v>17</v>
      </c>
      <c r="V57" t="s">
        <v>254</v>
      </c>
      <c r="W57" t="s">
        <v>255</v>
      </c>
      <c r="X57" t="s">
        <v>256</v>
      </c>
      <c r="Y57">
        <v>0.191</v>
      </c>
      <c r="Z57">
        <v>0.041758075</v>
      </c>
      <c r="AA57" t="s">
        <v>102</v>
      </c>
      <c r="AB57" t="s">
        <v>55</v>
      </c>
      <c r="AC57" t="s">
        <v>56</v>
      </c>
      <c r="AD57" t="s">
        <v>57</v>
      </c>
      <c r="AE57" t="s">
        <v>24</v>
      </c>
      <c r="AF57" t="str">
        <f t="shared" si="2"/>
        <v>charge-altering-copy1</v>
      </c>
      <c r="AG57" t="s">
        <v>90</v>
      </c>
      <c r="AH57" t="s">
        <v>25</v>
      </c>
      <c r="AI57" t="str">
        <f t="shared" si="0"/>
        <v>H2B G50D</v>
      </c>
    </row>
    <row r="58" spans="1:35">
      <c r="A58" t="s">
        <v>257</v>
      </c>
      <c r="B58" t="s">
        <v>258</v>
      </c>
      <c r="C58" t="s">
        <v>87</v>
      </c>
      <c r="D58" t="s">
        <v>26</v>
      </c>
      <c r="E58" t="s">
        <v>88</v>
      </c>
      <c r="F58" t="s">
        <v>89</v>
      </c>
      <c r="G58" t="s">
        <v>25</v>
      </c>
      <c r="H58">
        <v>37</v>
      </c>
      <c r="I58">
        <v>42</v>
      </c>
      <c r="J58">
        <v>37</v>
      </c>
      <c r="K58">
        <v>33</v>
      </c>
      <c r="L58" t="s">
        <v>48</v>
      </c>
      <c r="M58" t="s">
        <v>258</v>
      </c>
      <c r="N58" t="s">
        <v>90</v>
      </c>
      <c r="O58" t="s">
        <v>91</v>
      </c>
      <c r="P58" t="s">
        <v>92</v>
      </c>
      <c r="Q58" t="s">
        <v>48</v>
      </c>
      <c r="R58" t="s">
        <v>93</v>
      </c>
      <c r="S58">
        <v>37</v>
      </c>
      <c r="T58" t="s">
        <v>48</v>
      </c>
      <c r="U58" t="s">
        <v>49</v>
      </c>
      <c r="V58" t="s">
        <v>249</v>
      </c>
      <c r="W58" t="s">
        <v>250</v>
      </c>
      <c r="X58" t="s">
        <v>251</v>
      </c>
      <c r="Y58">
        <v>0.185</v>
      </c>
      <c r="Z58">
        <v>0.124627129</v>
      </c>
      <c r="AA58" t="s">
        <v>102</v>
      </c>
      <c r="AB58" t="s">
        <v>59</v>
      </c>
      <c r="AC58" t="s">
        <v>56</v>
      </c>
      <c r="AD58" t="s">
        <v>57</v>
      </c>
      <c r="AE58" t="s">
        <v>24</v>
      </c>
      <c r="AF58" t="str">
        <f t="shared" si="2"/>
        <v>charge-altering-copy2</v>
      </c>
      <c r="AG58" t="s">
        <v>90</v>
      </c>
      <c r="AH58" t="s">
        <v>25</v>
      </c>
      <c r="AI58" t="str">
        <f t="shared" si="0"/>
        <v>H2B S33R</v>
      </c>
    </row>
    <row r="59" spans="1:35">
      <c r="A59" t="s">
        <v>259</v>
      </c>
      <c r="B59" t="s">
        <v>260</v>
      </c>
      <c r="C59" t="s">
        <v>87</v>
      </c>
      <c r="D59" t="s">
        <v>26</v>
      </c>
      <c r="E59" t="s">
        <v>88</v>
      </c>
      <c r="F59" t="s">
        <v>89</v>
      </c>
      <c r="G59" t="s">
        <v>25</v>
      </c>
      <c r="H59">
        <v>54</v>
      </c>
      <c r="I59">
        <v>59</v>
      </c>
      <c r="J59">
        <v>54</v>
      </c>
      <c r="K59">
        <v>50</v>
      </c>
      <c r="L59" t="s">
        <v>41</v>
      </c>
      <c r="M59" t="s">
        <v>260</v>
      </c>
      <c r="N59" t="s">
        <v>90</v>
      </c>
      <c r="O59" t="s">
        <v>91</v>
      </c>
      <c r="P59" t="s">
        <v>92</v>
      </c>
      <c r="Q59" t="s">
        <v>41</v>
      </c>
      <c r="R59" t="s">
        <v>93</v>
      </c>
      <c r="S59">
        <v>54</v>
      </c>
      <c r="T59" t="s">
        <v>41</v>
      </c>
      <c r="U59" t="s">
        <v>17</v>
      </c>
      <c r="V59" t="s">
        <v>254</v>
      </c>
      <c r="W59" t="s">
        <v>255</v>
      </c>
      <c r="X59" t="s">
        <v>256</v>
      </c>
      <c r="Y59">
        <v>0.199</v>
      </c>
      <c r="Z59">
        <v>0.041758075</v>
      </c>
      <c r="AA59" t="s">
        <v>102</v>
      </c>
      <c r="AB59" t="s">
        <v>55</v>
      </c>
      <c r="AC59" t="s">
        <v>56</v>
      </c>
      <c r="AD59" t="s">
        <v>57</v>
      </c>
      <c r="AE59" t="s">
        <v>24</v>
      </c>
      <c r="AF59" t="str">
        <f t="shared" si="2"/>
        <v>charge-altering-copy2</v>
      </c>
      <c r="AG59" t="s">
        <v>90</v>
      </c>
      <c r="AH59" t="s">
        <v>25</v>
      </c>
      <c r="AI59" t="str">
        <f t="shared" si="0"/>
        <v>H2B G50D</v>
      </c>
    </row>
    <row r="60" spans="1:35">
      <c r="A60" t="s">
        <v>261</v>
      </c>
      <c r="B60" t="s">
        <v>262</v>
      </c>
      <c r="C60" t="s">
        <v>185</v>
      </c>
      <c r="D60" t="s">
        <v>32</v>
      </c>
      <c r="E60" t="s">
        <v>186</v>
      </c>
      <c r="F60" t="s">
        <v>89</v>
      </c>
      <c r="G60" t="s">
        <v>33</v>
      </c>
      <c r="H60">
        <v>45</v>
      </c>
      <c r="I60">
        <v>135</v>
      </c>
      <c r="J60">
        <v>45</v>
      </c>
      <c r="K60">
        <v>44</v>
      </c>
      <c r="L60" t="s">
        <v>41</v>
      </c>
      <c r="M60" t="s">
        <v>262</v>
      </c>
      <c r="N60" t="s">
        <v>90</v>
      </c>
      <c r="O60" t="s">
        <v>91</v>
      </c>
      <c r="P60" t="s">
        <v>92</v>
      </c>
      <c r="Q60" t="s">
        <v>41</v>
      </c>
      <c r="R60" t="s">
        <v>93</v>
      </c>
      <c r="S60">
        <v>45</v>
      </c>
      <c r="T60" t="s">
        <v>41</v>
      </c>
      <c r="U60" t="s">
        <v>17</v>
      </c>
      <c r="V60" t="s">
        <v>263</v>
      </c>
      <c r="W60" t="s">
        <v>264</v>
      </c>
      <c r="X60" t="s">
        <v>264</v>
      </c>
      <c r="Y60">
        <v>1.011</v>
      </c>
      <c r="Z60">
        <v>0.040909642</v>
      </c>
      <c r="AA60" t="s">
        <v>102</v>
      </c>
      <c r="AB60" t="s">
        <v>55</v>
      </c>
      <c r="AC60" t="s">
        <v>56</v>
      </c>
      <c r="AD60" t="s">
        <v>57</v>
      </c>
      <c r="AE60" t="s">
        <v>24</v>
      </c>
      <c r="AF60" t="str">
        <f t="shared" si="2"/>
        <v>charge-altering-copy1</v>
      </c>
      <c r="AG60" t="s">
        <v>90</v>
      </c>
      <c r="AH60" t="s">
        <v>33</v>
      </c>
      <c r="AI60" t="str">
        <f t="shared" si="0"/>
        <v>H3 G44D</v>
      </c>
    </row>
    <row r="61" spans="1:35">
      <c r="A61" t="s">
        <v>265</v>
      </c>
      <c r="B61" t="s">
        <v>266</v>
      </c>
      <c r="C61" t="s">
        <v>185</v>
      </c>
      <c r="D61" t="s">
        <v>32</v>
      </c>
      <c r="E61" t="s">
        <v>186</v>
      </c>
      <c r="F61" t="s">
        <v>89</v>
      </c>
      <c r="G61" t="s">
        <v>33</v>
      </c>
      <c r="H61">
        <v>48</v>
      </c>
      <c r="I61">
        <v>138</v>
      </c>
      <c r="J61">
        <v>48</v>
      </c>
      <c r="K61">
        <v>47</v>
      </c>
      <c r="L61" t="s">
        <v>32</v>
      </c>
      <c r="M61" t="s">
        <v>266</v>
      </c>
      <c r="N61" t="s">
        <v>90</v>
      </c>
      <c r="O61" t="s">
        <v>91</v>
      </c>
      <c r="P61" t="s">
        <v>92</v>
      </c>
      <c r="Q61" t="s">
        <v>32</v>
      </c>
      <c r="R61" t="s">
        <v>93</v>
      </c>
      <c r="S61">
        <v>48</v>
      </c>
      <c r="T61" t="s">
        <v>32</v>
      </c>
      <c r="U61" t="s">
        <v>18</v>
      </c>
      <c r="V61" t="s">
        <v>267</v>
      </c>
      <c r="W61" t="s">
        <v>268</v>
      </c>
      <c r="X61" t="s">
        <v>268</v>
      </c>
      <c r="Y61">
        <v>0.539</v>
      </c>
      <c r="Z61">
        <v>0.001144938</v>
      </c>
      <c r="AA61" t="s">
        <v>102</v>
      </c>
      <c r="AB61" t="s">
        <v>55</v>
      </c>
      <c r="AC61" t="s">
        <v>56</v>
      </c>
      <c r="AD61" t="s">
        <v>57</v>
      </c>
      <c r="AE61" t="s">
        <v>24</v>
      </c>
      <c r="AF61" t="str">
        <f t="shared" si="2"/>
        <v>charge-altering-copy1</v>
      </c>
      <c r="AG61" t="s">
        <v>90</v>
      </c>
      <c r="AH61" t="s">
        <v>33</v>
      </c>
      <c r="AI61" t="str">
        <f t="shared" si="0"/>
        <v>H3 A47E</v>
      </c>
    </row>
    <row r="62" spans="1:35">
      <c r="A62" t="s">
        <v>269</v>
      </c>
      <c r="B62" t="s">
        <v>270</v>
      </c>
      <c r="C62" t="s">
        <v>185</v>
      </c>
      <c r="D62" t="s">
        <v>18</v>
      </c>
      <c r="E62" t="s">
        <v>186</v>
      </c>
      <c r="F62" t="s">
        <v>89</v>
      </c>
      <c r="G62" t="s">
        <v>33</v>
      </c>
      <c r="H62">
        <v>45</v>
      </c>
      <c r="I62">
        <v>135</v>
      </c>
      <c r="J62">
        <v>45</v>
      </c>
      <c r="K62">
        <v>44</v>
      </c>
      <c r="L62" t="s">
        <v>41</v>
      </c>
      <c r="M62" t="s">
        <v>270</v>
      </c>
      <c r="N62" t="s">
        <v>90</v>
      </c>
      <c r="O62" t="s">
        <v>91</v>
      </c>
      <c r="P62" t="s">
        <v>92</v>
      </c>
      <c r="Q62" t="s">
        <v>41</v>
      </c>
      <c r="R62" t="s">
        <v>93</v>
      </c>
      <c r="S62">
        <v>45</v>
      </c>
      <c r="T62" t="s">
        <v>41</v>
      </c>
      <c r="U62" t="s">
        <v>17</v>
      </c>
      <c r="V62" t="s">
        <v>263</v>
      </c>
      <c r="W62" t="s">
        <v>264</v>
      </c>
      <c r="X62" t="s">
        <v>264</v>
      </c>
      <c r="Y62">
        <v>0.742</v>
      </c>
      <c r="Z62">
        <v>0.040909642</v>
      </c>
      <c r="AA62" t="s">
        <v>102</v>
      </c>
      <c r="AB62" t="s">
        <v>55</v>
      </c>
      <c r="AC62" t="s">
        <v>56</v>
      </c>
      <c r="AD62" t="s">
        <v>57</v>
      </c>
      <c r="AE62" t="s">
        <v>24</v>
      </c>
      <c r="AF62" t="str">
        <f t="shared" si="2"/>
        <v>charge-altering-copy2</v>
      </c>
      <c r="AG62" t="s">
        <v>90</v>
      </c>
      <c r="AH62" t="s">
        <v>33</v>
      </c>
      <c r="AI62" t="str">
        <f t="shared" si="0"/>
        <v>H3 G44D</v>
      </c>
    </row>
    <row r="63" spans="1:35">
      <c r="A63" t="s">
        <v>271</v>
      </c>
      <c r="B63" t="s">
        <v>272</v>
      </c>
      <c r="C63" t="s">
        <v>185</v>
      </c>
      <c r="D63" t="s">
        <v>18</v>
      </c>
      <c r="E63" t="s">
        <v>186</v>
      </c>
      <c r="F63" t="s">
        <v>89</v>
      </c>
      <c r="G63" t="s">
        <v>33</v>
      </c>
      <c r="H63">
        <v>48</v>
      </c>
      <c r="I63">
        <v>138</v>
      </c>
      <c r="J63">
        <v>48</v>
      </c>
      <c r="K63">
        <v>47</v>
      </c>
      <c r="L63" t="s">
        <v>32</v>
      </c>
      <c r="M63" t="s">
        <v>272</v>
      </c>
      <c r="N63" t="s">
        <v>90</v>
      </c>
      <c r="O63" t="s">
        <v>91</v>
      </c>
      <c r="P63" t="s">
        <v>92</v>
      </c>
      <c r="Q63" t="s">
        <v>32</v>
      </c>
      <c r="R63" t="s">
        <v>93</v>
      </c>
      <c r="S63">
        <v>48</v>
      </c>
      <c r="T63" t="s">
        <v>32</v>
      </c>
      <c r="U63" t="s">
        <v>18</v>
      </c>
      <c r="V63" t="s">
        <v>267</v>
      </c>
      <c r="W63" t="s">
        <v>268</v>
      </c>
      <c r="X63" t="s">
        <v>268</v>
      </c>
      <c r="Y63">
        <v>0.486</v>
      </c>
      <c r="Z63">
        <v>0.001144938</v>
      </c>
      <c r="AA63" t="s">
        <v>102</v>
      </c>
      <c r="AB63" t="s">
        <v>55</v>
      </c>
      <c r="AC63" t="s">
        <v>56</v>
      </c>
      <c r="AD63" t="s">
        <v>57</v>
      </c>
      <c r="AE63" t="s">
        <v>24</v>
      </c>
      <c r="AF63" t="str">
        <f t="shared" si="2"/>
        <v>charge-altering-copy2</v>
      </c>
      <c r="AG63" t="s">
        <v>90</v>
      </c>
      <c r="AH63" t="s">
        <v>33</v>
      </c>
      <c r="AI63" t="str">
        <f t="shared" si="0"/>
        <v>H3 A47E</v>
      </c>
    </row>
    <row r="64" spans="1:35">
      <c r="A64" t="s">
        <v>273</v>
      </c>
      <c r="B64" t="s">
        <v>202</v>
      </c>
      <c r="C64" t="s">
        <v>185</v>
      </c>
      <c r="D64" t="s">
        <v>32</v>
      </c>
      <c r="E64" t="s">
        <v>186</v>
      </c>
      <c r="F64" t="s">
        <v>89</v>
      </c>
      <c r="G64" t="s">
        <v>33</v>
      </c>
      <c r="H64">
        <v>51</v>
      </c>
      <c r="I64">
        <v>141</v>
      </c>
      <c r="J64">
        <v>51</v>
      </c>
      <c r="K64">
        <v>50</v>
      </c>
      <c r="L64" t="s">
        <v>18</v>
      </c>
      <c r="M64" t="s">
        <v>202</v>
      </c>
      <c r="N64" t="s">
        <v>90</v>
      </c>
      <c r="O64" t="s">
        <v>91</v>
      </c>
      <c r="P64" t="s">
        <v>92</v>
      </c>
      <c r="Q64" t="s">
        <v>18</v>
      </c>
      <c r="R64" t="s">
        <v>93</v>
      </c>
      <c r="S64">
        <v>51</v>
      </c>
      <c r="T64" t="s">
        <v>18</v>
      </c>
      <c r="U64" t="s">
        <v>35</v>
      </c>
      <c r="V64" t="s">
        <v>274</v>
      </c>
      <c r="W64" t="s">
        <v>275</v>
      </c>
      <c r="X64" t="s">
        <v>275</v>
      </c>
      <c r="Y64">
        <v>0.798</v>
      </c>
      <c r="Z64">
        <v>0.12509097</v>
      </c>
      <c r="AA64" t="s">
        <v>102</v>
      </c>
      <c r="AB64" t="s">
        <v>36</v>
      </c>
      <c r="AC64" t="s">
        <v>37</v>
      </c>
      <c r="AD64" t="s">
        <v>38</v>
      </c>
      <c r="AE64" t="s">
        <v>24</v>
      </c>
      <c r="AF64" t="str">
        <f t="shared" si="2"/>
        <v>charge-altering-copy1</v>
      </c>
      <c r="AG64" t="s">
        <v>90</v>
      </c>
      <c r="AH64" t="s">
        <v>33</v>
      </c>
      <c r="AI64" t="str">
        <f t="shared" si="0"/>
        <v>H3 E50K</v>
      </c>
    </row>
    <row r="65" spans="1:35">
      <c r="A65" t="s">
        <v>276</v>
      </c>
      <c r="B65" t="s">
        <v>217</v>
      </c>
      <c r="C65" t="s">
        <v>185</v>
      </c>
      <c r="D65" t="s">
        <v>32</v>
      </c>
      <c r="E65" t="s">
        <v>186</v>
      </c>
      <c r="F65" t="s">
        <v>89</v>
      </c>
      <c r="G65" t="s">
        <v>33</v>
      </c>
      <c r="H65">
        <v>82</v>
      </c>
      <c r="I65">
        <v>175</v>
      </c>
      <c r="J65">
        <v>82</v>
      </c>
      <c r="K65">
        <v>81</v>
      </c>
      <c r="L65" t="s">
        <v>17</v>
      </c>
      <c r="M65" t="s">
        <v>217</v>
      </c>
      <c r="N65" t="s">
        <v>90</v>
      </c>
      <c r="O65" t="s">
        <v>91</v>
      </c>
      <c r="P65" t="s">
        <v>92</v>
      </c>
      <c r="Q65" t="s">
        <v>17</v>
      </c>
      <c r="R65" t="s">
        <v>93</v>
      </c>
      <c r="S65">
        <v>82</v>
      </c>
      <c r="T65" t="s">
        <v>17</v>
      </c>
      <c r="U65" t="s">
        <v>26</v>
      </c>
      <c r="V65" t="s">
        <v>277</v>
      </c>
      <c r="W65" t="s">
        <v>278</v>
      </c>
      <c r="X65" t="s">
        <v>278</v>
      </c>
      <c r="Y65">
        <v>-0.012</v>
      </c>
      <c r="Z65">
        <v>0.424294857</v>
      </c>
      <c r="AA65" t="s">
        <v>93</v>
      </c>
      <c r="AB65" t="s">
        <v>36</v>
      </c>
      <c r="AC65" t="s">
        <v>37</v>
      </c>
      <c r="AD65" t="s">
        <v>38</v>
      </c>
      <c r="AE65" t="s">
        <v>24</v>
      </c>
      <c r="AF65" t="str">
        <f t="shared" si="2"/>
        <v>charge-altering-copy1</v>
      </c>
      <c r="AG65" t="s">
        <v>90</v>
      </c>
      <c r="AH65" t="s">
        <v>33</v>
      </c>
      <c r="AI65" t="str">
        <f t="shared" si="0"/>
        <v>H3 D81H</v>
      </c>
    </row>
    <row r="66" spans="1:35">
      <c r="A66" t="s">
        <v>279</v>
      </c>
      <c r="B66" t="s">
        <v>236</v>
      </c>
      <c r="C66" t="s">
        <v>185</v>
      </c>
      <c r="D66" t="s">
        <v>18</v>
      </c>
      <c r="E66" t="s">
        <v>186</v>
      </c>
      <c r="F66" t="s">
        <v>89</v>
      </c>
      <c r="G66" t="s">
        <v>33</v>
      </c>
      <c r="H66">
        <v>51</v>
      </c>
      <c r="I66">
        <v>141</v>
      </c>
      <c r="J66">
        <v>51</v>
      </c>
      <c r="K66">
        <v>50</v>
      </c>
      <c r="L66" t="s">
        <v>18</v>
      </c>
      <c r="M66" t="s">
        <v>236</v>
      </c>
      <c r="N66" t="s">
        <v>90</v>
      </c>
      <c r="O66" t="s">
        <v>91</v>
      </c>
      <c r="P66" t="s">
        <v>92</v>
      </c>
      <c r="Q66" t="s">
        <v>18</v>
      </c>
      <c r="R66" t="s">
        <v>93</v>
      </c>
      <c r="S66">
        <v>51</v>
      </c>
      <c r="T66" t="s">
        <v>18</v>
      </c>
      <c r="U66" t="s">
        <v>35</v>
      </c>
      <c r="V66" t="s">
        <v>274</v>
      </c>
      <c r="W66" t="s">
        <v>275</v>
      </c>
      <c r="X66" t="s">
        <v>275</v>
      </c>
      <c r="Y66">
        <v>0.754</v>
      </c>
      <c r="Z66">
        <v>0.12509097</v>
      </c>
      <c r="AA66" t="s">
        <v>102</v>
      </c>
      <c r="AB66" t="s">
        <v>36</v>
      </c>
      <c r="AC66" t="s">
        <v>37</v>
      </c>
      <c r="AD66" t="s">
        <v>38</v>
      </c>
      <c r="AE66" t="s">
        <v>24</v>
      </c>
      <c r="AF66" t="str">
        <f t="shared" si="2"/>
        <v>charge-altering-copy2</v>
      </c>
      <c r="AG66" t="s">
        <v>90</v>
      </c>
      <c r="AH66" t="s">
        <v>33</v>
      </c>
      <c r="AI66" t="str">
        <f t="shared" ref="AI66:AI127" si="3">G66&amp;" "&amp;X66</f>
        <v>H3 E50K</v>
      </c>
    </row>
    <row r="67" spans="1:35">
      <c r="A67" t="s">
        <v>280</v>
      </c>
      <c r="B67" t="s">
        <v>243</v>
      </c>
      <c r="C67" t="s">
        <v>185</v>
      </c>
      <c r="D67" t="s">
        <v>18</v>
      </c>
      <c r="E67" t="s">
        <v>186</v>
      </c>
      <c r="F67" t="s">
        <v>89</v>
      </c>
      <c r="G67" t="s">
        <v>33</v>
      </c>
      <c r="H67">
        <v>82</v>
      </c>
      <c r="I67">
        <v>175</v>
      </c>
      <c r="J67">
        <v>82</v>
      </c>
      <c r="K67">
        <v>81</v>
      </c>
      <c r="L67" t="s">
        <v>17</v>
      </c>
      <c r="M67" t="s">
        <v>243</v>
      </c>
      <c r="N67" t="s">
        <v>90</v>
      </c>
      <c r="O67" t="s">
        <v>91</v>
      </c>
      <c r="P67" t="s">
        <v>92</v>
      </c>
      <c r="Q67" t="s">
        <v>17</v>
      </c>
      <c r="R67" t="s">
        <v>93</v>
      </c>
      <c r="S67">
        <v>82</v>
      </c>
      <c r="T67" t="s">
        <v>17</v>
      </c>
      <c r="U67" t="s">
        <v>26</v>
      </c>
      <c r="V67" t="s">
        <v>277</v>
      </c>
      <c r="W67" t="s">
        <v>278</v>
      </c>
      <c r="X67" t="s">
        <v>278</v>
      </c>
      <c r="Y67">
        <v>0.262</v>
      </c>
      <c r="Z67">
        <v>0.424294857</v>
      </c>
      <c r="AA67" t="s">
        <v>93</v>
      </c>
      <c r="AB67" t="s">
        <v>36</v>
      </c>
      <c r="AC67" t="s">
        <v>37</v>
      </c>
      <c r="AD67" t="s">
        <v>38</v>
      </c>
      <c r="AE67" t="s">
        <v>24</v>
      </c>
      <c r="AF67" t="str">
        <f t="shared" ref="AF67:AF98" si="4">AE67&amp;"-"&amp;IF(OR(D67="A",D67="B",D67="C",D67="D"),"copy1",IF(OR(D67="E",D67="F",D67="G",D67="H"),"copy2",""))</f>
        <v>charge-altering-copy2</v>
      </c>
      <c r="AG67" t="s">
        <v>90</v>
      </c>
      <c r="AH67" t="s">
        <v>33</v>
      </c>
      <c r="AI67" t="str">
        <f t="shared" si="3"/>
        <v>H3 D81H</v>
      </c>
    </row>
    <row r="68" spans="1:35">
      <c r="A68" t="s">
        <v>281</v>
      </c>
      <c r="B68" t="s">
        <v>248</v>
      </c>
      <c r="C68" t="s">
        <v>87</v>
      </c>
      <c r="D68" t="s">
        <v>17</v>
      </c>
      <c r="E68" t="s">
        <v>88</v>
      </c>
      <c r="F68" t="s">
        <v>89</v>
      </c>
      <c r="G68" t="s">
        <v>25</v>
      </c>
      <c r="H68">
        <v>37</v>
      </c>
      <c r="I68">
        <v>42</v>
      </c>
      <c r="J68">
        <v>37</v>
      </c>
      <c r="K68">
        <v>33</v>
      </c>
      <c r="L68" t="s">
        <v>48</v>
      </c>
      <c r="M68" t="s">
        <v>248</v>
      </c>
      <c r="N68" t="s">
        <v>90</v>
      </c>
      <c r="O68" t="s">
        <v>91</v>
      </c>
      <c r="P68" t="s">
        <v>92</v>
      </c>
      <c r="Q68" t="s">
        <v>48</v>
      </c>
      <c r="R68" t="s">
        <v>93</v>
      </c>
      <c r="S68">
        <v>37</v>
      </c>
      <c r="T68" t="s">
        <v>48</v>
      </c>
      <c r="U68" t="s">
        <v>34</v>
      </c>
      <c r="V68" t="s">
        <v>282</v>
      </c>
      <c r="W68" t="s">
        <v>283</v>
      </c>
      <c r="X68" t="s">
        <v>284</v>
      </c>
      <c r="Y68">
        <v>0.245</v>
      </c>
      <c r="Z68">
        <v>0.124627129</v>
      </c>
      <c r="AA68" t="s">
        <v>102</v>
      </c>
      <c r="AB68" t="s">
        <v>43</v>
      </c>
      <c r="AC68" t="s">
        <v>44</v>
      </c>
      <c r="AD68" t="s">
        <v>45</v>
      </c>
      <c r="AE68" t="s">
        <v>46</v>
      </c>
      <c r="AF68" t="str">
        <f t="shared" si="4"/>
        <v>non-charge-altering-copy1</v>
      </c>
      <c r="AG68" t="s">
        <v>90</v>
      </c>
      <c r="AH68" t="s">
        <v>25</v>
      </c>
      <c r="AI68" t="str">
        <f t="shared" si="3"/>
        <v>H2B S33N</v>
      </c>
    </row>
    <row r="69" spans="1:35">
      <c r="A69" t="s">
        <v>285</v>
      </c>
      <c r="B69" t="s">
        <v>286</v>
      </c>
      <c r="C69" t="s">
        <v>87</v>
      </c>
      <c r="D69" t="s">
        <v>17</v>
      </c>
      <c r="E69" t="s">
        <v>88</v>
      </c>
      <c r="F69" t="s">
        <v>89</v>
      </c>
      <c r="G69" t="s">
        <v>25</v>
      </c>
      <c r="H69">
        <v>43</v>
      </c>
      <c r="I69">
        <v>48</v>
      </c>
      <c r="J69">
        <v>43</v>
      </c>
      <c r="K69">
        <v>39</v>
      </c>
      <c r="L69" t="s">
        <v>54</v>
      </c>
      <c r="M69" t="s">
        <v>286</v>
      </c>
      <c r="N69" t="s">
        <v>90</v>
      </c>
      <c r="O69" t="s">
        <v>91</v>
      </c>
      <c r="P69" t="s">
        <v>92</v>
      </c>
      <c r="Q69" t="s">
        <v>54</v>
      </c>
      <c r="R69" t="s">
        <v>93</v>
      </c>
      <c r="S69">
        <v>43</v>
      </c>
      <c r="T69" t="s">
        <v>54</v>
      </c>
      <c r="U69" t="s">
        <v>39</v>
      </c>
      <c r="V69" t="s">
        <v>287</v>
      </c>
      <c r="W69" t="s">
        <v>288</v>
      </c>
      <c r="X69" t="s">
        <v>289</v>
      </c>
      <c r="Y69">
        <v>1.041</v>
      </c>
      <c r="Z69">
        <v>0.137062257</v>
      </c>
      <c r="AA69" t="s">
        <v>102</v>
      </c>
      <c r="AB69" t="s">
        <v>43</v>
      </c>
      <c r="AC69" t="s">
        <v>44</v>
      </c>
      <c r="AD69" t="s">
        <v>45</v>
      </c>
      <c r="AE69" t="s">
        <v>46</v>
      </c>
      <c r="AF69" t="str">
        <f t="shared" si="4"/>
        <v>non-charge-altering-copy1</v>
      </c>
      <c r="AG69" t="s">
        <v>90</v>
      </c>
      <c r="AH69" t="s">
        <v>25</v>
      </c>
      <c r="AI69" t="str">
        <f t="shared" si="3"/>
        <v>H2B Y39C</v>
      </c>
    </row>
    <row r="70" spans="1:35">
      <c r="A70" t="s">
        <v>290</v>
      </c>
      <c r="B70" t="s">
        <v>253</v>
      </c>
      <c r="C70" t="s">
        <v>87</v>
      </c>
      <c r="D70" t="s">
        <v>17</v>
      </c>
      <c r="E70" t="s">
        <v>88</v>
      </c>
      <c r="F70" t="s">
        <v>89</v>
      </c>
      <c r="G70" t="s">
        <v>25</v>
      </c>
      <c r="H70">
        <v>54</v>
      </c>
      <c r="I70">
        <v>59</v>
      </c>
      <c r="J70">
        <v>54</v>
      </c>
      <c r="K70">
        <v>50</v>
      </c>
      <c r="L70" t="s">
        <v>41</v>
      </c>
      <c r="M70" t="s">
        <v>253</v>
      </c>
      <c r="N70" t="s">
        <v>90</v>
      </c>
      <c r="O70" t="s">
        <v>91</v>
      </c>
      <c r="P70" t="s">
        <v>92</v>
      </c>
      <c r="Q70" t="s">
        <v>41</v>
      </c>
      <c r="R70" t="s">
        <v>93</v>
      </c>
      <c r="S70">
        <v>54</v>
      </c>
      <c r="T70" t="s">
        <v>41</v>
      </c>
      <c r="U70" t="s">
        <v>32</v>
      </c>
      <c r="V70" t="s">
        <v>291</v>
      </c>
      <c r="W70" t="s">
        <v>292</v>
      </c>
      <c r="X70" t="s">
        <v>293</v>
      </c>
      <c r="Y70">
        <v>0.191</v>
      </c>
      <c r="Z70">
        <v>0.041758075</v>
      </c>
      <c r="AA70" t="s">
        <v>102</v>
      </c>
      <c r="AB70" t="s">
        <v>43</v>
      </c>
      <c r="AC70" t="s">
        <v>44</v>
      </c>
      <c r="AD70" t="s">
        <v>45</v>
      </c>
      <c r="AE70" t="s">
        <v>46</v>
      </c>
      <c r="AF70" t="str">
        <f t="shared" si="4"/>
        <v>non-charge-altering-copy1</v>
      </c>
      <c r="AG70" t="s">
        <v>90</v>
      </c>
      <c r="AH70" t="s">
        <v>25</v>
      </c>
      <c r="AI70" t="str">
        <f t="shared" si="3"/>
        <v>H2B G50A</v>
      </c>
    </row>
    <row r="71" spans="1:35">
      <c r="A71" t="s">
        <v>294</v>
      </c>
      <c r="B71" t="s">
        <v>253</v>
      </c>
      <c r="C71" t="s">
        <v>87</v>
      </c>
      <c r="D71" t="s">
        <v>17</v>
      </c>
      <c r="E71" t="s">
        <v>88</v>
      </c>
      <c r="F71" t="s">
        <v>89</v>
      </c>
      <c r="G71" t="s">
        <v>25</v>
      </c>
      <c r="H71">
        <v>54</v>
      </c>
      <c r="I71">
        <v>59</v>
      </c>
      <c r="J71">
        <v>54</v>
      </c>
      <c r="K71">
        <v>50</v>
      </c>
      <c r="L71" t="s">
        <v>41</v>
      </c>
      <c r="M71" t="s">
        <v>253</v>
      </c>
      <c r="N71" t="s">
        <v>90</v>
      </c>
      <c r="O71" t="s">
        <v>91</v>
      </c>
      <c r="P71" t="s">
        <v>92</v>
      </c>
      <c r="Q71" t="s">
        <v>41</v>
      </c>
      <c r="R71" t="s">
        <v>93</v>
      </c>
      <c r="S71">
        <v>54</v>
      </c>
      <c r="T71" t="s">
        <v>41</v>
      </c>
      <c r="U71" t="s">
        <v>39</v>
      </c>
      <c r="V71" t="s">
        <v>295</v>
      </c>
      <c r="W71" t="s">
        <v>296</v>
      </c>
      <c r="X71" t="s">
        <v>297</v>
      </c>
      <c r="Y71">
        <v>0.191</v>
      </c>
      <c r="Z71">
        <v>0.041758075</v>
      </c>
      <c r="AA71" t="s">
        <v>102</v>
      </c>
      <c r="AB71" t="s">
        <v>43</v>
      </c>
      <c r="AC71" t="s">
        <v>44</v>
      </c>
      <c r="AD71" t="s">
        <v>45</v>
      </c>
      <c r="AE71" t="s">
        <v>46</v>
      </c>
      <c r="AF71" t="str">
        <f t="shared" si="4"/>
        <v>non-charge-altering-copy1</v>
      </c>
      <c r="AG71" t="s">
        <v>90</v>
      </c>
      <c r="AH71" t="s">
        <v>25</v>
      </c>
      <c r="AI71" t="str">
        <f t="shared" si="3"/>
        <v>H2B G50C</v>
      </c>
    </row>
    <row r="72" spans="1:35">
      <c r="A72" t="s">
        <v>298</v>
      </c>
      <c r="B72" t="s">
        <v>299</v>
      </c>
      <c r="C72" t="s">
        <v>87</v>
      </c>
      <c r="D72" t="s">
        <v>17</v>
      </c>
      <c r="E72" t="s">
        <v>88</v>
      </c>
      <c r="F72" t="s">
        <v>89</v>
      </c>
      <c r="G72" t="s">
        <v>25</v>
      </c>
      <c r="H72">
        <v>56</v>
      </c>
      <c r="I72">
        <v>61</v>
      </c>
      <c r="J72">
        <v>56</v>
      </c>
      <c r="K72">
        <v>52</v>
      </c>
      <c r="L72" t="s">
        <v>48</v>
      </c>
      <c r="M72" t="s">
        <v>299</v>
      </c>
      <c r="N72" t="s">
        <v>90</v>
      </c>
      <c r="O72" t="s">
        <v>91</v>
      </c>
      <c r="P72" t="s">
        <v>92</v>
      </c>
      <c r="Q72" t="s">
        <v>48</v>
      </c>
      <c r="R72" t="s">
        <v>93</v>
      </c>
      <c r="S72">
        <v>56</v>
      </c>
      <c r="T72" t="s">
        <v>48</v>
      </c>
      <c r="U72" t="s">
        <v>28</v>
      </c>
      <c r="V72" t="s">
        <v>300</v>
      </c>
      <c r="W72" t="s">
        <v>301</v>
      </c>
      <c r="X72" t="s">
        <v>302</v>
      </c>
      <c r="Y72">
        <v>0.258</v>
      </c>
      <c r="Z72">
        <v>0.040959877</v>
      </c>
      <c r="AA72" t="s">
        <v>102</v>
      </c>
      <c r="AB72" t="s">
        <v>43</v>
      </c>
      <c r="AC72" t="s">
        <v>44</v>
      </c>
      <c r="AD72" t="s">
        <v>45</v>
      </c>
      <c r="AE72" t="s">
        <v>46</v>
      </c>
      <c r="AF72" t="str">
        <f t="shared" si="4"/>
        <v>non-charge-altering-copy1</v>
      </c>
      <c r="AG72" t="s">
        <v>90</v>
      </c>
      <c r="AH72" t="s">
        <v>25</v>
      </c>
      <c r="AI72" t="str">
        <f t="shared" si="3"/>
        <v>H2B S52L</v>
      </c>
    </row>
    <row r="73" spans="1:35">
      <c r="A73" t="s">
        <v>303</v>
      </c>
      <c r="B73" t="s">
        <v>304</v>
      </c>
      <c r="C73" t="s">
        <v>87</v>
      </c>
      <c r="D73" t="s">
        <v>17</v>
      </c>
      <c r="E73" t="s">
        <v>88</v>
      </c>
      <c r="F73" t="s">
        <v>89</v>
      </c>
      <c r="G73" t="s">
        <v>25</v>
      </c>
      <c r="H73">
        <v>88</v>
      </c>
      <c r="I73">
        <v>93</v>
      </c>
      <c r="J73">
        <v>88</v>
      </c>
      <c r="K73">
        <v>84</v>
      </c>
      <c r="L73" t="s">
        <v>48</v>
      </c>
      <c r="M73" t="s">
        <v>304</v>
      </c>
      <c r="N73" t="s">
        <v>90</v>
      </c>
      <c r="O73" t="s">
        <v>91</v>
      </c>
      <c r="P73" t="s">
        <v>92</v>
      </c>
      <c r="Q73" t="s">
        <v>48</v>
      </c>
      <c r="R73" t="s">
        <v>93</v>
      </c>
      <c r="S73">
        <v>88</v>
      </c>
      <c r="T73" t="s">
        <v>48</v>
      </c>
      <c r="U73" t="s">
        <v>61</v>
      </c>
      <c r="V73" t="s">
        <v>305</v>
      </c>
      <c r="W73" t="s">
        <v>306</v>
      </c>
      <c r="X73" t="s">
        <v>307</v>
      </c>
      <c r="Y73">
        <v>0.912</v>
      </c>
      <c r="Z73">
        <v>0.150063926</v>
      </c>
      <c r="AA73" t="s">
        <v>102</v>
      </c>
      <c r="AB73" t="s">
        <v>43</v>
      </c>
      <c r="AC73" t="s">
        <v>44</v>
      </c>
      <c r="AD73" t="s">
        <v>45</v>
      </c>
      <c r="AE73" t="s">
        <v>46</v>
      </c>
      <c r="AF73" t="str">
        <f t="shared" si="4"/>
        <v>non-charge-altering-copy1</v>
      </c>
      <c r="AG73" t="s">
        <v>90</v>
      </c>
      <c r="AH73" t="s">
        <v>25</v>
      </c>
      <c r="AI73" t="str">
        <f t="shared" si="3"/>
        <v>H2B S84W</v>
      </c>
    </row>
    <row r="74" spans="1:35">
      <c r="A74" t="s">
        <v>308</v>
      </c>
      <c r="B74" t="s">
        <v>309</v>
      </c>
      <c r="C74" t="s">
        <v>87</v>
      </c>
      <c r="D74" t="s">
        <v>17</v>
      </c>
      <c r="E74" t="s">
        <v>88</v>
      </c>
      <c r="F74" t="s">
        <v>89</v>
      </c>
      <c r="G74" t="s">
        <v>25</v>
      </c>
      <c r="H74">
        <v>89</v>
      </c>
      <c r="I74">
        <v>94</v>
      </c>
      <c r="J74">
        <v>89</v>
      </c>
      <c r="K74">
        <v>85</v>
      </c>
      <c r="L74" t="s">
        <v>47</v>
      </c>
      <c r="M74" t="s">
        <v>309</v>
      </c>
      <c r="N74" t="s">
        <v>90</v>
      </c>
      <c r="O74" t="s">
        <v>91</v>
      </c>
      <c r="P74" t="s">
        <v>92</v>
      </c>
      <c r="Q74" t="s">
        <v>47</v>
      </c>
      <c r="R74" t="s">
        <v>93</v>
      </c>
      <c r="S74">
        <v>89</v>
      </c>
      <c r="T74" t="s">
        <v>47</v>
      </c>
      <c r="U74" t="s">
        <v>62</v>
      </c>
      <c r="V74" t="s">
        <v>310</v>
      </c>
      <c r="W74" t="s">
        <v>311</v>
      </c>
      <c r="X74" t="s">
        <v>312</v>
      </c>
      <c r="Y74">
        <v>1.306</v>
      </c>
      <c r="Z74">
        <v>0.041508171</v>
      </c>
      <c r="AA74" t="s">
        <v>102</v>
      </c>
      <c r="AB74" t="s">
        <v>43</v>
      </c>
      <c r="AC74" t="s">
        <v>44</v>
      </c>
      <c r="AD74" t="s">
        <v>45</v>
      </c>
      <c r="AE74" t="s">
        <v>46</v>
      </c>
      <c r="AF74" t="str">
        <f t="shared" si="4"/>
        <v>non-charge-altering-copy1</v>
      </c>
      <c r="AG74" t="s">
        <v>90</v>
      </c>
      <c r="AH74" t="s">
        <v>25</v>
      </c>
      <c r="AI74" t="str">
        <f t="shared" si="3"/>
        <v>H2B T85I</v>
      </c>
    </row>
    <row r="75" spans="1:35">
      <c r="A75" t="s">
        <v>313</v>
      </c>
      <c r="B75" t="s">
        <v>258</v>
      </c>
      <c r="C75" t="s">
        <v>87</v>
      </c>
      <c r="D75" t="s">
        <v>26</v>
      </c>
      <c r="E75" t="s">
        <v>88</v>
      </c>
      <c r="F75" t="s">
        <v>89</v>
      </c>
      <c r="G75" t="s">
        <v>25</v>
      </c>
      <c r="H75">
        <v>37</v>
      </c>
      <c r="I75">
        <v>42</v>
      </c>
      <c r="J75">
        <v>37</v>
      </c>
      <c r="K75">
        <v>33</v>
      </c>
      <c r="L75" t="s">
        <v>48</v>
      </c>
      <c r="M75" t="s">
        <v>258</v>
      </c>
      <c r="N75" t="s">
        <v>90</v>
      </c>
      <c r="O75" t="s">
        <v>91</v>
      </c>
      <c r="P75" t="s">
        <v>92</v>
      </c>
      <c r="Q75" t="s">
        <v>48</v>
      </c>
      <c r="R75" t="s">
        <v>93</v>
      </c>
      <c r="S75">
        <v>37</v>
      </c>
      <c r="T75" t="s">
        <v>48</v>
      </c>
      <c r="U75" t="s">
        <v>34</v>
      </c>
      <c r="V75" t="s">
        <v>282</v>
      </c>
      <c r="W75" t="s">
        <v>283</v>
      </c>
      <c r="X75" t="s">
        <v>284</v>
      </c>
      <c r="Y75">
        <v>0.185</v>
      </c>
      <c r="Z75">
        <v>0.124627129</v>
      </c>
      <c r="AA75" t="s">
        <v>102</v>
      </c>
      <c r="AB75" t="s">
        <v>43</v>
      </c>
      <c r="AC75" t="s">
        <v>44</v>
      </c>
      <c r="AD75" t="s">
        <v>45</v>
      </c>
      <c r="AE75" t="s">
        <v>46</v>
      </c>
      <c r="AF75" t="str">
        <f t="shared" si="4"/>
        <v>non-charge-altering-copy2</v>
      </c>
      <c r="AG75" t="s">
        <v>90</v>
      </c>
      <c r="AH75" t="s">
        <v>25</v>
      </c>
      <c r="AI75" t="str">
        <f t="shared" si="3"/>
        <v>H2B S33N</v>
      </c>
    </row>
    <row r="76" spans="1:35">
      <c r="A76" t="s">
        <v>314</v>
      </c>
      <c r="B76" t="s">
        <v>315</v>
      </c>
      <c r="C76" t="s">
        <v>87</v>
      </c>
      <c r="D76" t="s">
        <v>26</v>
      </c>
      <c r="E76" t="s">
        <v>88</v>
      </c>
      <c r="F76" t="s">
        <v>89</v>
      </c>
      <c r="G76" t="s">
        <v>25</v>
      </c>
      <c r="H76">
        <v>43</v>
      </c>
      <c r="I76">
        <v>48</v>
      </c>
      <c r="J76">
        <v>43</v>
      </c>
      <c r="K76">
        <v>39</v>
      </c>
      <c r="L76" t="s">
        <v>54</v>
      </c>
      <c r="M76" t="s">
        <v>315</v>
      </c>
      <c r="N76" t="s">
        <v>90</v>
      </c>
      <c r="O76" t="s">
        <v>91</v>
      </c>
      <c r="P76" t="s">
        <v>92</v>
      </c>
      <c r="Q76" t="s">
        <v>54</v>
      </c>
      <c r="R76" t="s">
        <v>93</v>
      </c>
      <c r="S76">
        <v>43</v>
      </c>
      <c r="T76" t="s">
        <v>54</v>
      </c>
      <c r="U76" t="s">
        <v>39</v>
      </c>
      <c r="V76" t="s">
        <v>287</v>
      </c>
      <c r="W76" t="s">
        <v>288</v>
      </c>
      <c r="X76" t="s">
        <v>289</v>
      </c>
      <c r="Y76">
        <v>1.047</v>
      </c>
      <c r="Z76">
        <v>0.137062257</v>
      </c>
      <c r="AA76" t="s">
        <v>102</v>
      </c>
      <c r="AB76" t="s">
        <v>43</v>
      </c>
      <c r="AC76" t="s">
        <v>44</v>
      </c>
      <c r="AD76" t="s">
        <v>45</v>
      </c>
      <c r="AE76" t="s">
        <v>46</v>
      </c>
      <c r="AF76" t="str">
        <f t="shared" si="4"/>
        <v>non-charge-altering-copy2</v>
      </c>
      <c r="AG76" t="s">
        <v>90</v>
      </c>
      <c r="AH76" t="s">
        <v>25</v>
      </c>
      <c r="AI76" t="str">
        <f t="shared" si="3"/>
        <v>H2B Y39C</v>
      </c>
    </row>
    <row r="77" spans="1:35">
      <c r="A77" t="s">
        <v>316</v>
      </c>
      <c r="B77" t="s">
        <v>260</v>
      </c>
      <c r="C77" t="s">
        <v>87</v>
      </c>
      <c r="D77" t="s">
        <v>26</v>
      </c>
      <c r="E77" t="s">
        <v>88</v>
      </c>
      <c r="F77" t="s">
        <v>89</v>
      </c>
      <c r="G77" t="s">
        <v>25</v>
      </c>
      <c r="H77">
        <v>54</v>
      </c>
      <c r="I77">
        <v>59</v>
      </c>
      <c r="J77">
        <v>54</v>
      </c>
      <c r="K77">
        <v>50</v>
      </c>
      <c r="L77" t="s">
        <v>41</v>
      </c>
      <c r="M77" t="s">
        <v>260</v>
      </c>
      <c r="N77" t="s">
        <v>90</v>
      </c>
      <c r="O77" t="s">
        <v>91</v>
      </c>
      <c r="P77" t="s">
        <v>92</v>
      </c>
      <c r="Q77" t="s">
        <v>41</v>
      </c>
      <c r="R77" t="s">
        <v>93</v>
      </c>
      <c r="S77">
        <v>54</v>
      </c>
      <c r="T77" t="s">
        <v>41</v>
      </c>
      <c r="U77" t="s">
        <v>32</v>
      </c>
      <c r="V77" t="s">
        <v>291</v>
      </c>
      <c r="W77" t="s">
        <v>292</v>
      </c>
      <c r="X77" t="s">
        <v>293</v>
      </c>
      <c r="Y77">
        <v>0.199</v>
      </c>
      <c r="Z77">
        <v>0.041758075</v>
      </c>
      <c r="AA77" t="s">
        <v>102</v>
      </c>
      <c r="AB77" t="s">
        <v>43</v>
      </c>
      <c r="AC77" t="s">
        <v>44</v>
      </c>
      <c r="AD77" t="s">
        <v>45</v>
      </c>
      <c r="AE77" t="s">
        <v>46</v>
      </c>
      <c r="AF77" t="str">
        <f t="shared" si="4"/>
        <v>non-charge-altering-copy2</v>
      </c>
      <c r="AG77" t="s">
        <v>90</v>
      </c>
      <c r="AH77" t="s">
        <v>25</v>
      </c>
      <c r="AI77" t="str">
        <f t="shared" si="3"/>
        <v>H2B G50A</v>
      </c>
    </row>
    <row r="78" spans="1:35">
      <c r="A78" t="s">
        <v>317</v>
      </c>
      <c r="B78" t="s">
        <v>260</v>
      </c>
      <c r="C78" t="s">
        <v>87</v>
      </c>
      <c r="D78" t="s">
        <v>26</v>
      </c>
      <c r="E78" t="s">
        <v>88</v>
      </c>
      <c r="F78" t="s">
        <v>89</v>
      </c>
      <c r="G78" t="s">
        <v>25</v>
      </c>
      <c r="H78">
        <v>54</v>
      </c>
      <c r="I78">
        <v>59</v>
      </c>
      <c r="J78">
        <v>54</v>
      </c>
      <c r="K78">
        <v>50</v>
      </c>
      <c r="L78" t="s">
        <v>41</v>
      </c>
      <c r="M78" t="s">
        <v>260</v>
      </c>
      <c r="N78" t="s">
        <v>90</v>
      </c>
      <c r="O78" t="s">
        <v>91</v>
      </c>
      <c r="P78" t="s">
        <v>92</v>
      </c>
      <c r="Q78" t="s">
        <v>41</v>
      </c>
      <c r="R78" t="s">
        <v>93</v>
      </c>
      <c r="S78">
        <v>54</v>
      </c>
      <c r="T78" t="s">
        <v>41</v>
      </c>
      <c r="U78" t="s">
        <v>39</v>
      </c>
      <c r="V78" t="s">
        <v>295</v>
      </c>
      <c r="W78" t="s">
        <v>296</v>
      </c>
      <c r="X78" t="s">
        <v>297</v>
      </c>
      <c r="Y78">
        <v>0.199</v>
      </c>
      <c r="Z78">
        <v>0.041758075</v>
      </c>
      <c r="AA78" t="s">
        <v>102</v>
      </c>
      <c r="AB78" t="s">
        <v>43</v>
      </c>
      <c r="AC78" t="s">
        <v>44</v>
      </c>
      <c r="AD78" t="s">
        <v>45</v>
      </c>
      <c r="AE78" t="s">
        <v>46</v>
      </c>
      <c r="AF78" t="str">
        <f t="shared" si="4"/>
        <v>non-charge-altering-copy2</v>
      </c>
      <c r="AG78" t="s">
        <v>90</v>
      </c>
      <c r="AH78" t="s">
        <v>25</v>
      </c>
      <c r="AI78" t="str">
        <f t="shared" si="3"/>
        <v>H2B G50C</v>
      </c>
    </row>
    <row r="79" spans="1:35">
      <c r="A79" t="s">
        <v>318</v>
      </c>
      <c r="B79" t="s">
        <v>319</v>
      </c>
      <c r="C79" t="s">
        <v>87</v>
      </c>
      <c r="D79" t="s">
        <v>26</v>
      </c>
      <c r="E79" t="s">
        <v>88</v>
      </c>
      <c r="F79" t="s">
        <v>89</v>
      </c>
      <c r="G79" t="s">
        <v>25</v>
      </c>
      <c r="H79">
        <v>56</v>
      </c>
      <c r="I79">
        <v>61</v>
      </c>
      <c r="J79">
        <v>56</v>
      </c>
      <c r="K79">
        <v>52</v>
      </c>
      <c r="L79" t="s">
        <v>48</v>
      </c>
      <c r="M79" t="s">
        <v>319</v>
      </c>
      <c r="N79" t="s">
        <v>90</v>
      </c>
      <c r="O79" t="s">
        <v>91</v>
      </c>
      <c r="P79" t="s">
        <v>92</v>
      </c>
      <c r="Q79" t="s">
        <v>48</v>
      </c>
      <c r="R79" t="s">
        <v>93</v>
      </c>
      <c r="S79">
        <v>56</v>
      </c>
      <c r="T79" t="s">
        <v>48</v>
      </c>
      <c r="U79" t="s">
        <v>28</v>
      </c>
      <c r="V79" t="s">
        <v>300</v>
      </c>
      <c r="W79" t="s">
        <v>301</v>
      </c>
      <c r="X79" t="s">
        <v>302</v>
      </c>
      <c r="Y79">
        <v>0.255</v>
      </c>
      <c r="Z79">
        <v>0.040959877</v>
      </c>
      <c r="AA79" t="s">
        <v>102</v>
      </c>
      <c r="AB79" t="s">
        <v>43</v>
      </c>
      <c r="AC79" t="s">
        <v>44</v>
      </c>
      <c r="AD79" t="s">
        <v>45</v>
      </c>
      <c r="AE79" t="s">
        <v>46</v>
      </c>
      <c r="AF79" t="str">
        <f t="shared" si="4"/>
        <v>non-charge-altering-copy2</v>
      </c>
      <c r="AG79" t="s">
        <v>90</v>
      </c>
      <c r="AH79" t="s">
        <v>25</v>
      </c>
      <c r="AI79" t="str">
        <f t="shared" si="3"/>
        <v>H2B S52L</v>
      </c>
    </row>
    <row r="80" spans="1:35">
      <c r="A80" t="s">
        <v>320</v>
      </c>
      <c r="B80" t="s">
        <v>321</v>
      </c>
      <c r="C80" t="s">
        <v>87</v>
      </c>
      <c r="D80" t="s">
        <v>26</v>
      </c>
      <c r="E80" t="s">
        <v>88</v>
      </c>
      <c r="F80" t="s">
        <v>89</v>
      </c>
      <c r="G80" t="s">
        <v>25</v>
      </c>
      <c r="H80">
        <v>88</v>
      </c>
      <c r="I80">
        <v>93</v>
      </c>
      <c r="J80">
        <v>88</v>
      </c>
      <c r="K80">
        <v>84</v>
      </c>
      <c r="L80" t="s">
        <v>48</v>
      </c>
      <c r="M80" t="s">
        <v>321</v>
      </c>
      <c r="N80" t="s">
        <v>90</v>
      </c>
      <c r="O80" t="s">
        <v>91</v>
      </c>
      <c r="P80" t="s">
        <v>92</v>
      </c>
      <c r="Q80" t="s">
        <v>48</v>
      </c>
      <c r="R80" t="s">
        <v>93</v>
      </c>
      <c r="S80">
        <v>88</v>
      </c>
      <c r="T80" t="s">
        <v>48</v>
      </c>
      <c r="U80" t="s">
        <v>61</v>
      </c>
      <c r="V80" t="s">
        <v>305</v>
      </c>
      <c r="W80" t="s">
        <v>306</v>
      </c>
      <c r="X80" t="s">
        <v>307</v>
      </c>
      <c r="Y80">
        <v>0.909</v>
      </c>
      <c r="Z80">
        <v>0.150063926</v>
      </c>
      <c r="AA80" t="s">
        <v>102</v>
      </c>
      <c r="AB80" t="s">
        <v>43</v>
      </c>
      <c r="AC80" t="s">
        <v>44</v>
      </c>
      <c r="AD80" t="s">
        <v>45</v>
      </c>
      <c r="AE80" t="s">
        <v>46</v>
      </c>
      <c r="AF80" t="str">
        <f t="shared" si="4"/>
        <v>non-charge-altering-copy2</v>
      </c>
      <c r="AG80" t="s">
        <v>90</v>
      </c>
      <c r="AH80" t="s">
        <v>25</v>
      </c>
      <c r="AI80" t="str">
        <f t="shared" si="3"/>
        <v>H2B S84W</v>
      </c>
    </row>
    <row r="81" spans="1:35">
      <c r="A81" t="s">
        <v>322</v>
      </c>
      <c r="B81" t="s">
        <v>323</v>
      </c>
      <c r="C81" t="s">
        <v>87</v>
      </c>
      <c r="D81" t="s">
        <v>26</v>
      </c>
      <c r="E81" t="s">
        <v>88</v>
      </c>
      <c r="F81" t="s">
        <v>89</v>
      </c>
      <c r="G81" t="s">
        <v>25</v>
      </c>
      <c r="H81">
        <v>89</v>
      </c>
      <c r="I81">
        <v>94</v>
      </c>
      <c r="J81">
        <v>89</v>
      </c>
      <c r="K81">
        <v>85</v>
      </c>
      <c r="L81" t="s">
        <v>47</v>
      </c>
      <c r="M81" t="s">
        <v>323</v>
      </c>
      <c r="N81" t="s">
        <v>90</v>
      </c>
      <c r="O81" t="s">
        <v>91</v>
      </c>
      <c r="P81" t="s">
        <v>92</v>
      </c>
      <c r="Q81" t="s">
        <v>47</v>
      </c>
      <c r="R81" t="s">
        <v>93</v>
      </c>
      <c r="S81">
        <v>89</v>
      </c>
      <c r="T81" t="s">
        <v>47</v>
      </c>
      <c r="U81" t="s">
        <v>62</v>
      </c>
      <c r="V81" t="s">
        <v>310</v>
      </c>
      <c r="W81" t="s">
        <v>311</v>
      </c>
      <c r="X81" t="s">
        <v>312</v>
      </c>
      <c r="Y81">
        <v>1.32</v>
      </c>
      <c r="Z81">
        <v>0.041508171</v>
      </c>
      <c r="AA81" t="s">
        <v>102</v>
      </c>
      <c r="AB81" t="s">
        <v>43</v>
      </c>
      <c r="AC81" t="s">
        <v>44</v>
      </c>
      <c r="AD81" t="s">
        <v>45</v>
      </c>
      <c r="AE81" t="s">
        <v>46</v>
      </c>
      <c r="AF81" t="str">
        <f t="shared" si="4"/>
        <v>non-charge-altering-copy2</v>
      </c>
      <c r="AG81" t="s">
        <v>90</v>
      </c>
      <c r="AH81" t="s">
        <v>25</v>
      </c>
      <c r="AI81" t="str">
        <f t="shared" si="3"/>
        <v>H2B T85I</v>
      </c>
    </row>
    <row r="82" spans="1:35">
      <c r="A82" t="s">
        <v>324</v>
      </c>
      <c r="B82" t="s">
        <v>325</v>
      </c>
      <c r="C82" t="s">
        <v>109</v>
      </c>
      <c r="D82" t="s">
        <v>39</v>
      </c>
      <c r="E82" t="s">
        <v>110</v>
      </c>
      <c r="F82" t="s">
        <v>89</v>
      </c>
      <c r="G82" t="s">
        <v>40</v>
      </c>
      <c r="H82">
        <v>13</v>
      </c>
      <c r="I82">
        <v>14</v>
      </c>
      <c r="J82">
        <v>13</v>
      </c>
      <c r="K82">
        <v>12</v>
      </c>
      <c r="L82" t="s">
        <v>32</v>
      </c>
      <c r="M82" t="s">
        <v>325</v>
      </c>
      <c r="N82" t="s">
        <v>90</v>
      </c>
      <c r="O82" t="s">
        <v>91</v>
      </c>
      <c r="P82" t="s">
        <v>92</v>
      </c>
      <c r="Q82" t="s">
        <v>32</v>
      </c>
      <c r="R82" t="s">
        <v>93</v>
      </c>
      <c r="S82">
        <v>13</v>
      </c>
      <c r="T82" t="s">
        <v>32</v>
      </c>
      <c r="U82" t="s">
        <v>47</v>
      </c>
      <c r="V82" t="s">
        <v>326</v>
      </c>
      <c r="W82" t="s">
        <v>327</v>
      </c>
      <c r="X82" t="s">
        <v>327</v>
      </c>
      <c r="Y82">
        <v>0.5</v>
      </c>
      <c r="Z82">
        <v>0.323832089</v>
      </c>
      <c r="AA82" t="s">
        <v>93</v>
      </c>
      <c r="AB82" t="s">
        <v>43</v>
      </c>
      <c r="AC82" t="s">
        <v>44</v>
      </c>
      <c r="AD82" t="s">
        <v>45</v>
      </c>
      <c r="AE82" t="s">
        <v>46</v>
      </c>
      <c r="AF82" t="str">
        <f t="shared" si="4"/>
        <v>non-charge-altering-copy1</v>
      </c>
      <c r="AG82" t="s">
        <v>90</v>
      </c>
      <c r="AH82" t="s">
        <v>40</v>
      </c>
      <c r="AI82" t="str">
        <f t="shared" si="3"/>
        <v>H2A A12T</v>
      </c>
    </row>
    <row r="83" spans="1:35">
      <c r="A83" t="s">
        <v>328</v>
      </c>
      <c r="B83" t="s">
        <v>329</v>
      </c>
      <c r="C83" t="s">
        <v>109</v>
      </c>
      <c r="D83" t="s">
        <v>39</v>
      </c>
      <c r="E83" t="s">
        <v>110</v>
      </c>
      <c r="F83" t="s">
        <v>89</v>
      </c>
      <c r="G83" t="s">
        <v>40</v>
      </c>
      <c r="H83">
        <v>27</v>
      </c>
      <c r="I83">
        <v>28</v>
      </c>
      <c r="J83">
        <v>27</v>
      </c>
      <c r="K83">
        <v>26</v>
      </c>
      <c r="L83" t="s">
        <v>51</v>
      </c>
      <c r="M83" t="s">
        <v>329</v>
      </c>
      <c r="N83" t="s">
        <v>90</v>
      </c>
      <c r="O83" t="s">
        <v>91</v>
      </c>
      <c r="P83" t="s">
        <v>92</v>
      </c>
      <c r="Q83" t="s">
        <v>51</v>
      </c>
      <c r="R83" t="s">
        <v>93</v>
      </c>
      <c r="S83">
        <v>27</v>
      </c>
      <c r="T83" t="s">
        <v>51</v>
      </c>
      <c r="U83" t="s">
        <v>19</v>
      </c>
      <c r="V83" t="s">
        <v>330</v>
      </c>
      <c r="W83" t="s">
        <v>331</v>
      </c>
      <c r="X83" t="s">
        <v>331</v>
      </c>
      <c r="Y83">
        <v>0.412</v>
      </c>
      <c r="Z83">
        <v>0.025675111</v>
      </c>
      <c r="AA83" t="s">
        <v>102</v>
      </c>
      <c r="AB83" t="s">
        <v>43</v>
      </c>
      <c r="AC83" t="s">
        <v>44</v>
      </c>
      <c r="AD83" t="s">
        <v>45</v>
      </c>
      <c r="AE83" t="s">
        <v>46</v>
      </c>
      <c r="AF83" t="str">
        <f t="shared" si="4"/>
        <v>non-charge-altering-copy1</v>
      </c>
      <c r="AG83" t="s">
        <v>90</v>
      </c>
      <c r="AH83" t="s">
        <v>40</v>
      </c>
      <c r="AI83" t="str">
        <f t="shared" si="3"/>
        <v>H2A P26Q</v>
      </c>
    </row>
    <row r="84" spans="1:35">
      <c r="A84" t="s">
        <v>332</v>
      </c>
      <c r="B84" t="s">
        <v>333</v>
      </c>
      <c r="C84" t="s">
        <v>109</v>
      </c>
      <c r="D84" t="s">
        <v>39</v>
      </c>
      <c r="E84" t="s">
        <v>110</v>
      </c>
      <c r="F84" t="s">
        <v>89</v>
      </c>
      <c r="G84" t="s">
        <v>40</v>
      </c>
      <c r="H84">
        <v>29</v>
      </c>
      <c r="I84">
        <v>30</v>
      </c>
      <c r="J84">
        <v>29</v>
      </c>
      <c r="K84">
        <v>28</v>
      </c>
      <c r="L84" t="s">
        <v>41</v>
      </c>
      <c r="M84" t="s">
        <v>333</v>
      </c>
      <c r="N84" t="s">
        <v>90</v>
      </c>
      <c r="O84" t="s">
        <v>91</v>
      </c>
      <c r="P84" t="s">
        <v>92</v>
      </c>
      <c r="Q84" t="s">
        <v>41</v>
      </c>
      <c r="R84" t="s">
        <v>93</v>
      </c>
      <c r="S84">
        <v>29</v>
      </c>
      <c r="T84" t="s">
        <v>41</v>
      </c>
      <c r="U84" t="s">
        <v>48</v>
      </c>
      <c r="V84" t="s">
        <v>334</v>
      </c>
      <c r="W84" t="s">
        <v>335</v>
      </c>
      <c r="X84" t="s">
        <v>335</v>
      </c>
      <c r="Y84">
        <v>0.119</v>
      </c>
      <c r="Z84">
        <v>0.036266613</v>
      </c>
      <c r="AA84" t="s">
        <v>102</v>
      </c>
      <c r="AB84" t="s">
        <v>43</v>
      </c>
      <c r="AC84" t="s">
        <v>44</v>
      </c>
      <c r="AD84" t="s">
        <v>45</v>
      </c>
      <c r="AE84" t="s">
        <v>46</v>
      </c>
      <c r="AF84" t="str">
        <f t="shared" si="4"/>
        <v>non-charge-altering-copy1</v>
      </c>
      <c r="AG84" t="s">
        <v>90</v>
      </c>
      <c r="AH84" t="s">
        <v>40</v>
      </c>
      <c r="AI84" t="str">
        <f t="shared" si="3"/>
        <v>H2A G28S</v>
      </c>
    </row>
    <row r="85" spans="1:35">
      <c r="A85" t="s">
        <v>336</v>
      </c>
      <c r="B85" t="s">
        <v>337</v>
      </c>
      <c r="C85" t="s">
        <v>109</v>
      </c>
      <c r="D85" t="s">
        <v>39</v>
      </c>
      <c r="E85" t="s">
        <v>110</v>
      </c>
      <c r="F85" t="s">
        <v>89</v>
      </c>
      <c r="G85" t="s">
        <v>40</v>
      </c>
      <c r="H85">
        <v>44</v>
      </c>
      <c r="I85">
        <v>45</v>
      </c>
      <c r="J85">
        <v>44</v>
      </c>
      <c r="K85">
        <v>43</v>
      </c>
      <c r="L85" t="s">
        <v>42</v>
      </c>
      <c r="M85" t="s">
        <v>337</v>
      </c>
      <c r="N85" t="s">
        <v>90</v>
      </c>
      <c r="O85" t="s">
        <v>91</v>
      </c>
      <c r="P85" t="s">
        <v>92</v>
      </c>
      <c r="Q85" t="s">
        <v>42</v>
      </c>
      <c r="R85" t="s">
        <v>93</v>
      </c>
      <c r="S85">
        <v>44</v>
      </c>
      <c r="T85" t="s">
        <v>42</v>
      </c>
      <c r="U85" t="s">
        <v>28</v>
      </c>
      <c r="V85" t="s">
        <v>338</v>
      </c>
      <c r="W85" t="s">
        <v>339</v>
      </c>
      <c r="X85" t="s">
        <v>339</v>
      </c>
      <c r="Y85">
        <v>0.823</v>
      </c>
      <c r="Z85">
        <v>0.015210614</v>
      </c>
      <c r="AA85" t="s">
        <v>102</v>
      </c>
      <c r="AB85" t="s">
        <v>43</v>
      </c>
      <c r="AC85" t="s">
        <v>44</v>
      </c>
      <c r="AD85" t="s">
        <v>45</v>
      </c>
      <c r="AE85" t="s">
        <v>46</v>
      </c>
      <c r="AF85" t="str">
        <f t="shared" si="4"/>
        <v>non-charge-altering-copy1</v>
      </c>
      <c r="AG85" t="s">
        <v>90</v>
      </c>
      <c r="AH85" t="s">
        <v>40</v>
      </c>
      <c r="AI85" t="str">
        <f t="shared" si="3"/>
        <v>H2A V43L</v>
      </c>
    </row>
    <row r="86" spans="1:35">
      <c r="A86" t="s">
        <v>340</v>
      </c>
      <c r="B86" t="s">
        <v>129</v>
      </c>
      <c r="C86" t="s">
        <v>109</v>
      </c>
      <c r="D86" t="s">
        <v>39</v>
      </c>
      <c r="E86" t="s">
        <v>110</v>
      </c>
      <c r="F86" t="s">
        <v>89</v>
      </c>
      <c r="G86" t="s">
        <v>40</v>
      </c>
      <c r="H86">
        <v>75</v>
      </c>
      <c r="I86">
        <v>76</v>
      </c>
      <c r="J86">
        <v>75</v>
      </c>
      <c r="K86">
        <v>74</v>
      </c>
      <c r="L86" t="s">
        <v>35</v>
      </c>
      <c r="M86" t="s">
        <v>129</v>
      </c>
      <c r="N86" t="s">
        <v>90</v>
      </c>
      <c r="O86" t="s">
        <v>91</v>
      </c>
      <c r="P86" t="s">
        <v>92</v>
      </c>
      <c r="Q86" t="s">
        <v>35</v>
      </c>
      <c r="R86" t="s">
        <v>93</v>
      </c>
      <c r="S86">
        <v>75</v>
      </c>
      <c r="T86" t="s">
        <v>35</v>
      </c>
      <c r="U86" t="s">
        <v>49</v>
      </c>
      <c r="V86" t="s">
        <v>341</v>
      </c>
      <c r="W86" t="s">
        <v>342</v>
      </c>
      <c r="X86" t="s">
        <v>342</v>
      </c>
      <c r="Y86">
        <v>1.01</v>
      </c>
      <c r="Z86">
        <v>0.459537832</v>
      </c>
      <c r="AA86" t="s">
        <v>93</v>
      </c>
      <c r="AB86" t="s">
        <v>50</v>
      </c>
      <c r="AC86" t="s">
        <v>44</v>
      </c>
      <c r="AD86" t="s">
        <v>45</v>
      </c>
      <c r="AE86" t="s">
        <v>46</v>
      </c>
      <c r="AF86" t="str">
        <f t="shared" si="4"/>
        <v>non-charge-altering-copy1</v>
      </c>
      <c r="AG86" t="s">
        <v>90</v>
      </c>
      <c r="AH86" t="s">
        <v>40</v>
      </c>
      <c r="AI86" t="str">
        <f t="shared" si="3"/>
        <v>H2A K74R</v>
      </c>
    </row>
    <row r="87" spans="1:35">
      <c r="A87" t="s">
        <v>343</v>
      </c>
      <c r="B87" t="s">
        <v>344</v>
      </c>
      <c r="C87" t="s">
        <v>109</v>
      </c>
      <c r="D87" t="s">
        <v>41</v>
      </c>
      <c r="E87" t="s">
        <v>110</v>
      </c>
      <c r="F87" t="s">
        <v>89</v>
      </c>
      <c r="G87" t="s">
        <v>40</v>
      </c>
      <c r="H87">
        <v>13</v>
      </c>
      <c r="I87">
        <v>14</v>
      </c>
      <c r="J87">
        <v>13</v>
      </c>
      <c r="K87">
        <v>12</v>
      </c>
      <c r="L87" t="s">
        <v>32</v>
      </c>
      <c r="M87" t="s">
        <v>344</v>
      </c>
      <c r="N87" t="s">
        <v>90</v>
      </c>
      <c r="O87" t="s">
        <v>91</v>
      </c>
      <c r="P87" t="s">
        <v>92</v>
      </c>
      <c r="Q87" t="s">
        <v>32</v>
      </c>
      <c r="R87" t="s">
        <v>93</v>
      </c>
      <c r="S87">
        <v>13</v>
      </c>
      <c r="T87" t="s">
        <v>32</v>
      </c>
      <c r="U87" t="s">
        <v>47</v>
      </c>
      <c r="V87" t="s">
        <v>326</v>
      </c>
      <c r="W87" t="s">
        <v>327</v>
      </c>
      <c r="X87" t="s">
        <v>327</v>
      </c>
      <c r="Y87">
        <v>0.5</v>
      </c>
      <c r="Z87">
        <v>0.323832089</v>
      </c>
      <c r="AA87" t="s">
        <v>93</v>
      </c>
      <c r="AB87" t="s">
        <v>43</v>
      </c>
      <c r="AC87" t="s">
        <v>44</v>
      </c>
      <c r="AD87" t="s">
        <v>45</v>
      </c>
      <c r="AE87" t="s">
        <v>46</v>
      </c>
      <c r="AF87" t="str">
        <f t="shared" si="4"/>
        <v>non-charge-altering-copy2</v>
      </c>
      <c r="AG87" t="s">
        <v>90</v>
      </c>
      <c r="AH87" t="s">
        <v>40</v>
      </c>
      <c r="AI87" t="str">
        <f t="shared" si="3"/>
        <v>H2A A12T</v>
      </c>
    </row>
    <row r="88" spans="1:35">
      <c r="A88" t="s">
        <v>345</v>
      </c>
      <c r="B88" t="s">
        <v>346</v>
      </c>
      <c r="C88" t="s">
        <v>109</v>
      </c>
      <c r="D88" t="s">
        <v>41</v>
      </c>
      <c r="E88" t="s">
        <v>110</v>
      </c>
      <c r="F88" t="s">
        <v>89</v>
      </c>
      <c r="G88" t="s">
        <v>40</v>
      </c>
      <c r="H88">
        <v>27</v>
      </c>
      <c r="I88">
        <v>28</v>
      </c>
      <c r="J88">
        <v>27</v>
      </c>
      <c r="K88">
        <v>26</v>
      </c>
      <c r="L88" t="s">
        <v>51</v>
      </c>
      <c r="M88" t="s">
        <v>346</v>
      </c>
      <c r="N88" t="s">
        <v>90</v>
      </c>
      <c r="O88" t="s">
        <v>91</v>
      </c>
      <c r="P88" t="s">
        <v>92</v>
      </c>
      <c r="Q88" t="s">
        <v>51</v>
      </c>
      <c r="R88" t="s">
        <v>93</v>
      </c>
      <c r="S88">
        <v>27</v>
      </c>
      <c r="T88" t="s">
        <v>51</v>
      </c>
      <c r="U88" t="s">
        <v>19</v>
      </c>
      <c r="V88" t="s">
        <v>330</v>
      </c>
      <c r="W88" t="s">
        <v>331</v>
      </c>
      <c r="X88" t="s">
        <v>331</v>
      </c>
      <c r="Y88">
        <v>0.413</v>
      </c>
      <c r="Z88">
        <v>0.025675111</v>
      </c>
      <c r="AA88" t="s">
        <v>102</v>
      </c>
      <c r="AB88" t="s">
        <v>43</v>
      </c>
      <c r="AC88" t="s">
        <v>44</v>
      </c>
      <c r="AD88" t="s">
        <v>45</v>
      </c>
      <c r="AE88" t="s">
        <v>46</v>
      </c>
      <c r="AF88" t="str">
        <f t="shared" si="4"/>
        <v>non-charge-altering-copy2</v>
      </c>
      <c r="AG88" t="s">
        <v>90</v>
      </c>
      <c r="AH88" t="s">
        <v>40</v>
      </c>
      <c r="AI88" t="str">
        <f t="shared" si="3"/>
        <v>H2A P26Q</v>
      </c>
    </row>
    <row r="89" spans="1:35">
      <c r="A89" t="s">
        <v>347</v>
      </c>
      <c r="B89" t="s">
        <v>348</v>
      </c>
      <c r="C89" t="s">
        <v>109</v>
      </c>
      <c r="D89" t="s">
        <v>41</v>
      </c>
      <c r="E89" t="s">
        <v>110</v>
      </c>
      <c r="F89" t="s">
        <v>89</v>
      </c>
      <c r="G89" t="s">
        <v>40</v>
      </c>
      <c r="H89">
        <v>29</v>
      </c>
      <c r="I89">
        <v>30</v>
      </c>
      <c r="J89">
        <v>29</v>
      </c>
      <c r="K89">
        <v>28</v>
      </c>
      <c r="L89" t="s">
        <v>41</v>
      </c>
      <c r="M89" t="s">
        <v>348</v>
      </c>
      <c r="N89" t="s">
        <v>90</v>
      </c>
      <c r="O89" t="s">
        <v>91</v>
      </c>
      <c r="P89" t="s">
        <v>92</v>
      </c>
      <c r="Q89" t="s">
        <v>41</v>
      </c>
      <c r="R89" t="s">
        <v>93</v>
      </c>
      <c r="S89">
        <v>29</v>
      </c>
      <c r="T89" t="s">
        <v>41</v>
      </c>
      <c r="U89" t="s">
        <v>48</v>
      </c>
      <c r="V89" t="s">
        <v>334</v>
      </c>
      <c r="W89" t="s">
        <v>335</v>
      </c>
      <c r="X89" t="s">
        <v>335</v>
      </c>
      <c r="Y89">
        <v>0.113</v>
      </c>
      <c r="Z89">
        <v>0.036266613</v>
      </c>
      <c r="AA89" t="s">
        <v>102</v>
      </c>
      <c r="AB89" t="s">
        <v>43</v>
      </c>
      <c r="AC89" t="s">
        <v>44</v>
      </c>
      <c r="AD89" t="s">
        <v>45</v>
      </c>
      <c r="AE89" t="s">
        <v>46</v>
      </c>
      <c r="AF89" t="str">
        <f t="shared" si="4"/>
        <v>non-charge-altering-copy2</v>
      </c>
      <c r="AG89" t="s">
        <v>90</v>
      </c>
      <c r="AH89" t="s">
        <v>40</v>
      </c>
      <c r="AI89" t="str">
        <f t="shared" si="3"/>
        <v>H2A G28S</v>
      </c>
    </row>
    <row r="90" spans="1:35">
      <c r="A90" t="s">
        <v>349</v>
      </c>
      <c r="B90" t="s">
        <v>350</v>
      </c>
      <c r="C90" t="s">
        <v>109</v>
      </c>
      <c r="D90" t="s">
        <v>41</v>
      </c>
      <c r="E90" t="s">
        <v>110</v>
      </c>
      <c r="F90" t="s">
        <v>89</v>
      </c>
      <c r="G90" t="s">
        <v>40</v>
      </c>
      <c r="H90">
        <v>44</v>
      </c>
      <c r="I90">
        <v>45</v>
      </c>
      <c r="J90">
        <v>44</v>
      </c>
      <c r="K90">
        <v>43</v>
      </c>
      <c r="L90" t="s">
        <v>42</v>
      </c>
      <c r="M90" t="s">
        <v>350</v>
      </c>
      <c r="N90" t="s">
        <v>90</v>
      </c>
      <c r="O90" t="s">
        <v>91</v>
      </c>
      <c r="P90" t="s">
        <v>92</v>
      </c>
      <c r="Q90" t="s">
        <v>42</v>
      </c>
      <c r="R90" t="s">
        <v>93</v>
      </c>
      <c r="S90">
        <v>44</v>
      </c>
      <c r="T90" t="s">
        <v>42</v>
      </c>
      <c r="U90" t="s">
        <v>28</v>
      </c>
      <c r="V90" t="s">
        <v>338</v>
      </c>
      <c r="W90" t="s">
        <v>339</v>
      </c>
      <c r="X90" t="s">
        <v>339</v>
      </c>
      <c r="Y90">
        <v>0.819</v>
      </c>
      <c r="Z90">
        <v>0.015210614</v>
      </c>
      <c r="AA90" t="s">
        <v>102</v>
      </c>
      <c r="AB90" t="s">
        <v>43</v>
      </c>
      <c r="AC90" t="s">
        <v>44</v>
      </c>
      <c r="AD90" t="s">
        <v>45</v>
      </c>
      <c r="AE90" t="s">
        <v>46</v>
      </c>
      <c r="AF90" t="str">
        <f t="shared" si="4"/>
        <v>non-charge-altering-copy2</v>
      </c>
      <c r="AG90" t="s">
        <v>90</v>
      </c>
      <c r="AH90" t="s">
        <v>40</v>
      </c>
      <c r="AI90" t="str">
        <f t="shared" si="3"/>
        <v>H2A V43L</v>
      </c>
    </row>
    <row r="91" spans="1:35">
      <c r="A91" t="s">
        <v>351</v>
      </c>
      <c r="B91" t="s">
        <v>149</v>
      </c>
      <c r="C91" t="s">
        <v>109</v>
      </c>
      <c r="D91" t="s">
        <v>41</v>
      </c>
      <c r="E91" t="s">
        <v>110</v>
      </c>
      <c r="F91" t="s">
        <v>89</v>
      </c>
      <c r="G91" t="s">
        <v>40</v>
      </c>
      <c r="H91">
        <v>75</v>
      </c>
      <c r="I91">
        <v>76</v>
      </c>
      <c r="J91">
        <v>75</v>
      </c>
      <c r="K91">
        <v>74</v>
      </c>
      <c r="L91" t="s">
        <v>35</v>
      </c>
      <c r="M91" t="s">
        <v>149</v>
      </c>
      <c r="N91" t="s">
        <v>90</v>
      </c>
      <c r="O91" t="s">
        <v>91</v>
      </c>
      <c r="P91" t="s">
        <v>92</v>
      </c>
      <c r="Q91" t="s">
        <v>35</v>
      </c>
      <c r="R91" t="s">
        <v>93</v>
      </c>
      <c r="S91">
        <v>75</v>
      </c>
      <c r="T91" t="s">
        <v>35</v>
      </c>
      <c r="U91" t="s">
        <v>49</v>
      </c>
      <c r="V91" t="s">
        <v>341</v>
      </c>
      <c r="W91" t="s">
        <v>342</v>
      </c>
      <c r="X91" t="s">
        <v>342</v>
      </c>
      <c r="Y91">
        <v>1.008</v>
      </c>
      <c r="Z91">
        <v>0.459537832</v>
      </c>
      <c r="AA91" t="s">
        <v>93</v>
      </c>
      <c r="AB91" t="s">
        <v>50</v>
      </c>
      <c r="AC91" t="s">
        <v>44</v>
      </c>
      <c r="AD91" t="s">
        <v>45</v>
      </c>
      <c r="AE91" t="s">
        <v>46</v>
      </c>
      <c r="AF91" t="str">
        <f t="shared" si="4"/>
        <v>non-charge-altering-copy2</v>
      </c>
      <c r="AG91" t="s">
        <v>90</v>
      </c>
      <c r="AH91" t="s">
        <v>40</v>
      </c>
      <c r="AI91" t="str">
        <f t="shared" si="3"/>
        <v>H2A K74R</v>
      </c>
    </row>
    <row r="92" spans="1:35">
      <c r="A92" t="s">
        <v>352</v>
      </c>
      <c r="B92" t="s">
        <v>353</v>
      </c>
      <c r="C92" t="s">
        <v>156</v>
      </c>
      <c r="D92" t="s">
        <v>27</v>
      </c>
      <c r="E92" t="s">
        <v>157</v>
      </c>
      <c r="F92" t="s">
        <v>89</v>
      </c>
      <c r="G92" t="s">
        <v>30</v>
      </c>
      <c r="H92">
        <v>18</v>
      </c>
      <c r="I92">
        <v>18</v>
      </c>
      <c r="J92">
        <v>18</v>
      </c>
      <c r="K92">
        <v>17</v>
      </c>
      <c r="L92" t="s">
        <v>49</v>
      </c>
      <c r="M92" t="s">
        <v>353</v>
      </c>
      <c r="N92" t="s">
        <v>90</v>
      </c>
      <c r="O92" t="s">
        <v>91</v>
      </c>
      <c r="P92" t="s">
        <v>92</v>
      </c>
      <c r="Q92" t="s">
        <v>49</v>
      </c>
      <c r="R92" t="s">
        <v>93</v>
      </c>
      <c r="S92">
        <v>18</v>
      </c>
      <c r="T92" t="s">
        <v>49</v>
      </c>
      <c r="U92" t="s">
        <v>26</v>
      </c>
      <c r="V92" t="s">
        <v>354</v>
      </c>
      <c r="W92" t="s">
        <v>355</v>
      </c>
      <c r="X92" t="s">
        <v>355</v>
      </c>
      <c r="Y92">
        <v>2</v>
      </c>
      <c r="Z92" t="s">
        <v>356</v>
      </c>
      <c r="AA92" t="s">
        <v>356</v>
      </c>
      <c r="AB92" t="s">
        <v>50</v>
      </c>
      <c r="AC92" t="s">
        <v>44</v>
      </c>
      <c r="AD92" t="s">
        <v>45</v>
      </c>
      <c r="AE92" t="s">
        <v>46</v>
      </c>
      <c r="AF92" t="str">
        <f t="shared" si="4"/>
        <v>non-charge-altering-copy1</v>
      </c>
      <c r="AG92" t="s">
        <v>90</v>
      </c>
      <c r="AH92" t="s">
        <v>30</v>
      </c>
      <c r="AI92" t="str">
        <f t="shared" si="3"/>
        <v>H4 R17H</v>
      </c>
    </row>
    <row r="93" spans="1:35">
      <c r="A93" t="s">
        <v>357</v>
      </c>
      <c r="B93" t="s">
        <v>358</v>
      </c>
      <c r="C93" t="s">
        <v>156</v>
      </c>
      <c r="D93" t="s">
        <v>27</v>
      </c>
      <c r="E93" t="s">
        <v>157</v>
      </c>
      <c r="F93" t="s">
        <v>89</v>
      </c>
      <c r="G93" t="s">
        <v>30</v>
      </c>
      <c r="H93">
        <v>49</v>
      </c>
      <c r="I93">
        <v>49</v>
      </c>
      <c r="J93">
        <v>49</v>
      </c>
      <c r="K93">
        <v>48</v>
      </c>
      <c r="L93" t="s">
        <v>41</v>
      </c>
      <c r="M93" t="s">
        <v>358</v>
      </c>
      <c r="N93" t="s">
        <v>90</v>
      </c>
      <c r="O93" t="s">
        <v>91</v>
      </c>
      <c r="P93" t="s">
        <v>92</v>
      </c>
      <c r="Q93" t="s">
        <v>41</v>
      </c>
      <c r="R93" t="s">
        <v>93</v>
      </c>
      <c r="S93">
        <v>49</v>
      </c>
      <c r="T93" t="s">
        <v>41</v>
      </c>
      <c r="U93" t="s">
        <v>32</v>
      </c>
      <c r="V93" t="s">
        <v>359</v>
      </c>
      <c r="W93" t="s">
        <v>360</v>
      </c>
      <c r="X93" t="s">
        <v>360</v>
      </c>
      <c r="Y93">
        <v>0.164</v>
      </c>
      <c r="Z93">
        <v>0.223359806</v>
      </c>
      <c r="AA93" t="s">
        <v>93</v>
      </c>
      <c r="AB93" t="s">
        <v>43</v>
      </c>
      <c r="AC93" t="s">
        <v>44</v>
      </c>
      <c r="AD93" t="s">
        <v>45</v>
      </c>
      <c r="AE93" t="s">
        <v>46</v>
      </c>
      <c r="AF93" t="str">
        <f t="shared" si="4"/>
        <v>non-charge-altering-copy1</v>
      </c>
      <c r="AG93" t="s">
        <v>90</v>
      </c>
      <c r="AH93" t="s">
        <v>30</v>
      </c>
      <c r="AI93" t="str">
        <f t="shared" si="3"/>
        <v>H4 G48A</v>
      </c>
    </row>
    <row r="94" spans="1:35">
      <c r="A94" t="s">
        <v>361</v>
      </c>
      <c r="B94" t="s">
        <v>362</v>
      </c>
      <c r="C94" t="s">
        <v>156</v>
      </c>
      <c r="D94" t="s">
        <v>27</v>
      </c>
      <c r="E94" t="s">
        <v>157</v>
      </c>
      <c r="F94" t="s">
        <v>89</v>
      </c>
      <c r="G94" t="s">
        <v>30</v>
      </c>
      <c r="H94">
        <v>81</v>
      </c>
      <c r="I94">
        <v>81</v>
      </c>
      <c r="J94">
        <v>81</v>
      </c>
      <c r="K94">
        <v>80</v>
      </c>
      <c r="L94" t="s">
        <v>47</v>
      </c>
      <c r="M94" t="s">
        <v>362</v>
      </c>
      <c r="N94" t="s">
        <v>90</v>
      </c>
      <c r="O94" t="s">
        <v>91</v>
      </c>
      <c r="P94" t="s">
        <v>92</v>
      </c>
      <c r="Q94" t="s">
        <v>47</v>
      </c>
      <c r="R94" t="s">
        <v>93</v>
      </c>
      <c r="S94">
        <v>81</v>
      </c>
      <c r="T94" t="s">
        <v>47</v>
      </c>
      <c r="U94" t="s">
        <v>32</v>
      </c>
      <c r="V94" t="s">
        <v>363</v>
      </c>
      <c r="W94" t="s">
        <v>364</v>
      </c>
      <c r="X94" t="s">
        <v>364</v>
      </c>
      <c r="Y94">
        <v>2.249</v>
      </c>
      <c r="Z94">
        <v>0.060814775</v>
      </c>
      <c r="AA94" t="s">
        <v>102</v>
      </c>
      <c r="AB94" t="s">
        <v>43</v>
      </c>
      <c r="AC94" t="s">
        <v>44</v>
      </c>
      <c r="AD94" t="s">
        <v>45</v>
      </c>
      <c r="AE94" t="s">
        <v>46</v>
      </c>
      <c r="AF94" t="str">
        <f t="shared" si="4"/>
        <v>non-charge-altering-copy1</v>
      </c>
      <c r="AG94" t="s">
        <v>90</v>
      </c>
      <c r="AH94" t="s">
        <v>30</v>
      </c>
      <c r="AI94" t="str">
        <f t="shared" si="3"/>
        <v>H4 T80A</v>
      </c>
    </row>
    <row r="95" spans="1:35">
      <c r="A95" t="s">
        <v>365</v>
      </c>
      <c r="B95" t="s">
        <v>366</v>
      </c>
      <c r="C95" t="s">
        <v>156</v>
      </c>
      <c r="D95" t="s">
        <v>31</v>
      </c>
      <c r="E95" t="s">
        <v>157</v>
      </c>
      <c r="F95" t="s">
        <v>89</v>
      </c>
      <c r="G95" t="s">
        <v>30</v>
      </c>
      <c r="H95">
        <v>18</v>
      </c>
      <c r="I95">
        <v>18</v>
      </c>
      <c r="J95">
        <v>18</v>
      </c>
      <c r="K95">
        <v>17</v>
      </c>
      <c r="L95" t="s">
        <v>49</v>
      </c>
      <c r="M95" t="s">
        <v>366</v>
      </c>
      <c r="N95" t="s">
        <v>90</v>
      </c>
      <c r="O95" t="s">
        <v>91</v>
      </c>
      <c r="P95" t="s">
        <v>92</v>
      </c>
      <c r="Q95" t="s">
        <v>49</v>
      </c>
      <c r="R95" t="s">
        <v>93</v>
      </c>
      <c r="S95">
        <v>18</v>
      </c>
      <c r="T95" t="s">
        <v>49</v>
      </c>
      <c r="U95" t="s">
        <v>26</v>
      </c>
      <c r="V95" t="s">
        <v>354</v>
      </c>
      <c r="W95" t="s">
        <v>355</v>
      </c>
      <c r="X95" t="s">
        <v>355</v>
      </c>
      <c r="Y95">
        <v>1.905</v>
      </c>
      <c r="Z95" t="s">
        <v>356</v>
      </c>
      <c r="AA95" t="s">
        <v>356</v>
      </c>
      <c r="AB95" t="s">
        <v>50</v>
      </c>
      <c r="AC95" t="s">
        <v>44</v>
      </c>
      <c r="AD95" t="s">
        <v>45</v>
      </c>
      <c r="AE95" t="s">
        <v>46</v>
      </c>
      <c r="AF95" t="str">
        <f t="shared" si="4"/>
        <v>non-charge-altering-copy2</v>
      </c>
      <c r="AG95" t="s">
        <v>90</v>
      </c>
      <c r="AH95" t="s">
        <v>30</v>
      </c>
      <c r="AI95" t="str">
        <f t="shared" si="3"/>
        <v>H4 R17H</v>
      </c>
    </row>
    <row r="96" spans="1:35">
      <c r="A96" t="s">
        <v>367</v>
      </c>
      <c r="B96" t="s">
        <v>368</v>
      </c>
      <c r="C96" t="s">
        <v>156</v>
      </c>
      <c r="D96" t="s">
        <v>31</v>
      </c>
      <c r="E96" t="s">
        <v>157</v>
      </c>
      <c r="F96" t="s">
        <v>89</v>
      </c>
      <c r="G96" t="s">
        <v>30</v>
      </c>
      <c r="H96">
        <v>49</v>
      </c>
      <c r="I96">
        <v>49</v>
      </c>
      <c r="J96">
        <v>49</v>
      </c>
      <c r="K96">
        <v>48</v>
      </c>
      <c r="L96" t="s">
        <v>41</v>
      </c>
      <c r="M96" t="s">
        <v>368</v>
      </c>
      <c r="N96" t="s">
        <v>90</v>
      </c>
      <c r="O96" t="s">
        <v>91</v>
      </c>
      <c r="P96" t="s">
        <v>92</v>
      </c>
      <c r="Q96" t="s">
        <v>41</v>
      </c>
      <c r="R96" t="s">
        <v>93</v>
      </c>
      <c r="S96">
        <v>49</v>
      </c>
      <c r="T96" t="s">
        <v>41</v>
      </c>
      <c r="U96" t="s">
        <v>32</v>
      </c>
      <c r="V96" t="s">
        <v>359</v>
      </c>
      <c r="W96" t="s">
        <v>360</v>
      </c>
      <c r="X96" t="s">
        <v>360</v>
      </c>
      <c r="Y96">
        <v>0.17</v>
      </c>
      <c r="Z96">
        <v>0.223359806</v>
      </c>
      <c r="AA96" t="s">
        <v>93</v>
      </c>
      <c r="AB96" t="s">
        <v>43</v>
      </c>
      <c r="AC96" t="s">
        <v>44</v>
      </c>
      <c r="AD96" t="s">
        <v>45</v>
      </c>
      <c r="AE96" t="s">
        <v>46</v>
      </c>
      <c r="AF96" t="str">
        <f t="shared" si="4"/>
        <v>non-charge-altering-copy2</v>
      </c>
      <c r="AG96" t="s">
        <v>90</v>
      </c>
      <c r="AH96" t="s">
        <v>30</v>
      </c>
      <c r="AI96" t="str">
        <f t="shared" si="3"/>
        <v>H4 G48A</v>
      </c>
    </row>
    <row r="97" spans="1:35">
      <c r="A97" t="s">
        <v>369</v>
      </c>
      <c r="B97" t="s">
        <v>370</v>
      </c>
      <c r="C97" t="s">
        <v>156</v>
      </c>
      <c r="D97" t="s">
        <v>31</v>
      </c>
      <c r="E97" t="s">
        <v>157</v>
      </c>
      <c r="F97" t="s">
        <v>89</v>
      </c>
      <c r="G97" t="s">
        <v>30</v>
      </c>
      <c r="H97">
        <v>81</v>
      </c>
      <c r="I97">
        <v>81</v>
      </c>
      <c r="J97">
        <v>81</v>
      </c>
      <c r="K97">
        <v>80</v>
      </c>
      <c r="L97" t="s">
        <v>47</v>
      </c>
      <c r="M97" t="s">
        <v>370</v>
      </c>
      <c r="N97" t="s">
        <v>90</v>
      </c>
      <c r="O97" t="s">
        <v>91</v>
      </c>
      <c r="P97" t="s">
        <v>92</v>
      </c>
      <c r="Q97" t="s">
        <v>47</v>
      </c>
      <c r="R97" t="s">
        <v>93</v>
      </c>
      <c r="S97">
        <v>81</v>
      </c>
      <c r="T97" t="s">
        <v>47</v>
      </c>
      <c r="U97" t="s">
        <v>32</v>
      </c>
      <c r="V97" t="s">
        <v>363</v>
      </c>
      <c r="W97" t="s">
        <v>364</v>
      </c>
      <c r="X97" t="s">
        <v>364</v>
      </c>
      <c r="Y97">
        <v>2.133</v>
      </c>
      <c r="Z97">
        <v>0.060814775</v>
      </c>
      <c r="AA97" t="s">
        <v>102</v>
      </c>
      <c r="AB97" t="s">
        <v>43</v>
      </c>
      <c r="AC97" t="s">
        <v>44</v>
      </c>
      <c r="AD97" t="s">
        <v>45</v>
      </c>
      <c r="AE97" t="s">
        <v>46</v>
      </c>
      <c r="AF97" t="str">
        <f t="shared" si="4"/>
        <v>non-charge-altering-copy2</v>
      </c>
      <c r="AG97" t="s">
        <v>90</v>
      </c>
      <c r="AH97" t="s">
        <v>30</v>
      </c>
      <c r="AI97" t="str">
        <f t="shared" si="3"/>
        <v>H4 T80A</v>
      </c>
    </row>
    <row r="98" spans="1:35">
      <c r="A98" t="s">
        <v>371</v>
      </c>
      <c r="B98" t="s">
        <v>372</v>
      </c>
      <c r="C98" t="s">
        <v>185</v>
      </c>
      <c r="D98" t="s">
        <v>32</v>
      </c>
      <c r="E98" t="s">
        <v>186</v>
      </c>
      <c r="F98" t="s">
        <v>89</v>
      </c>
      <c r="G98" t="s">
        <v>33</v>
      </c>
      <c r="H98">
        <v>118</v>
      </c>
      <c r="I98">
        <v>211</v>
      </c>
      <c r="J98">
        <v>118</v>
      </c>
      <c r="K98">
        <v>117</v>
      </c>
      <c r="L98" t="s">
        <v>42</v>
      </c>
      <c r="M98" t="s">
        <v>372</v>
      </c>
      <c r="N98" t="s">
        <v>90</v>
      </c>
      <c r="O98" t="s">
        <v>91</v>
      </c>
      <c r="P98" t="s">
        <v>92</v>
      </c>
      <c r="Q98" t="s">
        <v>42</v>
      </c>
      <c r="R98" t="s">
        <v>93</v>
      </c>
      <c r="S98">
        <v>118</v>
      </c>
      <c r="T98" t="s">
        <v>42</v>
      </c>
      <c r="U98" t="s">
        <v>53</v>
      </c>
      <c r="V98" t="s">
        <v>373</v>
      </c>
      <c r="W98" t="s">
        <v>374</v>
      </c>
      <c r="X98" t="s">
        <v>374</v>
      </c>
      <c r="Y98">
        <v>2.018</v>
      </c>
      <c r="Z98">
        <v>0.115138765</v>
      </c>
      <c r="AA98" t="s">
        <v>102</v>
      </c>
      <c r="AB98" t="s">
        <v>43</v>
      </c>
      <c r="AC98" t="s">
        <v>44</v>
      </c>
      <c r="AD98" t="s">
        <v>45</v>
      </c>
      <c r="AE98" t="s">
        <v>46</v>
      </c>
      <c r="AF98" t="str">
        <f t="shared" si="4"/>
        <v>non-charge-altering-copy1</v>
      </c>
      <c r="AG98" t="s">
        <v>90</v>
      </c>
      <c r="AH98" t="s">
        <v>33</v>
      </c>
      <c r="AI98" t="str">
        <f t="shared" si="3"/>
        <v>H3 V117M</v>
      </c>
    </row>
    <row r="99" spans="1:35">
      <c r="A99" t="s">
        <v>375</v>
      </c>
      <c r="B99" t="s">
        <v>372</v>
      </c>
      <c r="C99" t="s">
        <v>185</v>
      </c>
      <c r="D99" t="s">
        <v>32</v>
      </c>
      <c r="E99" t="s">
        <v>186</v>
      </c>
      <c r="F99" t="s">
        <v>89</v>
      </c>
      <c r="G99" t="s">
        <v>33</v>
      </c>
      <c r="H99">
        <v>118</v>
      </c>
      <c r="I99">
        <v>211</v>
      </c>
      <c r="J99">
        <v>118</v>
      </c>
      <c r="K99">
        <v>117</v>
      </c>
      <c r="L99" t="s">
        <v>42</v>
      </c>
      <c r="M99" t="s">
        <v>372</v>
      </c>
      <c r="N99" t="s">
        <v>90</v>
      </c>
      <c r="O99" t="s">
        <v>91</v>
      </c>
      <c r="P99" t="s">
        <v>92</v>
      </c>
      <c r="Q99" t="s">
        <v>42</v>
      </c>
      <c r="R99" t="s">
        <v>93</v>
      </c>
      <c r="S99">
        <v>118</v>
      </c>
      <c r="T99" t="s">
        <v>42</v>
      </c>
      <c r="U99" t="s">
        <v>41</v>
      </c>
      <c r="V99" t="s">
        <v>376</v>
      </c>
      <c r="W99" t="s">
        <v>377</v>
      </c>
      <c r="X99" t="s">
        <v>377</v>
      </c>
      <c r="Y99">
        <v>2.133</v>
      </c>
      <c r="Z99">
        <v>0.115138765</v>
      </c>
      <c r="AA99" t="s">
        <v>102</v>
      </c>
      <c r="AB99" t="s">
        <v>43</v>
      </c>
      <c r="AC99" t="s">
        <v>44</v>
      </c>
      <c r="AD99" t="s">
        <v>45</v>
      </c>
      <c r="AE99" t="s">
        <v>46</v>
      </c>
      <c r="AF99" t="str">
        <f t="shared" ref="AF99:AF127" si="5">AE99&amp;"-"&amp;IF(OR(D99="A",D99="B",D99="C",D99="D"),"copy1",IF(OR(D99="E",D99="F",D99="G",D99="H"),"copy2",""))</f>
        <v>non-charge-altering-copy1</v>
      </c>
      <c r="AG99" t="s">
        <v>90</v>
      </c>
      <c r="AH99" t="s">
        <v>33</v>
      </c>
      <c r="AI99" t="str">
        <f t="shared" si="3"/>
        <v>H3 V117G</v>
      </c>
    </row>
    <row r="100" spans="1:35">
      <c r="A100" t="s">
        <v>378</v>
      </c>
      <c r="B100" t="s">
        <v>379</v>
      </c>
      <c r="C100" t="s">
        <v>185</v>
      </c>
      <c r="D100" t="s">
        <v>32</v>
      </c>
      <c r="E100" t="s">
        <v>186</v>
      </c>
      <c r="F100" t="s">
        <v>89</v>
      </c>
      <c r="G100" t="s">
        <v>33</v>
      </c>
      <c r="H100">
        <v>121</v>
      </c>
      <c r="I100">
        <v>214</v>
      </c>
      <c r="J100">
        <v>121</v>
      </c>
      <c r="K100">
        <v>120</v>
      </c>
      <c r="L100" t="s">
        <v>53</v>
      </c>
      <c r="M100" t="s">
        <v>379</v>
      </c>
      <c r="N100" t="s">
        <v>90</v>
      </c>
      <c r="O100" t="s">
        <v>91</v>
      </c>
      <c r="P100" t="s">
        <v>92</v>
      </c>
      <c r="Q100" t="s">
        <v>53</v>
      </c>
      <c r="R100" t="s">
        <v>93</v>
      </c>
      <c r="S100">
        <v>121</v>
      </c>
      <c r="T100" t="s">
        <v>53</v>
      </c>
      <c r="U100" t="s">
        <v>62</v>
      </c>
      <c r="V100" t="s">
        <v>380</v>
      </c>
      <c r="W100" t="s">
        <v>381</v>
      </c>
      <c r="X100" t="s">
        <v>381</v>
      </c>
      <c r="Y100">
        <v>1.14</v>
      </c>
      <c r="Z100">
        <v>0.081093912</v>
      </c>
      <c r="AA100" t="s">
        <v>102</v>
      </c>
      <c r="AB100" t="s">
        <v>43</v>
      </c>
      <c r="AC100" t="s">
        <v>44</v>
      </c>
      <c r="AD100" t="s">
        <v>45</v>
      </c>
      <c r="AE100" t="s">
        <v>46</v>
      </c>
      <c r="AF100" t="str">
        <f t="shared" si="5"/>
        <v>non-charge-altering-copy1</v>
      </c>
      <c r="AG100" t="s">
        <v>90</v>
      </c>
      <c r="AH100" t="s">
        <v>33</v>
      </c>
      <c r="AI100" t="str">
        <f t="shared" si="3"/>
        <v>H3 M120I</v>
      </c>
    </row>
    <row r="101" spans="1:35">
      <c r="A101" t="s">
        <v>382</v>
      </c>
      <c r="B101" t="s">
        <v>262</v>
      </c>
      <c r="C101" t="s">
        <v>185</v>
      </c>
      <c r="D101" t="s">
        <v>32</v>
      </c>
      <c r="E101" t="s">
        <v>186</v>
      </c>
      <c r="F101" t="s">
        <v>89</v>
      </c>
      <c r="G101" t="s">
        <v>33</v>
      </c>
      <c r="H101">
        <v>45</v>
      </c>
      <c r="I101">
        <v>135</v>
      </c>
      <c r="J101">
        <v>45</v>
      </c>
      <c r="K101">
        <v>44</v>
      </c>
      <c r="L101" t="s">
        <v>41</v>
      </c>
      <c r="M101" t="s">
        <v>262</v>
      </c>
      <c r="N101" t="s">
        <v>90</v>
      </c>
      <c r="O101" t="s">
        <v>91</v>
      </c>
      <c r="P101" t="s">
        <v>92</v>
      </c>
      <c r="Q101" t="s">
        <v>41</v>
      </c>
      <c r="R101" t="s">
        <v>93</v>
      </c>
      <c r="S101">
        <v>45</v>
      </c>
      <c r="T101" t="s">
        <v>41</v>
      </c>
      <c r="U101" t="s">
        <v>42</v>
      </c>
      <c r="V101" t="s">
        <v>383</v>
      </c>
      <c r="W101" t="s">
        <v>384</v>
      </c>
      <c r="X101" t="s">
        <v>384</v>
      </c>
      <c r="Y101">
        <v>1.011</v>
      </c>
      <c r="Z101">
        <v>0.040909642</v>
      </c>
      <c r="AA101" t="s">
        <v>102</v>
      </c>
      <c r="AB101" t="s">
        <v>43</v>
      </c>
      <c r="AC101" t="s">
        <v>44</v>
      </c>
      <c r="AD101" t="s">
        <v>45</v>
      </c>
      <c r="AE101" t="s">
        <v>46</v>
      </c>
      <c r="AF101" t="str">
        <f t="shared" si="5"/>
        <v>non-charge-altering-copy1</v>
      </c>
      <c r="AG101" t="s">
        <v>90</v>
      </c>
      <c r="AH101" t="s">
        <v>33</v>
      </c>
      <c r="AI101" t="str">
        <f t="shared" si="3"/>
        <v>H3 G44V</v>
      </c>
    </row>
    <row r="102" spans="1:35">
      <c r="A102" t="s">
        <v>385</v>
      </c>
      <c r="B102" t="s">
        <v>386</v>
      </c>
      <c r="C102" t="s">
        <v>185</v>
      </c>
      <c r="D102" t="s">
        <v>32</v>
      </c>
      <c r="E102" t="s">
        <v>186</v>
      </c>
      <c r="F102" t="s">
        <v>89</v>
      </c>
      <c r="G102" t="s">
        <v>33</v>
      </c>
      <c r="H102">
        <v>47</v>
      </c>
      <c r="I102">
        <v>137</v>
      </c>
      <c r="J102">
        <v>47</v>
      </c>
      <c r="K102">
        <v>46</v>
      </c>
      <c r="L102" t="s">
        <v>42</v>
      </c>
      <c r="M102" t="s">
        <v>386</v>
      </c>
      <c r="N102" t="s">
        <v>90</v>
      </c>
      <c r="O102" t="s">
        <v>91</v>
      </c>
      <c r="P102" t="s">
        <v>92</v>
      </c>
      <c r="Q102" t="s">
        <v>42</v>
      </c>
      <c r="R102" t="s">
        <v>93</v>
      </c>
      <c r="S102">
        <v>47</v>
      </c>
      <c r="T102" t="s">
        <v>42</v>
      </c>
      <c r="U102" t="s">
        <v>53</v>
      </c>
      <c r="V102" t="s">
        <v>387</v>
      </c>
      <c r="W102" t="s">
        <v>388</v>
      </c>
      <c r="X102" t="s">
        <v>388</v>
      </c>
      <c r="Y102">
        <v>-0.119</v>
      </c>
      <c r="Z102">
        <v>0.078139651</v>
      </c>
      <c r="AA102" t="s">
        <v>102</v>
      </c>
      <c r="AB102" t="s">
        <v>43</v>
      </c>
      <c r="AC102" t="s">
        <v>44</v>
      </c>
      <c r="AD102" t="s">
        <v>45</v>
      </c>
      <c r="AE102" t="s">
        <v>46</v>
      </c>
      <c r="AF102" t="str">
        <f t="shared" si="5"/>
        <v>non-charge-altering-copy1</v>
      </c>
      <c r="AG102" t="s">
        <v>90</v>
      </c>
      <c r="AH102" t="s">
        <v>33</v>
      </c>
      <c r="AI102" t="str">
        <f t="shared" si="3"/>
        <v>H3 V46M</v>
      </c>
    </row>
    <row r="103" spans="1:35">
      <c r="A103" t="s">
        <v>389</v>
      </c>
      <c r="B103" t="s">
        <v>266</v>
      </c>
      <c r="C103" t="s">
        <v>185</v>
      </c>
      <c r="D103" t="s">
        <v>32</v>
      </c>
      <c r="E103" t="s">
        <v>186</v>
      </c>
      <c r="F103" t="s">
        <v>89</v>
      </c>
      <c r="G103" t="s">
        <v>33</v>
      </c>
      <c r="H103">
        <v>48</v>
      </c>
      <c r="I103">
        <v>138</v>
      </c>
      <c r="J103">
        <v>48</v>
      </c>
      <c r="K103">
        <v>47</v>
      </c>
      <c r="L103" t="s">
        <v>32</v>
      </c>
      <c r="M103" t="s">
        <v>266</v>
      </c>
      <c r="N103" t="s">
        <v>90</v>
      </c>
      <c r="O103" t="s">
        <v>91</v>
      </c>
      <c r="P103" t="s">
        <v>92</v>
      </c>
      <c r="Q103" t="s">
        <v>32</v>
      </c>
      <c r="R103" t="s">
        <v>93</v>
      </c>
      <c r="S103">
        <v>48</v>
      </c>
      <c r="T103" t="s">
        <v>32</v>
      </c>
      <c r="U103" t="s">
        <v>48</v>
      </c>
      <c r="V103" t="s">
        <v>390</v>
      </c>
      <c r="W103" t="s">
        <v>391</v>
      </c>
      <c r="X103" t="s">
        <v>391</v>
      </c>
      <c r="Y103">
        <v>0.539</v>
      </c>
      <c r="Z103">
        <v>0.001144938</v>
      </c>
      <c r="AA103" t="s">
        <v>102</v>
      </c>
      <c r="AB103" t="s">
        <v>43</v>
      </c>
      <c r="AC103" t="s">
        <v>44</v>
      </c>
      <c r="AD103" t="s">
        <v>45</v>
      </c>
      <c r="AE103" t="s">
        <v>46</v>
      </c>
      <c r="AF103" t="str">
        <f t="shared" si="5"/>
        <v>non-charge-altering-copy1</v>
      </c>
      <c r="AG103" t="s">
        <v>90</v>
      </c>
      <c r="AH103" t="s">
        <v>33</v>
      </c>
      <c r="AI103" t="str">
        <f t="shared" si="3"/>
        <v>H3 A47S</v>
      </c>
    </row>
    <row r="104" spans="1:35">
      <c r="A104" t="s">
        <v>392</v>
      </c>
      <c r="B104" t="s">
        <v>266</v>
      </c>
      <c r="C104" t="s">
        <v>185</v>
      </c>
      <c r="D104" t="s">
        <v>32</v>
      </c>
      <c r="E104" t="s">
        <v>186</v>
      </c>
      <c r="F104" t="s">
        <v>89</v>
      </c>
      <c r="G104" t="s">
        <v>33</v>
      </c>
      <c r="H104">
        <v>48</v>
      </c>
      <c r="I104">
        <v>138</v>
      </c>
      <c r="J104">
        <v>48</v>
      </c>
      <c r="K104">
        <v>47</v>
      </c>
      <c r="L104" t="s">
        <v>32</v>
      </c>
      <c r="M104" t="s">
        <v>266</v>
      </c>
      <c r="N104" t="s">
        <v>90</v>
      </c>
      <c r="O104" t="s">
        <v>91</v>
      </c>
      <c r="P104" t="s">
        <v>92</v>
      </c>
      <c r="Q104" t="s">
        <v>32</v>
      </c>
      <c r="R104" t="s">
        <v>93</v>
      </c>
      <c r="S104">
        <v>48</v>
      </c>
      <c r="T104" t="s">
        <v>32</v>
      </c>
      <c r="U104" t="s">
        <v>47</v>
      </c>
      <c r="V104" t="s">
        <v>393</v>
      </c>
      <c r="W104" t="s">
        <v>394</v>
      </c>
      <c r="X104" t="s">
        <v>394</v>
      </c>
      <c r="Y104">
        <v>0.539</v>
      </c>
      <c r="Z104">
        <v>0.001144938</v>
      </c>
      <c r="AA104" t="s">
        <v>102</v>
      </c>
      <c r="AB104" t="s">
        <v>43</v>
      </c>
      <c r="AC104" t="s">
        <v>44</v>
      </c>
      <c r="AD104" t="s">
        <v>45</v>
      </c>
      <c r="AE104" t="s">
        <v>46</v>
      </c>
      <c r="AF104" t="str">
        <f t="shared" si="5"/>
        <v>non-charge-altering-copy1</v>
      </c>
      <c r="AG104" t="s">
        <v>90</v>
      </c>
      <c r="AH104" t="s">
        <v>33</v>
      </c>
      <c r="AI104" t="str">
        <f t="shared" si="3"/>
        <v>H3 A47T</v>
      </c>
    </row>
    <row r="105" spans="1:35">
      <c r="A105" t="s">
        <v>395</v>
      </c>
      <c r="B105" t="s">
        <v>396</v>
      </c>
      <c r="C105" t="s">
        <v>185</v>
      </c>
      <c r="D105" t="s">
        <v>32</v>
      </c>
      <c r="E105" t="s">
        <v>186</v>
      </c>
      <c r="F105" t="s">
        <v>89</v>
      </c>
      <c r="G105" t="s">
        <v>33</v>
      </c>
      <c r="H105">
        <v>50</v>
      </c>
      <c r="I105">
        <v>140</v>
      </c>
      <c r="J105">
        <v>50</v>
      </c>
      <c r="K105">
        <v>49</v>
      </c>
      <c r="L105" t="s">
        <v>49</v>
      </c>
      <c r="M105" t="s">
        <v>396</v>
      </c>
      <c r="N105" t="s">
        <v>90</v>
      </c>
      <c r="O105" t="s">
        <v>91</v>
      </c>
      <c r="P105" t="s">
        <v>92</v>
      </c>
      <c r="Q105" t="s">
        <v>49</v>
      </c>
      <c r="R105" t="s">
        <v>93</v>
      </c>
      <c r="S105">
        <v>50</v>
      </c>
      <c r="T105" t="s">
        <v>49</v>
      </c>
      <c r="U105" t="s">
        <v>26</v>
      </c>
      <c r="V105" t="s">
        <v>397</v>
      </c>
      <c r="W105" t="s">
        <v>398</v>
      </c>
      <c r="X105" t="s">
        <v>398</v>
      </c>
      <c r="Y105">
        <v>2.594</v>
      </c>
      <c r="Z105">
        <v>0.097801167</v>
      </c>
      <c r="AA105" t="s">
        <v>102</v>
      </c>
      <c r="AB105" t="s">
        <v>50</v>
      </c>
      <c r="AC105" t="s">
        <v>44</v>
      </c>
      <c r="AD105" t="s">
        <v>45</v>
      </c>
      <c r="AE105" t="s">
        <v>46</v>
      </c>
      <c r="AF105" t="str">
        <f t="shared" si="5"/>
        <v>non-charge-altering-copy1</v>
      </c>
      <c r="AG105" t="s">
        <v>90</v>
      </c>
      <c r="AH105" t="s">
        <v>33</v>
      </c>
      <c r="AI105" t="str">
        <f t="shared" si="3"/>
        <v>H3 R49H</v>
      </c>
    </row>
    <row r="106" spans="1:35">
      <c r="A106" t="s">
        <v>399</v>
      </c>
      <c r="B106" t="s">
        <v>202</v>
      </c>
      <c r="C106" t="s">
        <v>185</v>
      </c>
      <c r="D106" t="s">
        <v>32</v>
      </c>
      <c r="E106" t="s">
        <v>186</v>
      </c>
      <c r="F106" t="s">
        <v>89</v>
      </c>
      <c r="G106" t="s">
        <v>33</v>
      </c>
      <c r="H106">
        <v>51</v>
      </c>
      <c r="I106">
        <v>141</v>
      </c>
      <c r="J106">
        <v>51</v>
      </c>
      <c r="K106">
        <v>50</v>
      </c>
      <c r="L106" t="s">
        <v>18</v>
      </c>
      <c r="M106" t="s">
        <v>202</v>
      </c>
      <c r="N106" t="s">
        <v>90</v>
      </c>
      <c r="O106" t="s">
        <v>91</v>
      </c>
      <c r="P106" t="s">
        <v>92</v>
      </c>
      <c r="Q106" t="s">
        <v>18</v>
      </c>
      <c r="R106" t="s">
        <v>93</v>
      </c>
      <c r="S106">
        <v>51</v>
      </c>
      <c r="T106" t="s">
        <v>18</v>
      </c>
      <c r="U106" t="s">
        <v>17</v>
      </c>
      <c r="V106" t="s">
        <v>400</v>
      </c>
      <c r="W106" t="s">
        <v>401</v>
      </c>
      <c r="X106" t="s">
        <v>401</v>
      </c>
      <c r="Y106">
        <v>0.798</v>
      </c>
      <c r="Z106">
        <v>0.12509097</v>
      </c>
      <c r="AA106" t="s">
        <v>102</v>
      </c>
      <c r="AB106" t="s">
        <v>52</v>
      </c>
      <c r="AC106" t="s">
        <v>44</v>
      </c>
      <c r="AD106" t="s">
        <v>45</v>
      </c>
      <c r="AE106" t="s">
        <v>46</v>
      </c>
      <c r="AF106" t="str">
        <f t="shared" si="5"/>
        <v>non-charge-altering-copy1</v>
      </c>
      <c r="AG106" t="s">
        <v>90</v>
      </c>
      <c r="AH106" t="s">
        <v>33</v>
      </c>
      <c r="AI106" t="str">
        <f t="shared" si="3"/>
        <v>H3 E50D</v>
      </c>
    </row>
    <row r="107" spans="1:35">
      <c r="A107" t="s">
        <v>402</v>
      </c>
      <c r="B107" t="s">
        <v>403</v>
      </c>
      <c r="C107" t="s">
        <v>185</v>
      </c>
      <c r="D107" t="s">
        <v>32</v>
      </c>
      <c r="E107" t="s">
        <v>186</v>
      </c>
      <c r="F107" t="s">
        <v>89</v>
      </c>
      <c r="G107" t="s">
        <v>33</v>
      </c>
      <c r="H107">
        <v>64</v>
      </c>
      <c r="I107">
        <v>154</v>
      </c>
      <c r="J107">
        <v>64</v>
      </c>
      <c r="K107">
        <v>63</v>
      </c>
      <c r="L107" t="s">
        <v>49</v>
      </c>
      <c r="M107" t="s">
        <v>403</v>
      </c>
      <c r="N107" t="s">
        <v>90</v>
      </c>
      <c r="O107" t="s">
        <v>91</v>
      </c>
      <c r="P107" t="s">
        <v>92</v>
      </c>
      <c r="Q107" t="s">
        <v>49</v>
      </c>
      <c r="R107" t="s">
        <v>93</v>
      </c>
      <c r="S107">
        <v>64</v>
      </c>
      <c r="T107" t="s">
        <v>49</v>
      </c>
      <c r="U107" t="s">
        <v>26</v>
      </c>
      <c r="V107" t="s">
        <v>404</v>
      </c>
      <c r="W107" t="s">
        <v>405</v>
      </c>
      <c r="X107" t="s">
        <v>405</v>
      </c>
      <c r="Y107">
        <v>0.705</v>
      </c>
      <c r="Z107">
        <v>0.088170444</v>
      </c>
      <c r="AA107" t="s">
        <v>102</v>
      </c>
      <c r="AB107" t="s">
        <v>50</v>
      </c>
      <c r="AC107" t="s">
        <v>44</v>
      </c>
      <c r="AD107" t="s">
        <v>45</v>
      </c>
      <c r="AE107" t="s">
        <v>46</v>
      </c>
      <c r="AF107" t="str">
        <f t="shared" si="5"/>
        <v>non-charge-altering-copy1</v>
      </c>
      <c r="AG107" t="s">
        <v>90</v>
      </c>
      <c r="AH107" t="s">
        <v>33</v>
      </c>
      <c r="AI107" t="str">
        <f t="shared" si="3"/>
        <v>H3 R63H</v>
      </c>
    </row>
    <row r="108" spans="1:35">
      <c r="A108" t="s">
        <v>406</v>
      </c>
      <c r="B108" t="s">
        <v>407</v>
      </c>
      <c r="C108" t="s">
        <v>185</v>
      </c>
      <c r="D108" t="s">
        <v>32</v>
      </c>
      <c r="E108" t="s">
        <v>186</v>
      </c>
      <c r="F108" t="s">
        <v>89</v>
      </c>
      <c r="G108" t="s">
        <v>33</v>
      </c>
      <c r="H108">
        <v>67</v>
      </c>
      <c r="I108">
        <v>157</v>
      </c>
      <c r="J108">
        <v>67</v>
      </c>
      <c r="K108">
        <v>66</v>
      </c>
      <c r="L108" t="s">
        <v>51</v>
      </c>
      <c r="M108" t="s">
        <v>407</v>
      </c>
      <c r="N108" t="s">
        <v>90</v>
      </c>
      <c r="O108" t="s">
        <v>91</v>
      </c>
      <c r="P108" t="s">
        <v>92</v>
      </c>
      <c r="Q108" t="s">
        <v>51</v>
      </c>
      <c r="R108" t="s">
        <v>93</v>
      </c>
      <c r="S108">
        <v>67</v>
      </c>
      <c r="T108" t="s">
        <v>51</v>
      </c>
      <c r="U108" t="s">
        <v>48</v>
      </c>
      <c r="V108" t="s">
        <v>408</v>
      </c>
      <c r="W108" t="s">
        <v>409</v>
      </c>
      <c r="X108" t="s">
        <v>409</v>
      </c>
      <c r="Y108">
        <v>1.568</v>
      </c>
      <c r="Z108">
        <v>0.004073705</v>
      </c>
      <c r="AA108" t="s">
        <v>102</v>
      </c>
      <c r="AB108" t="s">
        <v>43</v>
      </c>
      <c r="AC108" t="s">
        <v>44</v>
      </c>
      <c r="AD108" t="s">
        <v>45</v>
      </c>
      <c r="AE108" t="s">
        <v>46</v>
      </c>
      <c r="AF108" t="str">
        <f t="shared" si="5"/>
        <v>non-charge-altering-copy1</v>
      </c>
      <c r="AG108" t="s">
        <v>90</v>
      </c>
      <c r="AH108" t="s">
        <v>33</v>
      </c>
      <c r="AI108" t="str">
        <f t="shared" si="3"/>
        <v>H3 P66S</v>
      </c>
    </row>
    <row r="109" spans="1:35">
      <c r="A109" t="s">
        <v>410</v>
      </c>
      <c r="B109" t="s">
        <v>411</v>
      </c>
      <c r="C109" t="s">
        <v>185</v>
      </c>
      <c r="D109" t="s">
        <v>32</v>
      </c>
      <c r="E109" t="s">
        <v>186</v>
      </c>
      <c r="F109" t="s">
        <v>89</v>
      </c>
      <c r="G109" t="s">
        <v>33</v>
      </c>
      <c r="H109">
        <v>83</v>
      </c>
      <c r="I109">
        <v>176</v>
      </c>
      <c r="J109">
        <v>83</v>
      </c>
      <c r="K109">
        <v>82</v>
      </c>
      <c r="L109" t="s">
        <v>28</v>
      </c>
      <c r="M109" t="s">
        <v>411</v>
      </c>
      <c r="N109" t="s">
        <v>90</v>
      </c>
      <c r="O109" t="s">
        <v>91</v>
      </c>
      <c r="P109" t="s">
        <v>92</v>
      </c>
      <c r="Q109" t="s">
        <v>28</v>
      </c>
      <c r="R109" t="s">
        <v>93</v>
      </c>
      <c r="S109">
        <v>83</v>
      </c>
      <c r="T109" t="s">
        <v>28</v>
      </c>
      <c r="U109" t="s">
        <v>31</v>
      </c>
      <c r="V109" t="s">
        <v>412</v>
      </c>
      <c r="W109" t="s">
        <v>413</v>
      </c>
      <c r="X109" t="s">
        <v>413</v>
      </c>
      <c r="Y109">
        <v>-0.023</v>
      </c>
      <c r="Z109">
        <v>0.10482045</v>
      </c>
      <c r="AA109" t="s">
        <v>102</v>
      </c>
      <c r="AB109" t="s">
        <v>43</v>
      </c>
      <c r="AC109" t="s">
        <v>44</v>
      </c>
      <c r="AD109" t="s">
        <v>45</v>
      </c>
      <c r="AE109" t="s">
        <v>46</v>
      </c>
      <c r="AF109" t="str">
        <f t="shared" si="5"/>
        <v>non-charge-altering-copy1</v>
      </c>
      <c r="AG109" t="s">
        <v>90</v>
      </c>
      <c r="AH109" t="s">
        <v>33</v>
      </c>
      <c r="AI109" t="str">
        <f t="shared" si="3"/>
        <v>H3 L82F</v>
      </c>
    </row>
    <row r="110" spans="1:35">
      <c r="A110" t="s">
        <v>414</v>
      </c>
      <c r="B110" t="s">
        <v>415</v>
      </c>
      <c r="C110" t="s">
        <v>185</v>
      </c>
      <c r="D110" t="s">
        <v>32</v>
      </c>
      <c r="E110" t="s">
        <v>186</v>
      </c>
      <c r="F110" t="s">
        <v>89</v>
      </c>
      <c r="G110" t="s">
        <v>33</v>
      </c>
      <c r="H110">
        <v>85</v>
      </c>
      <c r="I110">
        <v>178</v>
      </c>
      <c r="J110">
        <v>85</v>
      </c>
      <c r="K110">
        <v>84</v>
      </c>
      <c r="L110" t="s">
        <v>31</v>
      </c>
      <c r="M110" t="s">
        <v>415</v>
      </c>
      <c r="N110" t="s">
        <v>90</v>
      </c>
      <c r="O110" t="s">
        <v>91</v>
      </c>
      <c r="P110" t="s">
        <v>92</v>
      </c>
      <c r="Q110" t="s">
        <v>31</v>
      </c>
      <c r="R110" t="s">
        <v>93</v>
      </c>
      <c r="S110">
        <v>85</v>
      </c>
      <c r="T110" t="s">
        <v>31</v>
      </c>
      <c r="U110" t="s">
        <v>28</v>
      </c>
      <c r="V110" t="s">
        <v>416</v>
      </c>
      <c r="W110" t="s">
        <v>417</v>
      </c>
      <c r="X110" t="s">
        <v>417</v>
      </c>
      <c r="Y110">
        <v>-0.332</v>
      </c>
      <c r="Z110">
        <v>0.021271206</v>
      </c>
      <c r="AA110" t="s">
        <v>102</v>
      </c>
      <c r="AB110" t="s">
        <v>43</v>
      </c>
      <c r="AC110" t="s">
        <v>44</v>
      </c>
      <c r="AD110" t="s">
        <v>45</v>
      </c>
      <c r="AE110" t="s">
        <v>46</v>
      </c>
      <c r="AF110" t="str">
        <f t="shared" si="5"/>
        <v>non-charge-altering-copy1</v>
      </c>
      <c r="AG110" t="s">
        <v>90</v>
      </c>
      <c r="AH110" t="s">
        <v>33</v>
      </c>
      <c r="AI110" t="str">
        <f t="shared" si="3"/>
        <v>H3 F84L</v>
      </c>
    </row>
    <row r="111" spans="1:35">
      <c r="A111" t="s">
        <v>418</v>
      </c>
      <c r="B111" t="s">
        <v>419</v>
      </c>
      <c r="C111" t="s">
        <v>185</v>
      </c>
      <c r="D111" t="s">
        <v>32</v>
      </c>
      <c r="E111" t="s">
        <v>186</v>
      </c>
      <c r="F111" t="s">
        <v>89</v>
      </c>
      <c r="G111" t="s">
        <v>33</v>
      </c>
      <c r="H111">
        <v>87</v>
      </c>
      <c r="I111">
        <v>180</v>
      </c>
      <c r="J111">
        <v>87</v>
      </c>
      <c r="K111">
        <v>86</v>
      </c>
      <c r="L111" t="s">
        <v>48</v>
      </c>
      <c r="M111" t="s">
        <v>419</v>
      </c>
      <c r="N111" t="s">
        <v>90</v>
      </c>
      <c r="O111" t="s">
        <v>91</v>
      </c>
      <c r="P111" t="s">
        <v>92</v>
      </c>
      <c r="Q111" t="s">
        <v>48</v>
      </c>
      <c r="R111" t="s">
        <v>93</v>
      </c>
      <c r="S111">
        <v>87</v>
      </c>
      <c r="T111" t="s">
        <v>48</v>
      </c>
      <c r="U111" t="s">
        <v>34</v>
      </c>
      <c r="V111" t="s">
        <v>420</v>
      </c>
      <c r="W111" t="s">
        <v>421</v>
      </c>
      <c r="X111" t="s">
        <v>421</v>
      </c>
      <c r="Y111">
        <v>0.38</v>
      </c>
      <c r="Z111">
        <v>0.336820728</v>
      </c>
      <c r="AA111" t="s">
        <v>93</v>
      </c>
      <c r="AB111" t="s">
        <v>43</v>
      </c>
      <c r="AC111" t="s">
        <v>44</v>
      </c>
      <c r="AD111" t="s">
        <v>45</v>
      </c>
      <c r="AE111" t="s">
        <v>46</v>
      </c>
      <c r="AF111" t="str">
        <f t="shared" si="5"/>
        <v>non-charge-altering-copy1</v>
      </c>
      <c r="AG111" t="s">
        <v>90</v>
      </c>
      <c r="AH111" t="s">
        <v>33</v>
      </c>
      <c r="AI111" t="str">
        <f t="shared" si="3"/>
        <v>H3 S86N</v>
      </c>
    </row>
    <row r="112" spans="1:35">
      <c r="A112" t="s">
        <v>422</v>
      </c>
      <c r="B112" t="s">
        <v>419</v>
      </c>
      <c r="C112" t="s">
        <v>185</v>
      </c>
      <c r="D112" t="s">
        <v>32</v>
      </c>
      <c r="E112" t="s">
        <v>186</v>
      </c>
      <c r="F112" t="s">
        <v>89</v>
      </c>
      <c r="G112" t="s">
        <v>33</v>
      </c>
      <c r="H112">
        <v>87</v>
      </c>
      <c r="I112">
        <v>180</v>
      </c>
      <c r="J112">
        <v>87</v>
      </c>
      <c r="K112">
        <v>86</v>
      </c>
      <c r="L112" t="s">
        <v>48</v>
      </c>
      <c r="M112" t="s">
        <v>419</v>
      </c>
      <c r="N112" t="s">
        <v>90</v>
      </c>
      <c r="O112" t="s">
        <v>91</v>
      </c>
      <c r="P112" t="s">
        <v>92</v>
      </c>
      <c r="Q112" t="s">
        <v>48</v>
      </c>
      <c r="R112" t="s">
        <v>93</v>
      </c>
      <c r="S112">
        <v>87</v>
      </c>
      <c r="T112" t="s">
        <v>48</v>
      </c>
      <c r="U112" t="s">
        <v>47</v>
      </c>
      <c r="V112" t="s">
        <v>423</v>
      </c>
      <c r="W112" t="s">
        <v>424</v>
      </c>
      <c r="X112" t="s">
        <v>424</v>
      </c>
      <c r="Y112">
        <v>0.38</v>
      </c>
      <c r="Z112">
        <v>0.336820728</v>
      </c>
      <c r="AA112" t="s">
        <v>93</v>
      </c>
      <c r="AB112" t="s">
        <v>43</v>
      </c>
      <c r="AC112" t="s">
        <v>44</v>
      </c>
      <c r="AD112" t="s">
        <v>45</v>
      </c>
      <c r="AE112" t="s">
        <v>46</v>
      </c>
      <c r="AF112" t="str">
        <f t="shared" si="5"/>
        <v>non-charge-altering-copy1</v>
      </c>
      <c r="AG112" t="s">
        <v>90</v>
      </c>
      <c r="AH112" t="s">
        <v>33</v>
      </c>
      <c r="AI112" t="str">
        <f t="shared" si="3"/>
        <v>H3 S86T</v>
      </c>
    </row>
    <row r="113" spans="1:35">
      <c r="A113" t="s">
        <v>425</v>
      </c>
      <c r="B113" t="s">
        <v>426</v>
      </c>
      <c r="C113" t="s">
        <v>185</v>
      </c>
      <c r="D113" t="s">
        <v>18</v>
      </c>
      <c r="E113" t="s">
        <v>186</v>
      </c>
      <c r="F113" t="s">
        <v>89</v>
      </c>
      <c r="G113" t="s">
        <v>33</v>
      </c>
      <c r="H113">
        <v>118</v>
      </c>
      <c r="I113">
        <v>211</v>
      </c>
      <c r="J113">
        <v>118</v>
      </c>
      <c r="K113">
        <v>117</v>
      </c>
      <c r="L113" t="s">
        <v>42</v>
      </c>
      <c r="M113" t="s">
        <v>426</v>
      </c>
      <c r="N113" t="s">
        <v>90</v>
      </c>
      <c r="O113" t="s">
        <v>91</v>
      </c>
      <c r="P113" t="s">
        <v>92</v>
      </c>
      <c r="Q113" t="s">
        <v>42</v>
      </c>
      <c r="R113" t="s">
        <v>93</v>
      </c>
      <c r="S113">
        <v>118</v>
      </c>
      <c r="T113" t="s">
        <v>42</v>
      </c>
      <c r="U113" t="s">
        <v>53</v>
      </c>
      <c r="V113" t="s">
        <v>373</v>
      </c>
      <c r="W113" t="s">
        <v>374</v>
      </c>
      <c r="X113" t="s">
        <v>374</v>
      </c>
      <c r="Y113">
        <v>1.931</v>
      </c>
      <c r="Z113">
        <v>0.115138765</v>
      </c>
      <c r="AA113" t="s">
        <v>102</v>
      </c>
      <c r="AB113" t="s">
        <v>43</v>
      </c>
      <c r="AC113" t="s">
        <v>44</v>
      </c>
      <c r="AD113" t="s">
        <v>45</v>
      </c>
      <c r="AE113" t="s">
        <v>46</v>
      </c>
      <c r="AF113" t="str">
        <f t="shared" si="5"/>
        <v>non-charge-altering-copy2</v>
      </c>
      <c r="AG113" t="s">
        <v>90</v>
      </c>
      <c r="AH113" t="s">
        <v>33</v>
      </c>
      <c r="AI113" t="str">
        <f t="shared" si="3"/>
        <v>H3 V117M</v>
      </c>
    </row>
    <row r="114" spans="1:35">
      <c r="A114" t="s">
        <v>427</v>
      </c>
      <c r="B114" t="s">
        <v>426</v>
      </c>
      <c r="C114" t="s">
        <v>185</v>
      </c>
      <c r="D114" t="s">
        <v>18</v>
      </c>
      <c r="E114" t="s">
        <v>186</v>
      </c>
      <c r="F114" t="s">
        <v>89</v>
      </c>
      <c r="G114" t="s">
        <v>33</v>
      </c>
      <c r="H114">
        <v>118</v>
      </c>
      <c r="I114">
        <v>211</v>
      </c>
      <c r="J114">
        <v>118</v>
      </c>
      <c r="K114">
        <v>117</v>
      </c>
      <c r="L114" t="s">
        <v>42</v>
      </c>
      <c r="M114" t="s">
        <v>426</v>
      </c>
      <c r="N114" t="s">
        <v>90</v>
      </c>
      <c r="O114" t="s">
        <v>91</v>
      </c>
      <c r="P114" t="s">
        <v>92</v>
      </c>
      <c r="Q114" t="s">
        <v>42</v>
      </c>
      <c r="R114" t="s">
        <v>93</v>
      </c>
      <c r="S114">
        <v>118</v>
      </c>
      <c r="T114" t="s">
        <v>42</v>
      </c>
      <c r="U114" t="s">
        <v>41</v>
      </c>
      <c r="V114" t="s">
        <v>376</v>
      </c>
      <c r="W114" t="s">
        <v>377</v>
      </c>
      <c r="X114" t="s">
        <v>377</v>
      </c>
      <c r="Y114">
        <v>2.021</v>
      </c>
      <c r="Z114">
        <v>0.115138765</v>
      </c>
      <c r="AA114" t="s">
        <v>102</v>
      </c>
      <c r="AB114" t="s">
        <v>43</v>
      </c>
      <c r="AC114" t="s">
        <v>44</v>
      </c>
      <c r="AD114" t="s">
        <v>45</v>
      </c>
      <c r="AE114" t="s">
        <v>46</v>
      </c>
      <c r="AF114" t="str">
        <f t="shared" si="5"/>
        <v>non-charge-altering-copy2</v>
      </c>
      <c r="AG114" t="s">
        <v>90</v>
      </c>
      <c r="AH114" t="s">
        <v>33</v>
      </c>
      <c r="AI114" t="str">
        <f t="shared" si="3"/>
        <v>H3 V117G</v>
      </c>
    </row>
    <row r="115" spans="1:35">
      <c r="A115" t="s">
        <v>428</v>
      </c>
      <c r="B115" t="s">
        <v>429</v>
      </c>
      <c r="C115" t="s">
        <v>185</v>
      </c>
      <c r="D115" t="s">
        <v>18</v>
      </c>
      <c r="E115" t="s">
        <v>186</v>
      </c>
      <c r="F115" t="s">
        <v>89</v>
      </c>
      <c r="G115" t="s">
        <v>33</v>
      </c>
      <c r="H115">
        <v>121</v>
      </c>
      <c r="I115">
        <v>214</v>
      </c>
      <c r="J115">
        <v>121</v>
      </c>
      <c r="K115">
        <v>120</v>
      </c>
      <c r="L115" t="s">
        <v>53</v>
      </c>
      <c r="M115" t="s">
        <v>429</v>
      </c>
      <c r="N115" t="s">
        <v>90</v>
      </c>
      <c r="O115" t="s">
        <v>91</v>
      </c>
      <c r="P115" t="s">
        <v>92</v>
      </c>
      <c r="Q115" t="s">
        <v>53</v>
      </c>
      <c r="R115" t="s">
        <v>93</v>
      </c>
      <c r="S115">
        <v>121</v>
      </c>
      <c r="T115" t="s">
        <v>53</v>
      </c>
      <c r="U115" t="s">
        <v>62</v>
      </c>
      <c r="V115" t="s">
        <v>380</v>
      </c>
      <c r="W115" t="s">
        <v>381</v>
      </c>
      <c r="X115" t="s">
        <v>381</v>
      </c>
      <c r="Y115">
        <v>1.167</v>
      </c>
      <c r="Z115">
        <v>0.081093912</v>
      </c>
      <c r="AA115" t="s">
        <v>102</v>
      </c>
      <c r="AB115" t="s">
        <v>43</v>
      </c>
      <c r="AC115" t="s">
        <v>44</v>
      </c>
      <c r="AD115" t="s">
        <v>45</v>
      </c>
      <c r="AE115" t="s">
        <v>46</v>
      </c>
      <c r="AF115" t="str">
        <f t="shared" si="5"/>
        <v>non-charge-altering-copy2</v>
      </c>
      <c r="AG115" t="s">
        <v>90</v>
      </c>
      <c r="AH115" t="s">
        <v>33</v>
      </c>
      <c r="AI115" t="str">
        <f t="shared" si="3"/>
        <v>H3 M120I</v>
      </c>
    </row>
    <row r="116" spans="1:35">
      <c r="A116" t="s">
        <v>430</v>
      </c>
      <c r="B116" t="s">
        <v>270</v>
      </c>
      <c r="C116" t="s">
        <v>185</v>
      </c>
      <c r="D116" t="s">
        <v>18</v>
      </c>
      <c r="E116" t="s">
        <v>186</v>
      </c>
      <c r="F116" t="s">
        <v>89</v>
      </c>
      <c r="G116" t="s">
        <v>33</v>
      </c>
      <c r="H116">
        <v>45</v>
      </c>
      <c r="I116">
        <v>135</v>
      </c>
      <c r="J116">
        <v>45</v>
      </c>
      <c r="K116">
        <v>44</v>
      </c>
      <c r="L116" t="s">
        <v>41</v>
      </c>
      <c r="M116" t="s">
        <v>270</v>
      </c>
      <c r="N116" t="s">
        <v>90</v>
      </c>
      <c r="O116" t="s">
        <v>91</v>
      </c>
      <c r="P116" t="s">
        <v>92</v>
      </c>
      <c r="Q116" t="s">
        <v>41</v>
      </c>
      <c r="R116" t="s">
        <v>93</v>
      </c>
      <c r="S116">
        <v>45</v>
      </c>
      <c r="T116" t="s">
        <v>41</v>
      </c>
      <c r="U116" t="s">
        <v>42</v>
      </c>
      <c r="V116" t="s">
        <v>383</v>
      </c>
      <c r="W116" t="s">
        <v>384</v>
      </c>
      <c r="X116" t="s">
        <v>384</v>
      </c>
      <c r="Y116">
        <v>0.742</v>
      </c>
      <c r="Z116">
        <v>0.040909642</v>
      </c>
      <c r="AA116" t="s">
        <v>102</v>
      </c>
      <c r="AB116" t="s">
        <v>43</v>
      </c>
      <c r="AC116" t="s">
        <v>44</v>
      </c>
      <c r="AD116" t="s">
        <v>45</v>
      </c>
      <c r="AE116" t="s">
        <v>46</v>
      </c>
      <c r="AF116" t="str">
        <f t="shared" si="5"/>
        <v>non-charge-altering-copy2</v>
      </c>
      <c r="AG116" t="s">
        <v>90</v>
      </c>
      <c r="AH116" t="s">
        <v>33</v>
      </c>
      <c r="AI116" t="str">
        <f t="shared" si="3"/>
        <v>H3 G44V</v>
      </c>
    </row>
    <row r="117" spans="1:35">
      <c r="A117" t="s">
        <v>431</v>
      </c>
      <c r="B117" t="s">
        <v>432</v>
      </c>
      <c r="C117" t="s">
        <v>185</v>
      </c>
      <c r="D117" t="s">
        <v>18</v>
      </c>
      <c r="E117" t="s">
        <v>186</v>
      </c>
      <c r="F117" t="s">
        <v>89</v>
      </c>
      <c r="G117" t="s">
        <v>33</v>
      </c>
      <c r="H117">
        <v>47</v>
      </c>
      <c r="I117">
        <v>137</v>
      </c>
      <c r="J117">
        <v>47</v>
      </c>
      <c r="K117">
        <v>46</v>
      </c>
      <c r="L117" t="s">
        <v>42</v>
      </c>
      <c r="M117" t="s">
        <v>432</v>
      </c>
      <c r="N117" t="s">
        <v>90</v>
      </c>
      <c r="O117" t="s">
        <v>91</v>
      </c>
      <c r="P117" t="s">
        <v>92</v>
      </c>
      <c r="Q117" t="s">
        <v>42</v>
      </c>
      <c r="R117" t="s">
        <v>93</v>
      </c>
      <c r="S117">
        <v>47</v>
      </c>
      <c r="T117" t="s">
        <v>42</v>
      </c>
      <c r="U117" t="s">
        <v>53</v>
      </c>
      <c r="V117" t="s">
        <v>387</v>
      </c>
      <c r="W117" t="s">
        <v>388</v>
      </c>
      <c r="X117" t="s">
        <v>388</v>
      </c>
      <c r="Y117">
        <v>-0.097</v>
      </c>
      <c r="Z117">
        <v>0.078139651</v>
      </c>
      <c r="AA117" t="s">
        <v>102</v>
      </c>
      <c r="AB117" t="s">
        <v>43</v>
      </c>
      <c r="AC117" t="s">
        <v>44</v>
      </c>
      <c r="AD117" t="s">
        <v>45</v>
      </c>
      <c r="AE117" t="s">
        <v>46</v>
      </c>
      <c r="AF117" t="str">
        <f t="shared" si="5"/>
        <v>non-charge-altering-copy2</v>
      </c>
      <c r="AG117" t="s">
        <v>90</v>
      </c>
      <c r="AH117" t="s">
        <v>33</v>
      </c>
      <c r="AI117" t="str">
        <f t="shared" si="3"/>
        <v>H3 V46M</v>
      </c>
    </row>
    <row r="118" spans="1:35">
      <c r="A118" t="s">
        <v>433</v>
      </c>
      <c r="B118" t="s">
        <v>272</v>
      </c>
      <c r="C118" t="s">
        <v>185</v>
      </c>
      <c r="D118" t="s">
        <v>18</v>
      </c>
      <c r="E118" t="s">
        <v>186</v>
      </c>
      <c r="F118" t="s">
        <v>89</v>
      </c>
      <c r="G118" t="s">
        <v>33</v>
      </c>
      <c r="H118">
        <v>48</v>
      </c>
      <c r="I118">
        <v>138</v>
      </c>
      <c r="J118">
        <v>48</v>
      </c>
      <c r="K118">
        <v>47</v>
      </c>
      <c r="L118" t="s">
        <v>32</v>
      </c>
      <c r="M118" t="s">
        <v>272</v>
      </c>
      <c r="N118" t="s">
        <v>90</v>
      </c>
      <c r="O118" t="s">
        <v>91</v>
      </c>
      <c r="P118" t="s">
        <v>92</v>
      </c>
      <c r="Q118" t="s">
        <v>32</v>
      </c>
      <c r="R118" t="s">
        <v>93</v>
      </c>
      <c r="S118">
        <v>48</v>
      </c>
      <c r="T118" t="s">
        <v>32</v>
      </c>
      <c r="U118" t="s">
        <v>48</v>
      </c>
      <c r="V118" t="s">
        <v>390</v>
      </c>
      <c r="W118" t="s">
        <v>391</v>
      </c>
      <c r="X118" t="s">
        <v>391</v>
      </c>
      <c r="Y118">
        <v>0.486</v>
      </c>
      <c r="Z118">
        <v>0.001144938</v>
      </c>
      <c r="AA118" t="s">
        <v>102</v>
      </c>
      <c r="AB118" t="s">
        <v>43</v>
      </c>
      <c r="AC118" t="s">
        <v>44</v>
      </c>
      <c r="AD118" t="s">
        <v>45</v>
      </c>
      <c r="AE118" t="s">
        <v>46</v>
      </c>
      <c r="AF118" t="str">
        <f t="shared" si="5"/>
        <v>non-charge-altering-copy2</v>
      </c>
      <c r="AG118" t="s">
        <v>90</v>
      </c>
      <c r="AH118" t="s">
        <v>33</v>
      </c>
      <c r="AI118" t="str">
        <f t="shared" si="3"/>
        <v>H3 A47S</v>
      </c>
    </row>
    <row r="119" spans="1:35">
      <c r="A119" t="s">
        <v>434</v>
      </c>
      <c r="B119" t="s">
        <v>272</v>
      </c>
      <c r="C119" t="s">
        <v>185</v>
      </c>
      <c r="D119" t="s">
        <v>18</v>
      </c>
      <c r="E119" t="s">
        <v>186</v>
      </c>
      <c r="F119" t="s">
        <v>89</v>
      </c>
      <c r="G119" t="s">
        <v>33</v>
      </c>
      <c r="H119">
        <v>48</v>
      </c>
      <c r="I119">
        <v>138</v>
      </c>
      <c r="J119">
        <v>48</v>
      </c>
      <c r="K119">
        <v>47</v>
      </c>
      <c r="L119" t="s">
        <v>32</v>
      </c>
      <c r="M119" t="s">
        <v>272</v>
      </c>
      <c r="N119" t="s">
        <v>90</v>
      </c>
      <c r="O119" t="s">
        <v>91</v>
      </c>
      <c r="P119" t="s">
        <v>92</v>
      </c>
      <c r="Q119" t="s">
        <v>32</v>
      </c>
      <c r="R119" t="s">
        <v>93</v>
      </c>
      <c r="S119">
        <v>48</v>
      </c>
      <c r="T119" t="s">
        <v>32</v>
      </c>
      <c r="U119" t="s">
        <v>47</v>
      </c>
      <c r="V119" t="s">
        <v>393</v>
      </c>
      <c r="W119" t="s">
        <v>394</v>
      </c>
      <c r="X119" t="s">
        <v>394</v>
      </c>
      <c r="Y119">
        <v>0.486</v>
      </c>
      <c r="Z119">
        <v>0.001144938</v>
      </c>
      <c r="AA119" t="s">
        <v>102</v>
      </c>
      <c r="AB119" t="s">
        <v>43</v>
      </c>
      <c r="AC119" t="s">
        <v>44</v>
      </c>
      <c r="AD119" t="s">
        <v>45</v>
      </c>
      <c r="AE119" t="s">
        <v>46</v>
      </c>
      <c r="AF119" t="str">
        <f t="shared" si="5"/>
        <v>non-charge-altering-copy2</v>
      </c>
      <c r="AG119" t="s">
        <v>90</v>
      </c>
      <c r="AH119" t="s">
        <v>33</v>
      </c>
      <c r="AI119" t="str">
        <f t="shared" si="3"/>
        <v>H3 A47T</v>
      </c>
    </row>
    <row r="120" spans="1:35">
      <c r="A120" t="s">
        <v>435</v>
      </c>
      <c r="B120" t="s">
        <v>436</v>
      </c>
      <c r="C120" t="s">
        <v>185</v>
      </c>
      <c r="D120" t="s">
        <v>18</v>
      </c>
      <c r="E120" t="s">
        <v>186</v>
      </c>
      <c r="F120" t="s">
        <v>89</v>
      </c>
      <c r="G120" t="s">
        <v>33</v>
      </c>
      <c r="H120">
        <v>50</v>
      </c>
      <c r="I120">
        <v>140</v>
      </c>
      <c r="J120">
        <v>50</v>
      </c>
      <c r="K120">
        <v>49</v>
      </c>
      <c r="L120" t="s">
        <v>49</v>
      </c>
      <c r="M120" t="s">
        <v>436</v>
      </c>
      <c r="N120" t="s">
        <v>90</v>
      </c>
      <c r="O120" t="s">
        <v>91</v>
      </c>
      <c r="P120" t="s">
        <v>92</v>
      </c>
      <c r="Q120" t="s">
        <v>49</v>
      </c>
      <c r="R120" t="s">
        <v>93</v>
      </c>
      <c r="S120">
        <v>50</v>
      </c>
      <c r="T120" t="s">
        <v>49</v>
      </c>
      <c r="U120" t="s">
        <v>26</v>
      </c>
      <c r="V120" t="s">
        <v>397</v>
      </c>
      <c r="W120" t="s">
        <v>398</v>
      </c>
      <c r="X120" t="s">
        <v>398</v>
      </c>
      <c r="Y120">
        <v>2.385</v>
      </c>
      <c r="Z120">
        <v>0.097801167</v>
      </c>
      <c r="AA120" t="s">
        <v>102</v>
      </c>
      <c r="AB120" t="s">
        <v>50</v>
      </c>
      <c r="AC120" t="s">
        <v>44</v>
      </c>
      <c r="AD120" t="s">
        <v>45</v>
      </c>
      <c r="AE120" t="s">
        <v>46</v>
      </c>
      <c r="AF120" t="str">
        <f t="shared" si="5"/>
        <v>non-charge-altering-copy2</v>
      </c>
      <c r="AG120" t="s">
        <v>90</v>
      </c>
      <c r="AH120" t="s">
        <v>33</v>
      </c>
      <c r="AI120" t="str">
        <f t="shared" si="3"/>
        <v>H3 R49H</v>
      </c>
    </row>
    <row r="121" spans="1:35">
      <c r="A121" t="s">
        <v>437</v>
      </c>
      <c r="B121" t="s">
        <v>236</v>
      </c>
      <c r="C121" t="s">
        <v>185</v>
      </c>
      <c r="D121" t="s">
        <v>18</v>
      </c>
      <c r="E121" t="s">
        <v>186</v>
      </c>
      <c r="F121" t="s">
        <v>89</v>
      </c>
      <c r="G121" t="s">
        <v>33</v>
      </c>
      <c r="H121">
        <v>51</v>
      </c>
      <c r="I121">
        <v>141</v>
      </c>
      <c r="J121">
        <v>51</v>
      </c>
      <c r="K121">
        <v>50</v>
      </c>
      <c r="L121" t="s">
        <v>18</v>
      </c>
      <c r="M121" t="s">
        <v>236</v>
      </c>
      <c r="N121" t="s">
        <v>90</v>
      </c>
      <c r="O121" t="s">
        <v>91</v>
      </c>
      <c r="P121" t="s">
        <v>92</v>
      </c>
      <c r="Q121" t="s">
        <v>18</v>
      </c>
      <c r="R121" t="s">
        <v>93</v>
      </c>
      <c r="S121">
        <v>51</v>
      </c>
      <c r="T121" t="s">
        <v>18</v>
      </c>
      <c r="U121" t="s">
        <v>17</v>
      </c>
      <c r="V121" t="s">
        <v>400</v>
      </c>
      <c r="W121" t="s">
        <v>401</v>
      </c>
      <c r="X121" t="s">
        <v>401</v>
      </c>
      <c r="Y121">
        <v>0.754</v>
      </c>
      <c r="Z121">
        <v>0.12509097</v>
      </c>
      <c r="AA121" t="s">
        <v>102</v>
      </c>
      <c r="AB121" t="s">
        <v>52</v>
      </c>
      <c r="AC121" t="s">
        <v>44</v>
      </c>
      <c r="AD121" t="s">
        <v>45</v>
      </c>
      <c r="AE121" t="s">
        <v>46</v>
      </c>
      <c r="AF121" t="str">
        <f t="shared" si="5"/>
        <v>non-charge-altering-copy2</v>
      </c>
      <c r="AG121" t="s">
        <v>90</v>
      </c>
      <c r="AH121" t="s">
        <v>33</v>
      </c>
      <c r="AI121" t="str">
        <f t="shared" si="3"/>
        <v>H3 E50D</v>
      </c>
    </row>
    <row r="122" spans="1:35">
      <c r="A122" t="s">
        <v>438</v>
      </c>
      <c r="B122" t="s">
        <v>439</v>
      </c>
      <c r="C122" t="s">
        <v>185</v>
      </c>
      <c r="D122" t="s">
        <v>18</v>
      </c>
      <c r="E122" t="s">
        <v>186</v>
      </c>
      <c r="F122" t="s">
        <v>89</v>
      </c>
      <c r="G122" t="s">
        <v>33</v>
      </c>
      <c r="H122">
        <v>64</v>
      </c>
      <c r="I122">
        <v>154</v>
      </c>
      <c r="J122">
        <v>64</v>
      </c>
      <c r="K122">
        <v>63</v>
      </c>
      <c r="L122" t="s">
        <v>49</v>
      </c>
      <c r="M122" t="s">
        <v>439</v>
      </c>
      <c r="N122" t="s">
        <v>90</v>
      </c>
      <c r="O122" t="s">
        <v>91</v>
      </c>
      <c r="P122" t="s">
        <v>92</v>
      </c>
      <c r="Q122" t="s">
        <v>49</v>
      </c>
      <c r="R122" t="s">
        <v>93</v>
      </c>
      <c r="S122">
        <v>64</v>
      </c>
      <c r="T122" t="s">
        <v>49</v>
      </c>
      <c r="U122" t="s">
        <v>26</v>
      </c>
      <c r="V122" t="s">
        <v>404</v>
      </c>
      <c r="W122" t="s">
        <v>405</v>
      </c>
      <c r="X122" t="s">
        <v>405</v>
      </c>
      <c r="Y122">
        <v>0.508</v>
      </c>
      <c r="Z122">
        <v>0.088170444</v>
      </c>
      <c r="AA122" t="s">
        <v>102</v>
      </c>
      <c r="AB122" t="s">
        <v>50</v>
      </c>
      <c r="AC122" t="s">
        <v>44</v>
      </c>
      <c r="AD122" t="s">
        <v>45</v>
      </c>
      <c r="AE122" t="s">
        <v>46</v>
      </c>
      <c r="AF122" t="str">
        <f t="shared" si="5"/>
        <v>non-charge-altering-copy2</v>
      </c>
      <c r="AG122" t="s">
        <v>90</v>
      </c>
      <c r="AH122" t="s">
        <v>33</v>
      </c>
      <c r="AI122" t="str">
        <f t="shared" si="3"/>
        <v>H3 R63H</v>
      </c>
    </row>
    <row r="123" spans="1:35">
      <c r="A123" t="s">
        <v>440</v>
      </c>
      <c r="B123" t="s">
        <v>441</v>
      </c>
      <c r="C123" t="s">
        <v>185</v>
      </c>
      <c r="D123" t="s">
        <v>18</v>
      </c>
      <c r="E123" t="s">
        <v>186</v>
      </c>
      <c r="F123" t="s">
        <v>89</v>
      </c>
      <c r="G123" t="s">
        <v>33</v>
      </c>
      <c r="H123">
        <v>67</v>
      </c>
      <c r="I123">
        <v>157</v>
      </c>
      <c r="J123">
        <v>67</v>
      </c>
      <c r="K123">
        <v>66</v>
      </c>
      <c r="L123" t="s">
        <v>51</v>
      </c>
      <c r="M123" t="s">
        <v>441</v>
      </c>
      <c r="N123" t="s">
        <v>90</v>
      </c>
      <c r="O123" t="s">
        <v>91</v>
      </c>
      <c r="P123" t="s">
        <v>92</v>
      </c>
      <c r="Q123" t="s">
        <v>51</v>
      </c>
      <c r="R123" t="s">
        <v>93</v>
      </c>
      <c r="S123">
        <v>67</v>
      </c>
      <c r="T123" t="s">
        <v>51</v>
      </c>
      <c r="U123" t="s">
        <v>48</v>
      </c>
      <c r="V123" t="s">
        <v>408</v>
      </c>
      <c r="W123" t="s">
        <v>409</v>
      </c>
      <c r="X123" t="s">
        <v>409</v>
      </c>
      <c r="Y123">
        <v>1.576</v>
      </c>
      <c r="Z123">
        <v>0.004073705</v>
      </c>
      <c r="AA123" t="s">
        <v>102</v>
      </c>
      <c r="AB123" t="s">
        <v>43</v>
      </c>
      <c r="AC123" t="s">
        <v>44</v>
      </c>
      <c r="AD123" t="s">
        <v>45</v>
      </c>
      <c r="AE123" t="s">
        <v>46</v>
      </c>
      <c r="AF123" t="str">
        <f t="shared" si="5"/>
        <v>non-charge-altering-copy2</v>
      </c>
      <c r="AG123" t="s">
        <v>90</v>
      </c>
      <c r="AH123" t="s">
        <v>33</v>
      </c>
      <c r="AI123" t="str">
        <f t="shared" si="3"/>
        <v>H3 P66S</v>
      </c>
    </row>
    <row r="124" spans="1:35">
      <c r="A124" t="s">
        <v>442</v>
      </c>
      <c r="B124" t="s">
        <v>443</v>
      </c>
      <c r="C124" t="s">
        <v>185</v>
      </c>
      <c r="D124" t="s">
        <v>18</v>
      </c>
      <c r="E124" t="s">
        <v>186</v>
      </c>
      <c r="F124" t="s">
        <v>89</v>
      </c>
      <c r="G124" t="s">
        <v>33</v>
      </c>
      <c r="H124">
        <v>83</v>
      </c>
      <c r="I124">
        <v>176</v>
      </c>
      <c r="J124">
        <v>83</v>
      </c>
      <c r="K124">
        <v>82</v>
      </c>
      <c r="L124" t="s">
        <v>28</v>
      </c>
      <c r="M124" t="s">
        <v>443</v>
      </c>
      <c r="N124" t="s">
        <v>90</v>
      </c>
      <c r="O124" t="s">
        <v>91</v>
      </c>
      <c r="P124" t="s">
        <v>92</v>
      </c>
      <c r="Q124" t="s">
        <v>28</v>
      </c>
      <c r="R124" t="s">
        <v>93</v>
      </c>
      <c r="S124">
        <v>83</v>
      </c>
      <c r="T124" t="s">
        <v>28</v>
      </c>
      <c r="U124" t="s">
        <v>31</v>
      </c>
      <c r="V124" t="s">
        <v>412</v>
      </c>
      <c r="W124" t="s">
        <v>413</v>
      </c>
      <c r="X124" t="s">
        <v>413</v>
      </c>
      <c r="Y124">
        <v>-0.013</v>
      </c>
      <c r="Z124">
        <v>0.10482045</v>
      </c>
      <c r="AA124" t="s">
        <v>102</v>
      </c>
      <c r="AB124" t="s">
        <v>43</v>
      </c>
      <c r="AC124" t="s">
        <v>44</v>
      </c>
      <c r="AD124" t="s">
        <v>45</v>
      </c>
      <c r="AE124" t="s">
        <v>46</v>
      </c>
      <c r="AF124" t="str">
        <f t="shared" si="5"/>
        <v>non-charge-altering-copy2</v>
      </c>
      <c r="AG124" t="s">
        <v>90</v>
      </c>
      <c r="AH124" t="s">
        <v>33</v>
      </c>
      <c r="AI124" t="str">
        <f t="shared" si="3"/>
        <v>H3 L82F</v>
      </c>
    </row>
    <row r="125" spans="1:35">
      <c r="A125" t="s">
        <v>444</v>
      </c>
      <c r="B125" t="s">
        <v>445</v>
      </c>
      <c r="C125" t="s">
        <v>185</v>
      </c>
      <c r="D125" t="s">
        <v>18</v>
      </c>
      <c r="E125" t="s">
        <v>186</v>
      </c>
      <c r="F125" t="s">
        <v>89</v>
      </c>
      <c r="G125" t="s">
        <v>33</v>
      </c>
      <c r="H125">
        <v>85</v>
      </c>
      <c r="I125">
        <v>178</v>
      </c>
      <c r="J125">
        <v>85</v>
      </c>
      <c r="K125">
        <v>84</v>
      </c>
      <c r="L125" t="s">
        <v>31</v>
      </c>
      <c r="M125" t="s">
        <v>445</v>
      </c>
      <c r="N125" t="s">
        <v>90</v>
      </c>
      <c r="O125" t="s">
        <v>91</v>
      </c>
      <c r="P125" t="s">
        <v>92</v>
      </c>
      <c r="Q125" t="s">
        <v>31</v>
      </c>
      <c r="R125" t="s">
        <v>93</v>
      </c>
      <c r="S125">
        <v>85</v>
      </c>
      <c r="T125" t="s">
        <v>31</v>
      </c>
      <c r="U125" t="s">
        <v>28</v>
      </c>
      <c r="V125" t="s">
        <v>416</v>
      </c>
      <c r="W125" t="s">
        <v>417</v>
      </c>
      <c r="X125" t="s">
        <v>417</v>
      </c>
      <c r="Y125">
        <v>-0.327</v>
      </c>
      <c r="Z125">
        <v>0.021271206</v>
      </c>
      <c r="AA125" t="s">
        <v>102</v>
      </c>
      <c r="AB125" t="s">
        <v>43</v>
      </c>
      <c r="AC125" t="s">
        <v>44</v>
      </c>
      <c r="AD125" t="s">
        <v>45</v>
      </c>
      <c r="AE125" t="s">
        <v>46</v>
      </c>
      <c r="AF125" t="str">
        <f t="shared" si="5"/>
        <v>non-charge-altering-copy2</v>
      </c>
      <c r="AG125" t="s">
        <v>90</v>
      </c>
      <c r="AH125" t="s">
        <v>33</v>
      </c>
      <c r="AI125" t="str">
        <f t="shared" si="3"/>
        <v>H3 F84L</v>
      </c>
    </row>
    <row r="126" spans="1:35">
      <c r="A126" t="s">
        <v>446</v>
      </c>
      <c r="B126" t="s">
        <v>447</v>
      </c>
      <c r="C126" t="s">
        <v>185</v>
      </c>
      <c r="D126" t="s">
        <v>18</v>
      </c>
      <c r="E126" t="s">
        <v>186</v>
      </c>
      <c r="F126" t="s">
        <v>89</v>
      </c>
      <c r="G126" t="s">
        <v>33</v>
      </c>
      <c r="H126">
        <v>87</v>
      </c>
      <c r="I126">
        <v>180</v>
      </c>
      <c r="J126">
        <v>87</v>
      </c>
      <c r="K126">
        <v>86</v>
      </c>
      <c r="L126" t="s">
        <v>48</v>
      </c>
      <c r="M126" t="s">
        <v>447</v>
      </c>
      <c r="N126" t="s">
        <v>90</v>
      </c>
      <c r="O126" t="s">
        <v>91</v>
      </c>
      <c r="P126" t="s">
        <v>92</v>
      </c>
      <c r="Q126" t="s">
        <v>48</v>
      </c>
      <c r="R126" t="s">
        <v>93</v>
      </c>
      <c r="S126">
        <v>87</v>
      </c>
      <c r="T126" t="s">
        <v>48</v>
      </c>
      <c r="U126" t="s">
        <v>34</v>
      </c>
      <c r="V126" t="s">
        <v>420</v>
      </c>
      <c r="W126" t="s">
        <v>421</v>
      </c>
      <c r="X126" t="s">
        <v>421</v>
      </c>
      <c r="Y126">
        <v>0.364</v>
      </c>
      <c r="Z126">
        <v>0.336820728</v>
      </c>
      <c r="AA126" t="s">
        <v>93</v>
      </c>
      <c r="AB126" t="s">
        <v>43</v>
      </c>
      <c r="AC126" t="s">
        <v>44</v>
      </c>
      <c r="AD126" t="s">
        <v>45</v>
      </c>
      <c r="AE126" t="s">
        <v>46</v>
      </c>
      <c r="AF126" t="str">
        <f t="shared" si="5"/>
        <v>non-charge-altering-copy2</v>
      </c>
      <c r="AG126" t="s">
        <v>90</v>
      </c>
      <c r="AH126" t="s">
        <v>33</v>
      </c>
      <c r="AI126" t="str">
        <f t="shared" si="3"/>
        <v>H3 S86N</v>
      </c>
    </row>
    <row r="127" spans="1:35">
      <c r="A127" t="s">
        <v>448</v>
      </c>
      <c r="B127" t="s">
        <v>447</v>
      </c>
      <c r="C127" t="s">
        <v>185</v>
      </c>
      <c r="D127" t="s">
        <v>18</v>
      </c>
      <c r="E127" t="s">
        <v>186</v>
      </c>
      <c r="F127" t="s">
        <v>89</v>
      </c>
      <c r="G127" t="s">
        <v>33</v>
      </c>
      <c r="H127">
        <v>87</v>
      </c>
      <c r="I127">
        <v>180</v>
      </c>
      <c r="J127">
        <v>87</v>
      </c>
      <c r="K127">
        <v>86</v>
      </c>
      <c r="L127" t="s">
        <v>48</v>
      </c>
      <c r="M127" t="s">
        <v>447</v>
      </c>
      <c r="N127" t="s">
        <v>90</v>
      </c>
      <c r="O127" t="s">
        <v>91</v>
      </c>
      <c r="P127" t="s">
        <v>92</v>
      </c>
      <c r="Q127" t="s">
        <v>48</v>
      </c>
      <c r="R127" t="s">
        <v>93</v>
      </c>
      <c r="S127">
        <v>87</v>
      </c>
      <c r="T127" t="s">
        <v>48</v>
      </c>
      <c r="U127" t="s">
        <v>47</v>
      </c>
      <c r="V127" t="s">
        <v>423</v>
      </c>
      <c r="W127" t="s">
        <v>424</v>
      </c>
      <c r="X127" t="s">
        <v>424</v>
      </c>
      <c r="Y127">
        <v>0.364</v>
      </c>
      <c r="Z127">
        <v>0.336820728</v>
      </c>
      <c r="AA127" t="s">
        <v>93</v>
      </c>
      <c r="AB127" t="s">
        <v>43</v>
      </c>
      <c r="AC127" t="s">
        <v>44</v>
      </c>
      <c r="AD127" t="s">
        <v>45</v>
      </c>
      <c r="AE127" t="s">
        <v>46</v>
      </c>
      <c r="AF127" t="str">
        <f t="shared" si="5"/>
        <v>non-charge-altering-copy2</v>
      </c>
      <c r="AG127" t="s">
        <v>90</v>
      </c>
      <c r="AH127" t="s">
        <v>33</v>
      </c>
      <c r="AI127" t="str">
        <f t="shared" si="3"/>
        <v>H3 S86T</v>
      </c>
    </row>
  </sheetData>
  <autoFilter xmlns:etc="http://www.wps.cn/officeDocument/2017/etCustomData" ref="A1:AI127" etc:filterBottomFollowUsedRange="0">
    <extLst/>
  </autoFilter>
  <conditionalFormatting sqref="AI$1:AI$1048576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HPI</vt:lpstr>
      <vt:lpstr>HHI</vt:lpstr>
      <vt:lpstr>HDI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张后芳</cp:lastModifiedBy>
  <dcterms:created xsi:type="dcterms:W3CDTF">2025-11-24T11:22:00Z</dcterms:created>
  <dcterms:modified xsi:type="dcterms:W3CDTF">2026-04-09T20:01:02Z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BAB2CCFE49B5BDB4B0051B69907D1A82_43</vt:lpwstr>
  </property>
  <property fmtid="{D5CDD505-2E9C-101B-9397-08002B2CF9AE}" pid="3" name="KSOProductBuildVer">
    <vt:lpwstr>2052-12.1.2.23578</vt:lpwstr>
  </property>
  <property fmtid="{D5CDD505-2E9C-101B-9397-08002B2CF9AE}" pid="4" name="CalculationRule">
    <vt:i4>0</vt:i4>
  </property>
</Properties>
</file>