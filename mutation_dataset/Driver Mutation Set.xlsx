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56" windowHeight="9420"/>
  </bookViews>
  <sheets>
    <sheet name="Driver Mutation Set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<sst xmlns="http://schemas.openxmlformats.org/spreadsheetml/2006/main" count="3368" uniqueCount="1080">
  <si>
    <t>mutation</t>
  </si>
  <si>
    <t>gene</t>
  </si>
  <si>
    <t>wild_type_residue</t>
  </si>
  <si>
    <t>position</t>
  </si>
  <si>
    <t>canonical_site</t>
  </si>
  <si>
    <t>canonical_residue</t>
  </si>
  <si>
    <t>mutant_residue</t>
  </si>
  <si>
    <t>histone_canonical_position</t>
  </si>
  <si>
    <t>new_mutation(canonical_site)</t>
  </si>
  <si>
    <t>new_mutation(canonical_site-1)</t>
  </si>
  <si>
    <t>sasa(nucleosome)/sasa(residue)</t>
  </si>
  <si>
    <t>Whether residue in surface</t>
  </si>
  <si>
    <t>protein_change</t>
  </si>
  <si>
    <t>mutation_type1</t>
  </si>
  <si>
    <t>mutation_type2</t>
  </si>
  <si>
    <t>histone_type</t>
  </si>
  <si>
    <t>protein_name</t>
  </si>
  <si>
    <t>uniprot_accession</t>
  </si>
  <si>
    <t>mutability</t>
  </si>
  <si>
    <t>observed_mutations</t>
  </si>
  <si>
    <t>cohort_size</t>
  </si>
  <si>
    <t>b_score</t>
  </si>
  <si>
    <t>label</t>
  </si>
  <si>
    <t>cancer_type</t>
  </si>
  <si>
    <t>O75367_E58D</t>
  </si>
  <si>
    <t>MACROH2A1</t>
  </si>
  <si>
    <t>E</t>
  </si>
  <si>
    <t>D</t>
  </si>
  <si>
    <t>H2A_62</t>
  </si>
  <si>
    <t>yes</t>
  </si>
  <si>
    <t>E58D</t>
  </si>
  <si>
    <t>negative to negative</t>
  </si>
  <si>
    <t>non-charge-altering mutation</t>
  </si>
  <si>
    <t>H2A</t>
  </si>
  <si>
    <t>macroH2A.1 histone</t>
  </si>
  <si>
    <t>O75367</t>
  </si>
  <si>
    <t>1.0254759241767887e-07</t>
  </si>
  <si>
    <t>1</t>
  </si>
  <si>
    <t>39</t>
  </si>
  <si>
    <t>3.9993483119368765e-06</t>
  </si>
  <si>
    <t>Driver</t>
  </si>
  <si>
    <t>Pheochromocytoma, malignant</t>
  </si>
  <si>
    <t>P0C0S8_D72G</t>
  </si>
  <si>
    <t>H2AC11</t>
  </si>
  <si>
    <t>G</t>
  </si>
  <si>
    <t>H2A_73</t>
  </si>
  <si>
    <t>D72G</t>
  </si>
  <si>
    <t>negative to no charge</t>
  </si>
  <si>
    <t>a charged residue mutated to a neutral residue</t>
  </si>
  <si>
    <t>H2A clustered histone 11</t>
  </si>
  <si>
    <t>P0C0S8</t>
  </si>
  <si>
    <t>6.288037716073447e-07</t>
  </si>
  <si>
    <t>105</t>
  </si>
  <si>
    <t>6.602223721313755e-05</t>
  </si>
  <si>
    <t>Adenocarcinoma with mixed subtypes</t>
  </si>
  <si>
    <t>Q96KK5_E121K</t>
  </si>
  <si>
    <t>H2AC12</t>
  </si>
  <si>
    <t>K</t>
  </si>
  <si>
    <t>H2A_122</t>
  </si>
  <si>
    <t>none</t>
  </si>
  <si>
    <t>E121K</t>
  </si>
  <si>
    <t>negative to positive</t>
  </si>
  <si>
    <t>flip the net charge of residues</t>
  </si>
  <si>
    <t>H2A clustered histone 12</t>
  </si>
  <si>
    <t>Q96KK5</t>
  </si>
  <si>
    <t>6.2230759702019975e-06</t>
  </si>
  <si>
    <t>2</t>
  </si>
  <si>
    <t>1341</t>
  </si>
  <si>
    <t>3.4602067986326745e-05</t>
  </si>
  <si>
    <t>Squamous cell carcinoma</t>
  </si>
  <si>
    <t>P0C0S8_G2E</t>
  </si>
  <si>
    <t>H2AC13</t>
  </si>
  <si>
    <t>H2A_3</t>
  </si>
  <si>
    <t>G2E</t>
  </si>
  <si>
    <t>no charge to negative</t>
  </si>
  <si>
    <t>a neutral residue mutated to a charged residue</t>
  </si>
  <si>
    <t>H2A clustered histone 13</t>
  </si>
  <si>
    <t>8.105692557158761e-07</t>
  </si>
  <si>
    <t>54</t>
  </si>
  <si>
    <t>4.376979962264314e-05</t>
  </si>
  <si>
    <t>Carcinoma, diffuse type</t>
  </si>
  <si>
    <t>P16104_G8D</t>
  </si>
  <si>
    <t>H2AX</t>
  </si>
  <si>
    <t>H2A_9</t>
  </si>
  <si>
    <t>G8D</t>
  </si>
  <si>
    <t>H2A.X variant histone</t>
  </si>
  <si>
    <t>P16104</t>
  </si>
  <si>
    <t>3.7001106178991e-07</t>
  </si>
  <si>
    <t>83</t>
  </si>
  <si>
    <t>3.071045223466051e-05</t>
  </si>
  <si>
    <t>Leiomyosarcoma</t>
  </si>
  <si>
    <t>Q96KK5_G37D</t>
  </si>
  <si>
    <t>H2A_38</t>
  </si>
  <si>
    <t>no</t>
  </si>
  <si>
    <t>G37D</t>
  </si>
  <si>
    <t>6.011339103162427e-07</t>
  </si>
  <si>
    <t>17</t>
  </si>
  <si>
    <t>1.0219227330294817e-05</t>
  </si>
  <si>
    <t>Mucinous adenocarcinoma, endocervical type</t>
  </si>
  <si>
    <t>Q96QV6_A69E</t>
  </si>
  <si>
    <t>H2AC1</t>
  </si>
  <si>
    <t>A</t>
  </si>
  <si>
    <t>H2A_70</t>
  </si>
  <si>
    <t>A69E</t>
  </si>
  <si>
    <t>H2A clustered histone 1</t>
  </si>
  <si>
    <t>Q96QV6</t>
  </si>
  <si>
    <t>5.437761433357835e-07</t>
  </si>
  <si>
    <t>103</t>
  </si>
  <si>
    <t>5.600738951934996e-05</t>
  </si>
  <si>
    <t>Mucinous adenocarcinoma</t>
  </si>
  <si>
    <t>P04908_G106D</t>
  </si>
  <si>
    <t>H2AC8</t>
  </si>
  <si>
    <t>H2A_107</t>
  </si>
  <si>
    <t>G106D</t>
  </si>
  <si>
    <t>H2A clustered histone 8</t>
  </si>
  <si>
    <t>P04908</t>
  </si>
  <si>
    <t>3.9304909515980313e-07</t>
  </si>
  <si>
    <t>52</t>
  </si>
  <si>
    <t>2.043834809910576e-05</t>
  </si>
  <si>
    <t>Epithelioid mesothelioma, malignant</t>
  </si>
  <si>
    <t>Q93077_G128D</t>
  </si>
  <si>
    <t>H2AC6</t>
  </si>
  <si>
    <t>H2A_129</t>
  </si>
  <si>
    <t>G128D</t>
  </si>
  <si>
    <t>H2A clustered histone 6</t>
  </si>
  <si>
    <t>Q93077</t>
  </si>
  <si>
    <t>4.016249101068681e-07</t>
  </si>
  <si>
    <t>111</t>
  </si>
  <si>
    <t>4.457938028405187e-05</t>
  </si>
  <si>
    <t>Oligodendroglioma</t>
  </si>
  <si>
    <t>P0C0S8_S1C</t>
  </si>
  <si>
    <t>H2AC17</t>
  </si>
  <si>
    <t>S</t>
  </si>
  <si>
    <t>C</t>
  </si>
  <si>
    <t>H2A_2</t>
  </si>
  <si>
    <t>S1C</t>
  </si>
  <si>
    <t>no charge to no charge</t>
  </si>
  <si>
    <t>H2A clustered histone 17</t>
  </si>
  <si>
    <t>2.026700728352537e-07</t>
  </si>
  <si>
    <t>2.2496127322717527e-05</t>
  </si>
  <si>
    <t>Q93077_S1P</t>
  </si>
  <si>
    <t>P</t>
  </si>
  <si>
    <t>S1P</t>
  </si>
  <si>
    <t>1.429099480976248e-07</t>
  </si>
  <si>
    <t>132</t>
  </si>
  <si>
    <t>1.886393657053225e-05</t>
  </si>
  <si>
    <t>Lobular carcinoma</t>
  </si>
  <si>
    <t>P0C0S8_S1F</t>
  </si>
  <si>
    <t>F</t>
  </si>
  <si>
    <t>S1F</t>
  </si>
  <si>
    <t>2.999517077717506e-06</t>
  </si>
  <si>
    <t>26</t>
  </si>
  <si>
    <t>7.798452003244273e-05</t>
  </si>
  <si>
    <t>Basaloid squamous cell carcinoma</t>
  </si>
  <si>
    <t>Q99878_G4V</t>
  </si>
  <si>
    <t>H2AC14</t>
  </si>
  <si>
    <t>V</t>
  </si>
  <si>
    <t>H2A_5</t>
  </si>
  <si>
    <t>G4V</t>
  </si>
  <si>
    <t>H2A clustered histone 14</t>
  </si>
  <si>
    <t>Q99878</t>
  </si>
  <si>
    <t>5.136673361105792e-07</t>
  </si>
  <si>
    <t>2.773765857806987e-05</t>
  </si>
  <si>
    <t>Q93077_A12T</t>
  </si>
  <si>
    <t>T</t>
  </si>
  <si>
    <t>H2A_13</t>
  </si>
  <si>
    <t>A12T</t>
  </si>
  <si>
    <t>3.733929517357737e-06</t>
  </si>
  <si>
    <t>10</t>
  </si>
  <si>
    <t>3.7338667779490633e-05</t>
  </si>
  <si>
    <t>Malignant fibrous histiocytoma</t>
  </si>
  <si>
    <t>O75409_Q17L</t>
  </si>
  <si>
    <t>H2AP</t>
  </si>
  <si>
    <t>Q</t>
  </si>
  <si>
    <t>L</t>
  </si>
  <si>
    <t>H2A_17</t>
  </si>
  <si>
    <t>Q17L</t>
  </si>
  <si>
    <t>H2A.P histone</t>
  </si>
  <si>
    <t>O75409</t>
  </si>
  <si>
    <t>6.572134636506632e-08</t>
  </si>
  <si>
    <t>565</t>
  </si>
  <si>
    <t>3.713187251141938e-05</t>
  </si>
  <si>
    <t>Glioblastoma</t>
  </si>
  <si>
    <t>Q99878_S19Y</t>
  </si>
  <si>
    <t>Y</t>
  </si>
  <si>
    <t>H2A_20</t>
  </si>
  <si>
    <t>S19Y</t>
  </si>
  <si>
    <t>6.943326569253118e-07</t>
  </si>
  <si>
    <t>3.749327360026271e-05</t>
  </si>
  <si>
    <t>Q16777_P26Q</t>
  </si>
  <si>
    <t>H2AC20</t>
  </si>
  <si>
    <t>H2A_27</t>
  </si>
  <si>
    <t>P26Q</t>
  </si>
  <si>
    <t>H2A clustered histone 20</t>
  </si>
  <si>
    <t>Q16777</t>
  </si>
  <si>
    <t>2.849775513347197e-07</t>
  </si>
  <si>
    <t>212</t>
  </si>
  <si>
    <t>6.041342452702242e-05</t>
  </si>
  <si>
    <t>Renal cell carcinoma</t>
  </si>
  <si>
    <t>Q9P0M6_L27V</t>
  </si>
  <si>
    <t>MACROH2A2</t>
  </si>
  <si>
    <t>H2A_31</t>
  </si>
  <si>
    <t>L27V</t>
  </si>
  <si>
    <t>macroH2A.2 histone</t>
  </si>
  <si>
    <t>Q9P0M6</t>
  </si>
  <si>
    <t>2.177672492331695e-07</t>
  </si>
  <si>
    <t>338</t>
  </si>
  <si>
    <t>7.360262944877902e-05</t>
  </si>
  <si>
    <t>Hepatocellular carcinoma</t>
  </si>
  <si>
    <t>P0C0S8_G28S</t>
  </si>
  <si>
    <t>H2A_29</t>
  </si>
  <si>
    <t>G28S</t>
  </si>
  <si>
    <t>1.6183789631751822e-06</t>
  </si>
  <si>
    <t>45</t>
  </si>
  <si>
    <t>7.282446044406667e-05</t>
  </si>
  <si>
    <t>Malignant lymphoma, large B-cell, diffuse</t>
  </si>
  <si>
    <t>P0C0S8_V30G</t>
  </si>
  <si>
    <t>V30G</t>
  </si>
  <si>
    <t>1.2650021463667116e-07</t>
  </si>
  <si>
    <t>319</t>
  </si>
  <si>
    <t>4.035275682707068e-05</t>
  </si>
  <si>
    <t>Transitional cell carcinoma</t>
  </si>
  <si>
    <t>Q96KK5_V30M</t>
  </si>
  <si>
    <t>M</t>
  </si>
  <si>
    <t>V30M</t>
  </si>
  <si>
    <t>7.812737521373235e-07</t>
  </si>
  <si>
    <t>68</t>
  </si>
  <si>
    <t>5.312522470383362e-05</t>
  </si>
  <si>
    <t>Adenocarcinoma, intestinal type</t>
  </si>
  <si>
    <t>O75409_Q36L</t>
  </si>
  <si>
    <t>R</t>
  </si>
  <si>
    <t>H2A_36</t>
  </si>
  <si>
    <t>Q36L</t>
  </si>
  <si>
    <t>7.149216307844597e-08</t>
  </si>
  <si>
    <t>1074</t>
  </si>
  <si>
    <t>7.677963818362422e-05</t>
  </si>
  <si>
    <t>Infiltrating duct carcinoma</t>
  </si>
  <si>
    <t>P0C0S8_V43L</t>
  </si>
  <si>
    <t>H2A_44</t>
  </si>
  <si>
    <t>V43L</t>
  </si>
  <si>
    <t>2.7870754026881883e-07</t>
  </si>
  <si>
    <t>55</t>
  </si>
  <si>
    <t>1.53287993636819e-05</t>
  </si>
  <si>
    <t>Squamous cell carcinoma, large cell, nonkeratinizing</t>
  </si>
  <si>
    <t>P0C0S8_Y50F</t>
  </si>
  <si>
    <t>H2A_51</t>
  </si>
  <si>
    <t>Y50F</t>
  </si>
  <si>
    <t>1.3245511532034016e-07</t>
  </si>
  <si>
    <t>7.483434488298352e-05</t>
  </si>
  <si>
    <t>P0C0S5_A51V</t>
  </si>
  <si>
    <t>H2AZ1</t>
  </si>
  <si>
    <t>H2A_49</t>
  </si>
  <si>
    <t>A51V</t>
  </si>
  <si>
    <t>H2A.Z variant histone 1</t>
  </si>
  <si>
    <t>P0C0S5</t>
  </si>
  <si>
    <t>1.939023451802413e-07</t>
  </si>
  <si>
    <t>7.562163601889514e-06</t>
  </si>
  <si>
    <t>Mixed epithelioid and spindle cell melanoma</t>
  </si>
  <si>
    <t>P0C0S8_A53V</t>
  </si>
  <si>
    <t>H2A_54</t>
  </si>
  <si>
    <t>A53V</t>
  </si>
  <si>
    <t>5.339835644768698e-07</t>
  </si>
  <si>
    <t>59</t>
  </si>
  <si>
    <t>3.150454243720204e-05</t>
  </si>
  <si>
    <t>Seminoma</t>
  </si>
  <si>
    <t>P0C0S8_A53T</t>
  </si>
  <si>
    <t>H2AC15</t>
  </si>
  <si>
    <t>A53T</t>
  </si>
  <si>
    <t>H2A clustered histone 15</t>
  </si>
  <si>
    <t>8.404038849274542e-07</t>
  </si>
  <si>
    <t>89</t>
  </si>
  <si>
    <t>7.479318003859993e-05</t>
  </si>
  <si>
    <t>Squamous cell carcinoma, keratinizing</t>
  </si>
  <si>
    <t>P0C0S8_T59I</t>
  </si>
  <si>
    <t>I</t>
  </si>
  <si>
    <t>H2A_60</t>
  </si>
  <si>
    <t>T59I</t>
  </si>
  <si>
    <t>1.332381776575353e-06</t>
  </si>
  <si>
    <t>5.9955422490667456e-05</t>
  </si>
  <si>
    <t>P04908_A60P</t>
  </si>
  <si>
    <t>H2A_61</t>
  </si>
  <si>
    <t>A60P</t>
  </si>
  <si>
    <t>9.531985944999377e-08</t>
  </si>
  <si>
    <t>608</t>
  </si>
  <si>
    <t>5.7952797979424255e-05</t>
  </si>
  <si>
    <t>Papillary adenocarcinoma</t>
  </si>
  <si>
    <t>P04908_L65V</t>
  </si>
  <si>
    <t>H2A_66</t>
  </si>
  <si>
    <t>L65V</t>
  </si>
  <si>
    <t>9.298694687576159e-07</t>
  </si>
  <si>
    <t>4.184327009484498e-05</t>
  </si>
  <si>
    <t>P0C0S8_I78V</t>
  </si>
  <si>
    <t>H2A_79</t>
  </si>
  <si>
    <t>I78V</t>
  </si>
  <si>
    <t>6.446046689756457e-07</t>
  </si>
  <si>
    <t>2.9006798747677252e-05</t>
  </si>
  <si>
    <t>Q93077_L83F</t>
  </si>
  <si>
    <t>H2A_84</t>
  </si>
  <si>
    <t>L83F</t>
  </si>
  <si>
    <t>3.2082044482129035e-06</t>
  </si>
  <si>
    <t>21</t>
  </si>
  <si>
    <t>6.737013201547372e-05</t>
  </si>
  <si>
    <t>Acinar cell carcinoma</t>
  </si>
  <si>
    <t>Q16777_L93V</t>
  </si>
  <si>
    <t>H2A_94</t>
  </si>
  <si>
    <t>L93V</t>
  </si>
  <si>
    <t>5.902957238568263e-07</t>
  </si>
  <si>
    <t>2.6562962611924688e-05</t>
  </si>
  <si>
    <t>Q96KK5_G98C</t>
  </si>
  <si>
    <t>H2A_99</t>
  </si>
  <si>
    <t>G98C</t>
  </si>
  <si>
    <t>5.030105179049115e-07</t>
  </si>
  <si>
    <t>62</t>
  </si>
  <si>
    <t>3.1186173654890004e-05</t>
  </si>
  <si>
    <t>Papillary transitional cell carcinoma</t>
  </si>
  <si>
    <t>P0C0S8_Q104P</t>
  </si>
  <si>
    <t>H2A_105</t>
  </si>
  <si>
    <t>Q104P</t>
  </si>
  <si>
    <t>1.6307747696675534e-07</t>
  </si>
  <si>
    <t>1.0110753282350587e-05</t>
  </si>
  <si>
    <t>P0C0S8_A126P</t>
  </si>
  <si>
    <t>H2A_127</t>
  </si>
  <si>
    <t>A126P</t>
  </si>
  <si>
    <t>P0C0S8_G2R</t>
  </si>
  <si>
    <t>G2R</t>
  </si>
  <si>
    <t>no charge to positive</t>
  </si>
  <si>
    <t>4.6976966350253935e-07</t>
  </si>
  <si>
    <t>3.899013109416048e-05</t>
  </si>
  <si>
    <t>P0C0S5_T40K</t>
  </si>
  <si>
    <t>N</t>
  </si>
  <si>
    <t>H2A_39</t>
  </si>
  <si>
    <t>T40K</t>
  </si>
  <si>
    <t>1.070064735708698e-07</t>
  </si>
  <si>
    <t>6.634379708761501e-06</t>
  </si>
  <si>
    <t>Renal cell carcinoma, chromophobe type</t>
  </si>
  <si>
    <t>Q8IUE6_Q104H</t>
  </si>
  <si>
    <t>H2AC21</t>
  </si>
  <si>
    <t>H</t>
  </si>
  <si>
    <t>Q104H</t>
  </si>
  <si>
    <t>H2A clustered histone 21</t>
  </si>
  <si>
    <t>Q8IUE6</t>
  </si>
  <si>
    <t>2.913834090678691e-07</t>
  </si>
  <si>
    <t>1.5151824688985964e-05</t>
  </si>
  <si>
    <t>Q93077_L115H</t>
  </si>
  <si>
    <t>H2A_116</t>
  </si>
  <si>
    <t>L115H</t>
  </si>
  <si>
    <t>3.350875823482369e-07</t>
  </si>
  <si>
    <t>92</t>
  </si>
  <si>
    <t>3.0827587561245366e-05</t>
  </si>
  <si>
    <t>Serous adenocarcinoma</t>
  </si>
  <si>
    <t>P16104_R11S</t>
  </si>
  <si>
    <t>H2A_12</t>
  </si>
  <si>
    <t>R11S</t>
  </si>
  <si>
    <t>positive to no charge</t>
  </si>
  <si>
    <t>5.5022988054709294e-08</t>
  </si>
  <si>
    <t>36</t>
  </si>
  <si>
    <t>1.9808256626273184e-06</t>
  </si>
  <si>
    <t>Papillary carcinoma, columnar cell</t>
  </si>
  <si>
    <t>P0C0S8_R17P</t>
  </si>
  <si>
    <t>H2AC16</t>
  </si>
  <si>
    <t>H2A_18</t>
  </si>
  <si>
    <t>R17P</t>
  </si>
  <si>
    <t>H2A clustered histone 16</t>
  </si>
  <si>
    <t>6.431473087431527e-08</t>
  </si>
  <si>
    <t>127</t>
  </si>
  <si>
    <t>8.167937725913487e-06</t>
  </si>
  <si>
    <t>Astrocytoma, anaplastic</t>
  </si>
  <si>
    <t>Q99878_R29Q</t>
  </si>
  <si>
    <t>H2A_30</t>
  </si>
  <si>
    <t>R29Q</t>
  </si>
  <si>
    <t>1.945032491024179e-05</t>
  </si>
  <si>
    <t>1.9109829210495762e-05</t>
  </si>
  <si>
    <t>Q16777_R35L</t>
  </si>
  <si>
    <t>R35L</t>
  </si>
  <si>
    <t>1.8632992515588145e-07</t>
  </si>
  <si>
    <t>382</t>
  </si>
  <si>
    <t>7.117550494439715e-05</t>
  </si>
  <si>
    <t>Malignant melanoma</t>
  </si>
  <si>
    <t>P0C0S8_K74N</t>
  </si>
  <si>
    <t>H2A_75</t>
  </si>
  <si>
    <t>K74N</t>
  </si>
  <si>
    <t>7.327587381311673e-07</t>
  </si>
  <si>
    <t>73</t>
  </si>
  <si>
    <t>5.348997684189762e-05</t>
  </si>
  <si>
    <t>Adrenal cortical carcinoma</t>
  </si>
  <si>
    <t>P04908_K95T</t>
  </si>
  <si>
    <t>H2AC4</t>
  </si>
  <si>
    <t>H2A_96</t>
  </si>
  <si>
    <t>K95T</t>
  </si>
  <si>
    <t>H2A clustered histone 4</t>
  </si>
  <si>
    <t>1.5194662583706275e-07</t>
  </si>
  <si>
    <t>311</t>
  </si>
  <si>
    <t>4.725428770644921e-05</t>
  </si>
  <si>
    <t>Endometrioid adenocarcinoma</t>
  </si>
  <si>
    <t>P0C0S8_K119N</t>
  </si>
  <si>
    <t>H2A_120</t>
  </si>
  <si>
    <t>K119N</t>
  </si>
  <si>
    <t>6.072983214089335e-07</t>
  </si>
  <si>
    <t>6.376431008049287e-05</t>
  </si>
  <si>
    <t>Q7L7L0_R11H</t>
  </si>
  <si>
    <t>H2AW</t>
  </si>
  <si>
    <t>R11H</t>
  </si>
  <si>
    <t>positive to positive</t>
  </si>
  <si>
    <t>H2A.W histone</t>
  </si>
  <si>
    <t>Q7L7L0</t>
  </si>
  <si>
    <t>2.852307270262422e-06</t>
  </si>
  <si>
    <t>9</t>
  </si>
  <si>
    <t>2.567047255066755e-05</t>
  </si>
  <si>
    <t>Thymic carcinoma</t>
  </si>
  <si>
    <t>P16104_K74R</t>
  </si>
  <si>
    <t>K74R</t>
  </si>
  <si>
    <t>5.467044692508694e-07</t>
  </si>
  <si>
    <t>5.740233738563145e-05</t>
  </si>
  <si>
    <t>P62807_E93D</t>
  </si>
  <si>
    <t>H2BC4</t>
  </si>
  <si>
    <t>H2B_94</t>
  </si>
  <si>
    <t>E93D</t>
  </si>
  <si>
    <t>H2B</t>
  </si>
  <si>
    <t>H2B clustered histone 4</t>
  </si>
  <si>
    <t>P62807</t>
  </si>
  <si>
    <t>5.9513162601332326e-06</t>
  </si>
  <si>
    <t>3.1653606113734984e-05</t>
  </si>
  <si>
    <t>P62807_E35A</t>
  </si>
  <si>
    <t>H2BC10</t>
  </si>
  <si>
    <t>H2B_36</t>
  </si>
  <si>
    <t>E35A</t>
  </si>
  <si>
    <t>H2B clustered histone 10</t>
  </si>
  <si>
    <t>3.6194381936027746e-08</t>
  </si>
  <si>
    <t>125</t>
  </si>
  <si>
    <t>4.524287589260587e-06</t>
  </si>
  <si>
    <t>Mixed glioma</t>
  </si>
  <si>
    <t>Q93079_E113Q</t>
  </si>
  <si>
    <t>H2BC9</t>
  </si>
  <si>
    <t>H2B_114</t>
  </si>
  <si>
    <t>E113Q</t>
  </si>
  <si>
    <t>H2B clustered histone 9</t>
  </si>
  <si>
    <t>Q93079</t>
  </si>
  <si>
    <t>2.051477730691253e-06</t>
  </si>
  <si>
    <t>3.7743482377560065e-06</t>
  </si>
  <si>
    <t>P62807_E76K</t>
  </si>
  <si>
    <t>H2B_77</t>
  </si>
  <si>
    <t>E76K</t>
  </si>
  <si>
    <t>O60814_G26D</t>
  </si>
  <si>
    <t>H2BC12</t>
  </si>
  <si>
    <t>H2B_27</t>
  </si>
  <si>
    <t>G26D</t>
  </si>
  <si>
    <t>H2B clustered histone 12</t>
  </si>
  <si>
    <t>O60814</t>
  </si>
  <si>
    <t>6.32931108413004e-07</t>
  </si>
  <si>
    <t>3.417770659943268e-05</t>
  </si>
  <si>
    <t>P06899_P1L</t>
  </si>
  <si>
    <t>H2BC11</t>
  </si>
  <si>
    <t>H2B_2</t>
  </si>
  <si>
    <t>P1L</t>
  </si>
  <si>
    <t>H2B clustered histone 11</t>
  </si>
  <si>
    <t>P06899</t>
  </si>
  <si>
    <t>1.0969301860175309e-06</t>
  </si>
  <si>
    <t>7.458851169855084e-05</t>
  </si>
  <si>
    <t>P58876_P3S</t>
  </si>
  <si>
    <t>H2BC5</t>
  </si>
  <si>
    <t>H2B_4</t>
  </si>
  <si>
    <t>P3S</t>
  </si>
  <si>
    <t>H2B clustered histone 5</t>
  </si>
  <si>
    <t>P58876</t>
  </si>
  <si>
    <t>3.981536289554554e-07</t>
  </si>
  <si>
    <t>2.1898214182632248e-05</t>
  </si>
  <si>
    <t>P62807_P3L</t>
  </si>
  <si>
    <t>P3L</t>
  </si>
  <si>
    <t>2.938443286470971e-07</t>
  </si>
  <si>
    <t>75</t>
  </si>
  <si>
    <t>2.2038085044287203e-05</t>
  </si>
  <si>
    <t>Oligodendroglioma, anaplastic</t>
  </si>
  <si>
    <t>P23527_S6C</t>
  </si>
  <si>
    <t>H2BC17</t>
  </si>
  <si>
    <t>H2B_7</t>
  </si>
  <si>
    <t>S6C</t>
  </si>
  <si>
    <t>H2B clustered histone 17</t>
  </si>
  <si>
    <t>P23527</t>
  </si>
  <si>
    <t>1.6126435897767522e-07</t>
  </si>
  <si>
    <t>9.998341079062614e-06</t>
  </si>
  <si>
    <t>Q16778_P8A</t>
  </si>
  <si>
    <t>H2BC21</t>
  </si>
  <si>
    <t>H2B_9</t>
  </si>
  <si>
    <t>P8A</t>
  </si>
  <si>
    <t>H2B clustered histone 21</t>
  </si>
  <si>
    <t>Q16778</t>
  </si>
  <si>
    <t>3.225480984192508e-06</t>
  </si>
  <si>
    <t>5.273279049695263e-07</t>
  </si>
  <si>
    <t>P33778_S14F</t>
  </si>
  <si>
    <t>H2BC3</t>
  </si>
  <si>
    <t>H2B_15</t>
  </si>
  <si>
    <t>S14F</t>
  </si>
  <si>
    <t>H2B clustered histone 3</t>
  </si>
  <si>
    <t>P33778</t>
  </si>
  <si>
    <t>7.776525756675312e-07</t>
  </si>
  <si>
    <t>6.99885141028026e-06</t>
  </si>
  <si>
    <t>Q99880_S14F</t>
  </si>
  <si>
    <t>H2BC13</t>
  </si>
  <si>
    <t>H2B clustered histone 13</t>
  </si>
  <si>
    <t>Q99880</t>
  </si>
  <si>
    <t>1.425640249519411e-06</t>
  </si>
  <si>
    <t>6.415179914386918e-05</t>
  </si>
  <si>
    <t>Q99880_S14C</t>
  </si>
  <si>
    <t>S14C</t>
  </si>
  <si>
    <t>7.616924075914966e-07</t>
  </si>
  <si>
    <t>7.007327294000711e-05</t>
  </si>
  <si>
    <t>Q16778_G26A</t>
  </si>
  <si>
    <t>G26A</t>
  </si>
  <si>
    <t>4.623148965876567e-07</t>
  </si>
  <si>
    <t>2.0803958750133728e-05</t>
  </si>
  <si>
    <t>Q99877_S36N</t>
  </si>
  <si>
    <t>H2BC15</t>
  </si>
  <si>
    <t>H2B_37</t>
  </si>
  <si>
    <t>S36N</t>
  </si>
  <si>
    <t>H2B clustered histone 15</t>
  </si>
  <si>
    <t>Q99877</t>
  </si>
  <si>
    <t>2.138801625806153e-07</t>
  </si>
  <si>
    <t>2.823178595542359e-05</t>
  </si>
  <si>
    <t>P62807_Y42C</t>
  </si>
  <si>
    <t>H2BC7</t>
  </si>
  <si>
    <t>H2B_43</t>
  </si>
  <si>
    <t>Y42C</t>
  </si>
  <si>
    <t>H2B clustered histone 7</t>
  </si>
  <si>
    <t>9.495414482474373e-07</t>
  </si>
  <si>
    <t>5.886986484335262e-05</t>
  </si>
  <si>
    <t>P62807_G53A</t>
  </si>
  <si>
    <t>H2B_54</t>
  </si>
  <si>
    <t>G53A</t>
  </si>
  <si>
    <t>8.630878745030657e-08</t>
  </si>
  <si>
    <t>1.1392695537839431e-05</t>
  </si>
  <si>
    <t>P62807_G53C</t>
  </si>
  <si>
    <t>G53C</t>
  </si>
  <si>
    <t>3.296330609581233e-07</t>
  </si>
  <si>
    <t>1.780002980309364e-05</t>
  </si>
  <si>
    <t>P06899_M59I</t>
  </si>
  <si>
    <t>H2B_60</t>
  </si>
  <si>
    <t>M59I</t>
  </si>
  <si>
    <t>2.825426236308104e-07</t>
  </si>
  <si>
    <t>15</t>
  </si>
  <si>
    <t>4.238130972287332e-06</t>
  </si>
  <si>
    <t>Thymoma, type A, malignant</t>
  </si>
  <si>
    <t>O60814_M62I</t>
  </si>
  <si>
    <t>H2B_63</t>
  </si>
  <si>
    <t>M62I</t>
  </si>
  <si>
    <t>3.12551181091969e-06</t>
  </si>
  <si>
    <t>1009</t>
  </si>
  <si>
    <t>4.957387268122713e-06</t>
  </si>
  <si>
    <t>Multiple myeloma</t>
  </si>
  <si>
    <t>P62807_F65C</t>
  </si>
  <si>
    <t>H2B_66</t>
  </si>
  <si>
    <t>F65C</t>
  </si>
  <si>
    <t>9.771878350939287e-08</t>
  </si>
  <si>
    <t>5.94112583578809e-05</t>
  </si>
  <si>
    <t>Q16778_F70L</t>
  </si>
  <si>
    <t>H2B_71</t>
  </si>
  <si>
    <t>F70L</t>
  </si>
  <si>
    <t>6.351991646225129e-06</t>
  </si>
  <si>
    <t>2.043735552484032e-06</t>
  </si>
  <si>
    <t>5.6276614296413285e-06</t>
  </si>
  <si>
    <t>2.8312515130447717e-05</t>
  </si>
  <si>
    <t>1.3350056455863069e-06</t>
  </si>
  <si>
    <t>16</t>
  </si>
  <si>
    <t>2.1359876461904464e-05</t>
  </si>
  <si>
    <t>Metaplastic carcinoma</t>
  </si>
  <si>
    <t>Q99880_I89T</t>
  </si>
  <si>
    <t>H2B_90</t>
  </si>
  <si>
    <t>I89T</t>
  </si>
  <si>
    <t>3.345400779730668e-07</t>
  </si>
  <si>
    <t>2.9773628676633106e-05</t>
  </si>
  <si>
    <t>P33778_A97S</t>
  </si>
  <si>
    <t>H2B_98</t>
  </si>
  <si>
    <t>A97S</t>
  </si>
  <si>
    <t>5.049555908964721e-07</t>
  </si>
  <si>
    <t>5.200908647438502e-05</t>
  </si>
  <si>
    <t>Q93079_L102V</t>
  </si>
  <si>
    <t>H2B_103</t>
  </si>
  <si>
    <t>L102V</t>
  </si>
  <si>
    <t>4.849405318418931e-07</t>
  </si>
  <si>
    <t>5.09174718512128e-05</t>
  </si>
  <si>
    <t>P06899_P103T</t>
  </si>
  <si>
    <t>H2B_104</t>
  </si>
  <si>
    <t>P103T</t>
  </si>
  <si>
    <t>5.833973694135963e-07</t>
  </si>
  <si>
    <t>2.625254467746366e-05</t>
  </si>
  <si>
    <t>P06899_P103S</t>
  </si>
  <si>
    <t>P103S</t>
  </si>
  <si>
    <t>Q99880_P103S</t>
  </si>
  <si>
    <t>P58876_G104W</t>
  </si>
  <si>
    <t>W</t>
  </si>
  <si>
    <t>H2B_105</t>
  </si>
  <si>
    <t>G104W</t>
  </si>
  <si>
    <t>3.942585019567346e-07</t>
  </si>
  <si>
    <t>2.680922404434144e-05</t>
  </si>
  <si>
    <t>Tubular adenocarcinoma</t>
  </si>
  <si>
    <t>Q16778_L106V</t>
  </si>
  <si>
    <t>H2B_107</t>
  </si>
  <si>
    <t>L106V</t>
  </si>
  <si>
    <t>P58876_T115S</t>
  </si>
  <si>
    <t>H2B_116</t>
  </si>
  <si>
    <t>T115S</t>
  </si>
  <si>
    <t>4.60015987746587e-07</t>
  </si>
  <si>
    <t>2.8520591080555315e-05</t>
  </si>
  <si>
    <t>P62807_T119I</t>
  </si>
  <si>
    <t>H2B_120</t>
  </si>
  <si>
    <t>T119I</t>
  </si>
  <si>
    <t>1.5572230819271837e-06</t>
  </si>
  <si>
    <t>7.007263804601675e-05</t>
  </si>
  <si>
    <t>Q99879_Q47H</t>
  </si>
  <si>
    <t>H2BC14</t>
  </si>
  <si>
    <t>H2B_48</t>
  </si>
  <si>
    <t>Q47H</t>
  </si>
  <si>
    <t>H2B clustered histone 14</t>
  </si>
  <si>
    <t>Q99879</t>
  </si>
  <si>
    <t>1.232938807715911e-07</t>
  </si>
  <si>
    <t>1.3685527961631125e-05</t>
  </si>
  <si>
    <t>Q7Z2G1_G77R</t>
  </si>
  <si>
    <t>H2BW1</t>
  </si>
  <si>
    <t>H2B_57</t>
  </si>
  <si>
    <t>G77R</t>
  </si>
  <si>
    <t>H2B.W histone 1</t>
  </si>
  <si>
    <t>Q7Z2G1</t>
  </si>
  <si>
    <t>1.8707815938601158e-06</t>
  </si>
  <si>
    <t>18</t>
  </si>
  <si>
    <t>3.367353322178762e-05</t>
  </si>
  <si>
    <t>Infiltrating duct mixed with other types of carcinoma</t>
  </si>
  <si>
    <t>Q16778_K120E</t>
  </si>
  <si>
    <t>H2B_121</t>
  </si>
  <si>
    <t>K120E</t>
  </si>
  <si>
    <t>positive to negative</t>
  </si>
  <si>
    <t>4.195769572890029e-07</t>
  </si>
  <si>
    <t>1.8880788794678404e-05</t>
  </si>
  <si>
    <t>P62807_K24Q</t>
  </si>
  <si>
    <t>H2B_25</t>
  </si>
  <si>
    <t>K24Q</t>
  </si>
  <si>
    <t>1.7808641572525374e-07</t>
  </si>
  <si>
    <t>1.1041297802546498e-05</t>
  </si>
  <si>
    <t>Q99879_H49Y</t>
  </si>
  <si>
    <t>H2B_50</t>
  </si>
  <si>
    <t>H49Y</t>
  </si>
  <si>
    <t>1.2996960688793637e-06</t>
  </si>
  <si>
    <t>5.848465081295177e-05</t>
  </si>
  <si>
    <t>P62807_R86P</t>
  </si>
  <si>
    <t>H2B_87</t>
  </si>
  <si>
    <t>R86P</t>
  </si>
  <si>
    <t>1.7062472734696857e-07</t>
  </si>
  <si>
    <t>3.617179106850354e-05</t>
  </si>
  <si>
    <t>P33778_K24R</t>
  </si>
  <si>
    <t>K24R</t>
  </si>
  <si>
    <t>6.502067716462888e-07</t>
  </si>
  <si>
    <t>6.696907672343354e-05</t>
  </si>
  <si>
    <t>P62807_K27R</t>
  </si>
  <si>
    <t>H2BC8</t>
  </si>
  <si>
    <t>H2B_28</t>
  </si>
  <si>
    <t>K27R</t>
  </si>
  <si>
    <t>H2B clustered histone 8</t>
  </si>
  <si>
    <t>8.994923960115032e-07</t>
  </si>
  <si>
    <t>2.3386539345055856e-05</t>
  </si>
  <si>
    <t>Q93079_R92K</t>
  </si>
  <si>
    <t>H2B_93</t>
  </si>
  <si>
    <t>R92K</t>
  </si>
  <si>
    <t>3.0078287394097464e-07</t>
  </si>
  <si>
    <t>1.564058948186486e-05</t>
  </si>
  <si>
    <t>P68431_E94Q</t>
  </si>
  <si>
    <t>H3C2</t>
  </si>
  <si>
    <t>H3_95</t>
  </si>
  <si>
    <t>E94Q</t>
  </si>
  <si>
    <t>H3</t>
  </si>
  <si>
    <t>H3 clustered histone 2</t>
  </si>
  <si>
    <t>P68431</t>
  </si>
  <si>
    <t>P68431_E97Q</t>
  </si>
  <si>
    <t>H3C7</t>
  </si>
  <si>
    <t>H3_98</t>
  </si>
  <si>
    <t>E97Q</t>
  </si>
  <si>
    <t>H3 clustered histone 7</t>
  </si>
  <si>
    <t>7.806559696454941e-07</t>
  </si>
  <si>
    <t>42</t>
  </si>
  <si>
    <t>3.278702601672964e-05</t>
  </si>
  <si>
    <t>Mullerian mixed tumor</t>
  </si>
  <si>
    <t>P68431_E133Q</t>
  </si>
  <si>
    <t>H3_134</t>
  </si>
  <si>
    <t>E133Q</t>
  </si>
  <si>
    <t>4.999195130084289e-07</t>
  </si>
  <si>
    <t>2.2496130666827896e-05</t>
  </si>
  <si>
    <t>2.239639418366579e-07</t>
  </si>
  <si>
    <t>2.7995103994335687e-05</t>
  </si>
  <si>
    <t>P68431_E73K</t>
  </si>
  <si>
    <t>H3_74</t>
  </si>
  <si>
    <t>E73K</t>
  </si>
  <si>
    <t>3.4662577416133544e-06</t>
  </si>
  <si>
    <t>1.076172138749872e-05</t>
  </si>
  <si>
    <t>P68431_E94K</t>
  </si>
  <si>
    <t>H3C6</t>
  </si>
  <si>
    <t>E94K</t>
  </si>
  <si>
    <t>H3 clustered histone 6</t>
  </si>
  <si>
    <t>2.554540899701862e-06</t>
  </si>
  <si>
    <t>4.3426307813894925e-05</t>
  </si>
  <si>
    <t>P68431_E97K</t>
  </si>
  <si>
    <t>E97K</t>
  </si>
  <si>
    <t>H3C11</t>
  </si>
  <si>
    <t>H3 clustered histone 11</t>
  </si>
  <si>
    <t>P84243_A47E</t>
  </si>
  <si>
    <t>H3-3A</t>
  </si>
  <si>
    <t>H3_48</t>
  </si>
  <si>
    <t>A47E</t>
  </si>
  <si>
    <t>H3.3 histone A</t>
  </si>
  <si>
    <t>P84243</t>
  </si>
  <si>
    <t>6.863841024440376e-07</t>
  </si>
  <si>
    <t>4.667304576389644e-05</t>
  </si>
  <si>
    <t>P68431_A88E</t>
  </si>
  <si>
    <t>H3C8</t>
  </si>
  <si>
    <t>H3_89</t>
  </si>
  <si>
    <t>A88E</t>
  </si>
  <si>
    <t>H3 clustered histone 8</t>
  </si>
  <si>
    <t>1.2666496096436222e-07</t>
  </si>
  <si>
    <t>7.700933577257247e-05</t>
  </si>
  <si>
    <t>P68431_G12C</t>
  </si>
  <si>
    <t>H3C3</t>
  </si>
  <si>
    <t>H3_13</t>
  </si>
  <si>
    <t>G12C</t>
  </si>
  <si>
    <t>H3 clustered histone 3</t>
  </si>
  <si>
    <t>3.85160916382965e-07</t>
  </si>
  <si>
    <t>6.932873797553473e-06</t>
  </si>
  <si>
    <t>Adenocarcinoma, endocervical type</t>
  </si>
  <si>
    <t>P68431_A21T</t>
  </si>
  <si>
    <t>H3_22</t>
  </si>
  <si>
    <t>A21T</t>
  </si>
  <si>
    <t>9.469685381402472e-07</t>
  </si>
  <si>
    <t>6.439181784093327e-05</t>
  </si>
  <si>
    <t>P68431_T22S</t>
  </si>
  <si>
    <t>H3_23</t>
  </si>
  <si>
    <t>T22S</t>
  </si>
  <si>
    <t>4.612618025312543e-07</t>
  </si>
  <si>
    <t>2.490783287605533e-05</t>
  </si>
  <si>
    <t>P68431_P30L</t>
  </si>
  <si>
    <t>H3_31</t>
  </si>
  <si>
    <t>P30L</t>
  </si>
  <si>
    <t>3.2542167220928064e-06</t>
  </si>
  <si>
    <t>14</t>
  </si>
  <si>
    <t>4.555807043853416e-05</t>
  </si>
  <si>
    <t>Bronchiolo-alveolar carcinoma, non-mucinous</t>
  </si>
  <si>
    <t>P84243_G34V</t>
  </si>
  <si>
    <t>H3-3B</t>
  </si>
  <si>
    <t>H3_35</t>
  </si>
  <si>
    <t>G34V</t>
  </si>
  <si>
    <t>H3.3 histone B</t>
  </si>
  <si>
    <t>6.56561097156505e-07</t>
  </si>
  <si>
    <t>6.56559157333767e-06</t>
  </si>
  <si>
    <t>P68431_V35L</t>
  </si>
  <si>
    <t>H3_36</t>
  </si>
  <si>
    <t>V35L</t>
  </si>
  <si>
    <t>3.471489083972657e-07</t>
  </si>
  <si>
    <t>43</t>
  </si>
  <si>
    <t>1.4927294238933484e-05</t>
  </si>
  <si>
    <t>Cholangiocarcinoma</t>
  </si>
  <si>
    <t>P68431_P38T</t>
  </si>
  <si>
    <t>H3_39</t>
  </si>
  <si>
    <t>P38T</t>
  </si>
  <si>
    <t>3.6796491765800346e-06</t>
  </si>
  <si>
    <t>7.726978941264942e-05</t>
  </si>
  <si>
    <t>Q16695_Q68L</t>
  </si>
  <si>
    <t>H3-4</t>
  </si>
  <si>
    <t>H3_69</t>
  </si>
  <si>
    <t>Q68L</t>
  </si>
  <si>
    <t>H3.4 histone</t>
  </si>
  <si>
    <t>Q16695</t>
  </si>
  <si>
    <t>3.489282132118632e-07</t>
  </si>
  <si>
    <t>3.1054134204163785e-05</t>
  </si>
  <si>
    <t>P84243_I74V</t>
  </si>
  <si>
    <t>H3_75</t>
  </si>
  <si>
    <t>I74V</t>
  </si>
  <si>
    <t>3.3834166968116364e-07</t>
  </si>
  <si>
    <t>11</t>
  </si>
  <si>
    <t>3.7217520703694907e-06</t>
  </si>
  <si>
    <t>Infiltrating lobular carcinoma</t>
  </si>
  <si>
    <t>P68431_A75G</t>
  </si>
  <si>
    <t>H3C10</t>
  </si>
  <si>
    <t>H3_76</t>
  </si>
  <si>
    <t>A75G</t>
  </si>
  <si>
    <t>H3 clustered histone 10</t>
  </si>
  <si>
    <t>7.447997707465959e-08</t>
  </si>
  <si>
    <t>47</t>
  </si>
  <si>
    <t>3.5005529259200898e-06</t>
  </si>
  <si>
    <t>Dedifferentiated liposarcoma</t>
  </si>
  <si>
    <t>P68431_F78C</t>
  </si>
  <si>
    <t>H3C1</t>
  </si>
  <si>
    <t>H3_79</t>
  </si>
  <si>
    <t>F78C</t>
  </si>
  <si>
    <t>H3 clustered histone 1</t>
  </si>
  <si>
    <t>2.1774214897796182e-07</t>
  </si>
  <si>
    <t>6.945734081333095e-05</t>
  </si>
  <si>
    <t>P68431_S86T</t>
  </si>
  <si>
    <t>H3C4</t>
  </si>
  <si>
    <t>H3_87</t>
  </si>
  <si>
    <t>S86T</t>
  </si>
  <si>
    <t>H3 clustered histone 4</t>
  </si>
  <si>
    <t>P68431_A88P</t>
  </si>
  <si>
    <t>A88P</t>
  </si>
  <si>
    <t>1.8157061854040532e-07</t>
  </si>
  <si>
    <t>5.646687317867264e-05</t>
  </si>
  <si>
    <t>5.32693749111246e-07</t>
  </si>
  <si>
    <t>4.900663710684629e-05</t>
  </si>
  <si>
    <t>P68431_V117G</t>
  </si>
  <si>
    <t>H3_118</t>
  </si>
  <si>
    <t>V117G</t>
  </si>
  <si>
    <t>7.391664447187196e-08</t>
  </si>
  <si>
    <t>7.938332807363332e-05</t>
  </si>
  <si>
    <t>P68431_I119L</t>
  </si>
  <si>
    <t>H3_120</t>
  </si>
  <si>
    <t>I119L</t>
  </si>
  <si>
    <t>1.9215885649348508e-07</t>
  </si>
  <si>
    <t>1.306671812670306e-05</t>
  </si>
  <si>
    <t>P68431_A127P</t>
  </si>
  <si>
    <t>H3_128</t>
  </si>
  <si>
    <t>A127P</t>
  </si>
  <si>
    <t>1.4535554138106474e-07</t>
  </si>
  <si>
    <t>1.4971509776182694e-05</t>
  </si>
  <si>
    <t>P84243_G34R</t>
  </si>
  <si>
    <t>G34R</t>
  </si>
  <si>
    <t>4.619901333713372e-07</t>
  </si>
  <si>
    <t>3.3724718835367e-05</t>
  </si>
  <si>
    <t>3.779838115836043e-07</t>
  </si>
  <si>
    <t>2.8348389403277808e-05</t>
  </si>
  <si>
    <t>P68431_Q125K</t>
  </si>
  <si>
    <t>H3_126</t>
  </si>
  <si>
    <t>Q125K</t>
  </si>
  <si>
    <t>5.085755011331863e-06</t>
  </si>
  <si>
    <t>Mesothelioma, biphasic, malignant</t>
  </si>
  <si>
    <t>P84243_R2G</t>
  </si>
  <si>
    <t>H3_3</t>
  </si>
  <si>
    <t>R2G</t>
  </si>
  <si>
    <t>1.1427851365208852e-07</t>
  </si>
  <si>
    <t>5.942465392940252e-06</t>
  </si>
  <si>
    <t>Q71DI3_K4N</t>
  </si>
  <si>
    <t>H3C13</t>
  </si>
  <si>
    <t>H3_5</t>
  </si>
  <si>
    <t>K4N</t>
  </si>
  <si>
    <t>H3 clustered histone 13</t>
  </si>
  <si>
    <t>Q71DI3</t>
  </si>
  <si>
    <t>6.908668743754731e-07</t>
  </si>
  <si>
    <t>3.730612821239303e-05</t>
  </si>
  <si>
    <t>P84243_R8L</t>
  </si>
  <si>
    <t>H3_9</t>
  </si>
  <si>
    <t>R8L</t>
  </si>
  <si>
    <t>1.2758464151829685e-07</t>
  </si>
  <si>
    <t>13</t>
  </si>
  <si>
    <t>1.6585990700668742e-06</t>
  </si>
  <si>
    <t>Thymoma, type B3, malignant</t>
  </si>
  <si>
    <t>Q71DI3_R8C</t>
  </si>
  <si>
    <t>R8C</t>
  </si>
  <si>
    <t>3.8626137610631156e-07</t>
  </si>
  <si>
    <t>100</t>
  </si>
  <si>
    <t>3.862539909058892e-05</t>
  </si>
  <si>
    <t>Papillary carcinoma, follicular variant</t>
  </si>
  <si>
    <t>Q6NXT2_K14T</t>
  </si>
  <si>
    <t>H3-5</t>
  </si>
  <si>
    <t>H3_15</t>
  </si>
  <si>
    <t>K14T</t>
  </si>
  <si>
    <t>H3.5 histone</t>
  </si>
  <si>
    <t>Q6NXT2</t>
  </si>
  <si>
    <t>6.452544665247473e-07</t>
  </si>
  <si>
    <t>2.9036038807632497e-05</t>
  </si>
  <si>
    <t>P68431_R17L</t>
  </si>
  <si>
    <t>H3_18</t>
  </si>
  <si>
    <t>R17L</t>
  </si>
  <si>
    <t>6.050348755337609e-07</t>
  </si>
  <si>
    <t>3.267135944215264e-05</t>
  </si>
  <si>
    <t>P68431_K18Q</t>
  </si>
  <si>
    <t>H3C12</t>
  </si>
  <si>
    <t>H3_19</t>
  </si>
  <si>
    <t>K18Q</t>
  </si>
  <si>
    <t>H3 clustered histone 12</t>
  </si>
  <si>
    <t>P68431_R26P</t>
  </si>
  <si>
    <t>H3_27</t>
  </si>
  <si>
    <t>R26P</t>
  </si>
  <si>
    <t>P84243_K27M</t>
  </si>
  <si>
    <t>H3_28</t>
  </si>
  <si>
    <t>K27M</t>
  </si>
  <si>
    <t>5.0620784231014675e-08</t>
  </si>
  <si>
    <t>63</t>
  </si>
  <si>
    <t>3.1891044020672825e-06</t>
  </si>
  <si>
    <t>Astrocytoma</t>
  </si>
  <si>
    <t>1.3546659416441287e-07</t>
  </si>
  <si>
    <t>7.653570188082603e-05</t>
  </si>
  <si>
    <t>P84243_K36M</t>
  </si>
  <si>
    <t>H3_37</t>
  </si>
  <si>
    <t>K36M</t>
  </si>
  <si>
    <t>6.950623060442139e-07</t>
  </si>
  <si>
    <t>1.8071462946749607e-05</t>
  </si>
  <si>
    <t>P68431_K36M</t>
  </si>
  <si>
    <t>6.092047171168957e-07</t>
  </si>
  <si>
    <t>3.332682391134522e-07</t>
  </si>
  <si>
    <t>1.7930735607407655e-07</t>
  </si>
  <si>
    <t>1.4882401144389652e-05</t>
  </si>
  <si>
    <t>3</t>
  </si>
  <si>
    <t>9.061230544625319e-11</t>
  </si>
  <si>
    <t>3.4041055441136336e-07</t>
  </si>
  <si>
    <t>3.029608556357382e-05</t>
  </si>
  <si>
    <t>P84243_K64T</t>
  </si>
  <si>
    <t>H3_65</t>
  </si>
  <si>
    <t>K64T</t>
  </si>
  <si>
    <t>P68431_R131G</t>
  </si>
  <si>
    <t>H3_132</t>
  </si>
  <si>
    <t>R131G</t>
  </si>
  <si>
    <t>7.336398410995315e-08</t>
  </si>
  <si>
    <t>3.9616474399129365e-06</t>
  </si>
  <si>
    <t>P68431_R134T</t>
  </si>
  <si>
    <t>H3_135</t>
  </si>
  <si>
    <t>R134T</t>
  </si>
  <si>
    <t>1.0995094993471176e-05</t>
  </si>
  <si>
    <t>6.117539494055255e-06</t>
  </si>
  <si>
    <t>Q99525_D24G</t>
  </si>
  <si>
    <t>H4C7</t>
  </si>
  <si>
    <t>H4_25</t>
  </si>
  <si>
    <t>D24G</t>
  </si>
  <si>
    <t>H4</t>
  </si>
  <si>
    <t>H4 clustered histone 7</t>
  </si>
  <si>
    <t>Q99525</t>
  </si>
  <si>
    <t>2.481172244328533e-07</t>
  </si>
  <si>
    <t>1.563126490898359e-05</t>
  </si>
  <si>
    <t>P62805_E63Q</t>
  </si>
  <si>
    <t>H4C12</t>
  </si>
  <si>
    <t>H4_64</t>
  </si>
  <si>
    <t>E63Q</t>
  </si>
  <si>
    <t>H4 clustered histone 12</t>
  </si>
  <si>
    <t>P62805</t>
  </si>
  <si>
    <t>2.491256088088533e-07</t>
  </si>
  <si>
    <t>7.747507264197874e-05</t>
  </si>
  <si>
    <t>P62805_D68N</t>
  </si>
  <si>
    <t>H4C11</t>
  </si>
  <si>
    <t>H4_69</t>
  </si>
  <si>
    <t>D68N</t>
  </si>
  <si>
    <t>H4 clustered histone 11</t>
  </si>
  <si>
    <t>1.4912325260185708e-06</t>
  </si>
  <si>
    <t>1.129737869381803e-06</t>
  </si>
  <si>
    <t>P62805_E74Q</t>
  </si>
  <si>
    <t>H4C2</t>
  </si>
  <si>
    <t>H4_75</t>
  </si>
  <si>
    <t>E74Q</t>
  </si>
  <si>
    <t>H4 clustered histone 2</t>
  </si>
  <si>
    <t>P62805_E53K</t>
  </si>
  <si>
    <t>H4_54</t>
  </si>
  <si>
    <t>E53K</t>
  </si>
  <si>
    <t>P62805_G56D</t>
  </si>
  <si>
    <t>H4C6</t>
  </si>
  <si>
    <t>H4_57</t>
  </si>
  <si>
    <t>G56D</t>
  </si>
  <si>
    <t>H4 clustered histone 6</t>
  </si>
  <si>
    <t>P62805_V65E</t>
  </si>
  <si>
    <t>H4C8</t>
  </si>
  <si>
    <t>H4_66</t>
  </si>
  <si>
    <t>V65E</t>
  </si>
  <si>
    <t>H4 clustered histone 8</t>
  </si>
  <si>
    <t>3.6924833890505937e-07</t>
  </si>
  <si>
    <t>1.6616040270549632e-05</t>
  </si>
  <si>
    <t>P62805_G94E</t>
  </si>
  <si>
    <t>H4C4</t>
  </si>
  <si>
    <t>H4_95</t>
  </si>
  <si>
    <t>G94E</t>
  </si>
  <si>
    <t>H4 clustered histone 4</t>
  </si>
  <si>
    <t>5.599223169561185e-07</t>
  </si>
  <si>
    <t>2.9115544767358284e-05</t>
  </si>
  <si>
    <t>P62805_Y98D</t>
  </si>
  <si>
    <t>H4_99</t>
  </si>
  <si>
    <t>Y98D</t>
  </si>
  <si>
    <t>9.46841315796476e-07</t>
  </si>
  <si>
    <t>4.260697167949398e-05</t>
  </si>
  <si>
    <t>P62805_G101D</t>
  </si>
  <si>
    <t>H4_102</t>
  </si>
  <si>
    <t>G101D</t>
  </si>
  <si>
    <t>3.0949808749181074e-07</t>
  </si>
  <si>
    <t>3.8686518580633705e-05</t>
  </si>
  <si>
    <t>P62805_S1F</t>
  </si>
  <si>
    <t>H4C5</t>
  </si>
  <si>
    <t>H4_2</t>
  </si>
  <si>
    <t>H4 clustered histone 5</t>
  </si>
  <si>
    <t>2.602320752220777e-07</t>
  </si>
  <si>
    <t>1.8996763522221494e-05</t>
  </si>
  <si>
    <t>P62805_G2A</t>
  </si>
  <si>
    <t>H4_3</t>
  </si>
  <si>
    <t>G2A</t>
  </si>
  <si>
    <t>2.4999786729651424e-07</t>
  </si>
  <si>
    <t>7.974614974291291e-05</t>
  </si>
  <si>
    <t>P62805_G11S</t>
  </si>
  <si>
    <t>H4C1</t>
  </si>
  <si>
    <t>H4_12</t>
  </si>
  <si>
    <t>G11S</t>
  </si>
  <si>
    <t>H4 clustered histone 1</t>
  </si>
  <si>
    <t>1.4273067328041122e-07</t>
  </si>
  <si>
    <t>23</t>
  </si>
  <si>
    <t>3.282800331327199e-06</t>
  </si>
  <si>
    <t>Embryonal carcinoma</t>
  </si>
  <si>
    <t>P62805_G14S</t>
  </si>
  <si>
    <t>H4_15</t>
  </si>
  <si>
    <t>G14S</t>
  </si>
  <si>
    <t>P62805_L22M</t>
  </si>
  <si>
    <t>H4-16</t>
  </si>
  <si>
    <t>H4_23</t>
  </si>
  <si>
    <t>L22M</t>
  </si>
  <si>
    <t>H4 histone 16</t>
  </si>
  <si>
    <t>6.049753169534711e-07</t>
  </si>
  <si>
    <t>2.722352693086531e-05</t>
  </si>
  <si>
    <t>P62805_G28V</t>
  </si>
  <si>
    <t>H4_29</t>
  </si>
  <si>
    <t>G28V</t>
  </si>
  <si>
    <t>1.996909892998389e-07</t>
  </si>
  <si>
    <t>7.627905613379537e-05</t>
  </si>
  <si>
    <t>P62805_G42V</t>
  </si>
  <si>
    <t>H4_43</t>
  </si>
  <si>
    <t>G42V</t>
  </si>
  <si>
    <t>P62805_L49F</t>
  </si>
  <si>
    <t>H4_50</t>
  </si>
  <si>
    <t>L49F</t>
  </si>
  <si>
    <t>6.72583683414274e-07</t>
  </si>
  <si>
    <t>4.9097420082929435e-05</t>
  </si>
  <si>
    <t>P62805_V57L</t>
  </si>
  <si>
    <t>H4_58</t>
  </si>
  <si>
    <t>V57L</t>
  </si>
  <si>
    <t>P62805_T71S</t>
  </si>
  <si>
    <t>H4C9</t>
  </si>
  <si>
    <t>H4_72</t>
  </si>
  <si>
    <t>T71S</t>
  </si>
  <si>
    <t>H4 clustered histone 9</t>
  </si>
  <si>
    <t>9.370309622669382e-07</t>
  </si>
  <si>
    <t>4.216552406693277e-05</t>
  </si>
  <si>
    <t>P62805_T80A</t>
  </si>
  <si>
    <t>H4_81</t>
  </si>
  <si>
    <t>T80A</t>
  </si>
  <si>
    <t>8.209382573731715e-07</t>
  </si>
  <si>
    <t>3.694155438941726e-05</t>
  </si>
  <si>
    <t>P62805_G94C</t>
  </si>
  <si>
    <t>G94C</t>
  </si>
  <si>
    <t>2.90402023728209e-06</t>
  </si>
  <si>
    <t>7.550178539960873e-05</t>
  </si>
  <si>
    <t>P62805_G11R</t>
  </si>
  <si>
    <t>G11R</t>
  </si>
  <si>
    <t>1.349098144309835e-07</t>
  </si>
  <si>
    <t>9.848368622285209e-06</t>
  </si>
  <si>
    <t>P62805_K59E</t>
  </si>
  <si>
    <t>H4_60</t>
  </si>
  <si>
    <t>K59E</t>
  </si>
  <si>
    <t>1.1654915477166125e-07</t>
  </si>
  <si>
    <t>27</t>
  </si>
  <si>
    <t>3.146822410958862e-06</t>
  </si>
  <si>
    <t>Mixed germ cell tumor</t>
  </si>
  <si>
    <t>P62805_R3G</t>
  </si>
  <si>
    <t>H4_4</t>
  </si>
  <si>
    <t>R3G</t>
  </si>
  <si>
    <t>2.9712413529558998e-08</t>
  </si>
  <si>
    <t>2.9712369829639287e-06</t>
  </si>
  <si>
    <t>P62805_R3C</t>
  </si>
  <si>
    <t>R3C</t>
  </si>
  <si>
    <t>3.4114252593919763e-06</t>
  </si>
  <si>
    <t>3.070240837625988e-05</t>
  </si>
  <si>
    <t>P62805_R40C</t>
  </si>
  <si>
    <t>H4_41</t>
  </si>
  <si>
    <t>R40C</t>
  </si>
  <si>
    <t>1.3903885827115658e-06</t>
  </si>
  <si>
    <t>7.229764296317748e-05</t>
  </si>
  <si>
    <t>P62805_R45Q</t>
  </si>
  <si>
    <t>H4_46</t>
  </si>
  <si>
    <t>R45Q</t>
  </si>
  <si>
    <t>3.7012106118838876e-06</t>
  </si>
  <si>
    <t>7.872506487766743e-06</t>
  </si>
  <si>
    <t>P62805_R67P</t>
  </si>
  <si>
    <t>H4C3</t>
  </si>
  <si>
    <t>H4_68</t>
  </si>
  <si>
    <t>R67P</t>
  </si>
  <si>
    <t>H4 clustered histone 3</t>
  </si>
  <si>
    <t>9.40549360617382e-08</t>
  </si>
  <si>
    <t>7.806529589136334e-06</t>
  </si>
  <si>
    <t>Q99525_R78C</t>
  </si>
  <si>
    <t>H4_79</t>
  </si>
  <si>
    <t>R78C</t>
  </si>
  <si>
    <t>4.058619040847589e-07</t>
  </si>
  <si>
    <t>9.334782118924905e-06</t>
  </si>
  <si>
    <t>P62805_R92T</t>
  </si>
  <si>
    <t>H4_93</t>
  </si>
  <si>
    <t>R92T</t>
  </si>
  <si>
    <t>4.271497225594168e-06</t>
  </si>
  <si>
    <t>3.1120170742755196e-08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</si>
</sst>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74"/>
  <sheetViews>
    <sheetView tabSelected="1" workbookViewId="0">
      <selection activeCell="A1" sqref="A1:X174"/>
    </sheetView>
  </sheetViews>
  <sheetFormatPr defaultColWidth="8.8" defaultRowHeight="18"/>
  <cols>
    <col min="1" max="1" width="21.2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>
        <v>58</v>
      </c>
      <c r="E2">
        <v>62</v>
      </c>
      <c r="F2" t="s">
        <v>26</v>
      </c>
      <c r="G2" t="s">
        <v>27</v>
      </c>
      <c r="H2" t="s">
        <v>28</v>
      </c>
      <c r="I2" t="str">
        <f t="shared" ref="I2:I65" si="0">C2&amp;E2&amp;G2</f>
        <v>E62D</v>
      </c>
      <c r="J2" t="str">
        <f t="shared" ref="J2:J65" si="1">C2&amp;(E2-1)&amp;G2</f>
        <v>E61D</v>
      </c>
      <c r="K2">
        <v>0.202962417287451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</row>
    <row r="3" spans="1:24">
      <c r="A3" t="s">
        <v>42</v>
      </c>
      <c r="B3" t="s">
        <v>43</v>
      </c>
      <c r="C3" t="s">
        <v>27</v>
      </c>
      <c r="D3">
        <v>72</v>
      </c>
      <c r="E3">
        <v>73</v>
      </c>
      <c r="F3" t="s">
        <v>27</v>
      </c>
      <c r="G3" t="s">
        <v>44</v>
      </c>
      <c r="H3" t="s">
        <v>45</v>
      </c>
      <c r="I3" t="str">
        <f t="shared" si="0"/>
        <v>D73G</v>
      </c>
      <c r="J3" t="str">
        <f t="shared" si="1"/>
        <v>D72G</v>
      </c>
      <c r="K3">
        <v>0.499002199780871</v>
      </c>
      <c r="L3" t="s">
        <v>29</v>
      </c>
      <c r="M3" t="s">
        <v>46</v>
      </c>
      <c r="N3" t="s">
        <v>47</v>
      </c>
      <c r="O3" t="s">
        <v>48</v>
      </c>
      <c r="P3" t="s">
        <v>33</v>
      </c>
      <c r="Q3" t="s">
        <v>49</v>
      </c>
      <c r="R3" t="s">
        <v>50</v>
      </c>
      <c r="S3" t="s">
        <v>51</v>
      </c>
      <c r="T3" t="s">
        <v>37</v>
      </c>
      <c r="U3" t="s">
        <v>52</v>
      </c>
      <c r="V3" t="s">
        <v>53</v>
      </c>
      <c r="W3" t="s">
        <v>40</v>
      </c>
      <c r="X3" t="s">
        <v>54</v>
      </c>
    </row>
    <row r="4" spans="1:24">
      <c r="A4" t="s">
        <v>55</v>
      </c>
      <c r="B4" t="s">
        <v>56</v>
      </c>
      <c r="C4" t="s">
        <v>26</v>
      </c>
      <c r="D4">
        <v>121</v>
      </c>
      <c r="E4">
        <v>122</v>
      </c>
      <c r="F4" t="s">
        <v>26</v>
      </c>
      <c r="G4" t="s">
        <v>57</v>
      </c>
      <c r="H4" t="s">
        <v>58</v>
      </c>
      <c r="I4" t="str">
        <f t="shared" si="0"/>
        <v>E122K</v>
      </c>
      <c r="J4" t="str">
        <f t="shared" si="1"/>
        <v>E121K</v>
      </c>
      <c r="K4" t="s">
        <v>59</v>
      </c>
      <c r="L4" t="s">
        <v>59</v>
      </c>
      <c r="M4" t="s">
        <v>60</v>
      </c>
      <c r="N4" t="s">
        <v>61</v>
      </c>
      <c r="O4" t="s">
        <v>62</v>
      </c>
      <c r="P4" t="s">
        <v>33</v>
      </c>
      <c r="Q4" t="s">
        <v>63</v>
      </c>
      <c r="R4" t="s">
        <v>64</v>
      </c>
      <c r="S4" t="s">
        <v>65</v>
      </c>
      <c r="T4" t="s">
        <v>66</v>
      </c>
      <c r="U4" t="s">
        <v>67</v>
      </c>
      <c r="V4" t="s">
        <v>68</v>
      </c>
      <c r="W4" t="s">
        <v>40</v>
      </c>
      <c r="X4" t="s">
        <v>69</v>
      </c>
    </row>
    <row r="5" spans="1:24">
      <c r="A5" t="s">
        <v>70</v>
      </c>
      <c r="B5" t="s">
        <v>71</v>
      </c>
      <c r="C5" t="s">
        <v>44</v>
      </c>
      <c r="D5">
        <v>2</v>
      </c>
      <c r="E5">
        <v>3</v>
      </c>
      <c r="F5" t="s">
        <v>44</v>
      </c>
      <c r="G5" t="s">
        <v>26</v>
      </c>
      <c r="H5" t="s">
        <v>72</v>
      </c>
      <c r="I5" t="str">
        <f t="shared" si="0"/>
        <v>G3E</v>
      </c>
      <c r="J5" t="str">
        <f t="shared" si="1"/>
        <v>G2E</v>
      </c>
      <c r="K5" t="s">
        <v>59</v>
      </c>
      <c r="L5" t="s">
        <v>59</v>
      </c>
      <c r="M5" t="s">
        <v>73</v>
      </c>
      <c r="N5" t="s">
        <v>74</v>
      </c>
      <c r="O5" t="s">
        <v>75</v>
      </c>
      <c r="P5" t="s">
        <v>33</v>
      </c>
      <c r="Q5" t="s">
        <v>76</v>
      </c>
      <c r="R5" t="s">
        <v>50</v>
      </c>
      <c r="S5" t="s">
        <v>77</v>
      </c>
      <c r="T5" t="s">
        <v>37</v>
      </c>
      <c r="U5" t="s">
        <v>78</v>
      </c>
      <c r="V5" t="s">
        <v>79</v>
      </c>
      <c r="W5" t="s">
        <v>40</v>
      </c>
      <c r="X5" t="s">
        <v>80</v>
      </c>
    </row>
    <row r="6" spans="1:24">
      <c r="A6" t="s">
        <v>81</v>
      </c>
      <c r="B6" t="s">
        <v>82</v>
      </c>
      <c r="C6" t="s">
        <v>44</v>
      </c>
      <c r="D6">
        <v>8</v>
      </c>
      <c r="E6">
        <v>9</v>
      </c>
      <c r="F6" t="s">
        <v>44</v>
      </c>
      <c r="G6" t="s">
        <v>27</v>
      </c>
      <c r="H6" t="s">
        <v>83</v>
      </c>
      <c r="I6" t="str">
        <f t="shared" si="0"/>
        <v>G9D</v>
      </c>
      <c r="J6" t="str">
        <f t="shared" si="1"/>
        <v>G8D</v>
      </c>
      <c r="K6" t="s">
        <v>59</v>
      </c>
      <c r="L6" t="s">
        <v>59</v>
      </c>
      <c r="M6" t="s">
        <v>84</v>
      </c>
      <c r="N6" t="s">
        <v>74</v>
      </c>
      <c r="O6" t="s">
        <v>75</v>
      </c>
      <c r="P6" t="s">
        <v>33</v>
      </c>
      <c r="Q6" t="s">
        <v>85</v>
      </c>
      <c r="R6" t="s">
        <v>86</v>
      </c>
      <c r="S6" t="s">
        <v>87</v>
      </c>
      <c r="T6" t="s">
        <v>37</v>
      </c>
      <c r="U6" t="s">
        <v>88</v>
      </c>
      <c r="V6" t="s">
        <v>89</v>
      </c>
      <c r="W6" t="s">
        <v>40</v>
      </c>
      <c r="X6" t="s">
        <v>90</v>
      </c>
    </row>
    <row r="7" spans="1:24">
      <c r="A7" t="s">
        <v>91</v>
      </c>
      <c r="B7" t="s">
        <v>56</v>
      </c>
      <c r="C7" t="s">
        <v>44</v>
      </c>
      <c r="D7">
        <v>37</v>
      </c>
      <c r="E7">
        <v>38</v>
      </c>
      <c r="F7" t="s">
        <v>44</v>
      </c>
      <c r="G7" t="s">
        <v>27</v>
      </c>
      <c r="H7" t="s">
        <v>92</v>
      </c>
      <c r="I7" t="str">
        <f t="shared" si="0"/>
        <v>G38D</v>
      </c>
      <c r="J7" t="str">
        <f t="shared" si="1"/>
        <v>G37D</v>
      </c>
      <c r="K7">
        <v>0.0786373737482103</v>
      </c>
      <c r="L7" t="s">
        <v>93</v>
      </c>
      <c r="M7" t="s">
        <v>94</v>
      </c>
      <c r="N7" t="s">
        <v>74</v>
      </c>
      <c r="O7" t="s">
        <v>75</v>
      </c>
      <c r="P7" t="s">
        <v>33</v>
      </c>
      <c r="Q7" t="s">
        <v>63</v>
      </c>
      <c r="R7" t="s">
        <v>64</v>
      </c>
      <c r="S7" t="s">
        <v>95</v>
      </c>
      <c r="T7" t="s">
        <v>37</v>
      </c>
      <c r="U7" t="s">
        <v>96</v>
      </c>
      <c r="V7" t="s">
        <v>97</v>
      </c>
      <c r="W7" t="s">
        <v>40</v>
      </c>
      <c r="X7" t="s">
        <v>98</v>
      </c>
    </row>
    <row r="8" spans="1:24">
      <c r="A8" t="s">
        <v>99</v>
      </c>
      <c r="B8" t="s">
        <v>100</v>
      </c>
      <c r="C8" t="s">
        <v>101</v>
      </c>
      <c r="D8">
        <v>69</v>
      </c>
      <c r="E8">
        <v>70</v>
      </c>
      <c r="F8" t="s">
        <v>101</v>
      </c>
      <c r="G8" t="s">
        <v>26</v>
      </c>
      <c r="H8" t="s">
        <v>102</v>
      </c>
      <c r="I8" t="str">
        <f t="shared" si="0"/>
        <v>A70E</v>
      </c>
      <c r="J8" t="str">
        <f t="shared" si="1"/>
        <v>A69E</v>
      </c>
      <c r="K8">
        <v>0.0679379730370644</v>
      </c>
      <c r="L8" t="s">
        <v>93</v>
      </c>
      <c r="M8" t="s">
        <v>103</v>
      </c>
      <c r="N8" t="s">
        <v>74</v>
      </c>
      <c r="O8" t="s">
        <v>75</v>
      </c>
      <c r="P8" t="s">
        <v>33</v>
      </c>
      <c r="Q8" t="s">
        <v>104</v>
      </c>
      <c r="R8" t="s">
        <v>105</v>
      </c>
      <c r="S8" t="s">
        <v>106</v>
      </c>
      <c r="T8" t="s">
        <v>37</v>
      </c>
      <c r="U8" t="s">
        <v>107</v>
      </c>
      <c r="V8" t="s">
        <v>108</v>
      </c>
      <c r="W8" t="s">
        <v>40</v>
      </c>
      <c r="X8" t="s">
        <v>109</v>
      </c>
    </row>
    <row r="9" spans="1:24">
      <c r="A9" t="s">
        <v>110</v>
      </c>
      <c r="B9" t="s">
        <v>111</v>
      </c>
      <c r="C9" t="s">
        <v>44</v>
      </c>
      <c r="D9">
        <v>106</v>
      </c>
      <c r="E9">
        <v>107</v>
      </c>
      <c r="F9" t="s">
        <v>44</v>
      </c>
      <c r="G9" t="s">
        <v>27</v>
      </c>
      <c r="H9" t="s">
        <v>112</v>
      </c>
      <c r="I9" t="str">
        <f t="shared" si="0"/>
        <v>G107D</v>
      </c>
      <c r="J9" t="str">
        <f t="shared" si="1"/>
        <v>G106D</v>
      </c>
      <c r="K9">
        <v>0.149496733202048</v>
      </c>
      <c r="L9" t="s">
        <v>93</v>
      </c>
      <c r="M9" t="s">
        <v>113</v>
      </c>
      <c r="N9" t="s">
        <v>74</v>
      </c>
      <c r="O9" t="s">
        <v>75</v>
      </c>
      <c r="P9" t="s">
        <v>33</v>
      </c>
      <c r="Q9" t="s">
        <v>114</v>
      </c>
      <c r="R9" t="s">
        <v>115</v>
      </c>
      <c r="S9" t="s">
        <v>116</v>
      </c>
      <c r="T9" t="s">
        <v>37</v>
      </c>
      <c r="U9" t="s">
        <v>117</v>
      </c>
      <c r="V9" t="s">
        <v>118</v>
      </c>
      <c r="W9" t="s">
        <v>40</v>
      </c>
      <c r="X9" t="s">
        <v>119</v>
      </c>
    </row>
    <row r="10" spans="1:24">
      <c r="A10" t="s">
        <v>120</v>
      </c>
      <c r="B10" t="s">
        <v>121</v>
      </c>
      <c r="C10" t="s">
        <v>44</v>
      </c>
      <c r="D10">
        <v>128</v>
      </c>
      <c r="E10">
        <v>129</v>
      </c>
      <c r="F10" t="s">
        <v>44</v>
      </c>
      <c r="G10" t="s">
        <v>27</v>
      </c>
      <c r="H10" t="s">
        <v>122</v>
      </c>
      <c r="I10" t="str">
        <f t="shared" si="0"/>
        <v>G129D</v>
      </c>
      <c r="J10" t="str">
        <f t="shared" si="1"/>
        <v>G128D</v>
      </c>
      <c r="K10" t="s">
        <v>59</v>
      </c>
      <c r="L10" t="s">
        <v>59</v>
      </c>
      <c r="M10" t="s">
        <v>123</v>
      </c>
      <c r="N10" t="s">
        <v>74</v>
      </c>
      <c r="O10" t="s">
        <v>75</v>
      </c>
      <c r="P10" t="s">
        <v>33</v>
      </c>
      <c r="Q10" t="s">
        <v>124</v>
      </c>
      <c r="R10" t="s">
        <v>125</v>
      </c>
      <c r="S10" t="s">
        <v>126</v>
      </c>
      <c r="T10" t="s">
        <v>37</v>
      </c>
      <c r="U10" t="s">
        <v>127</v>
      </c>
      <c r="V10" t="s">
        <v>128</v>
      </c>
      <c r="W10" t="s">
        <v>40</v>
      </c>
      <c r="X10" t="s">
        <v>129</v>
      </c>
    </row>
    <row r="11" spans="1:24">
      <c r="A11" t="s">
        <v>130</v>
      </c>
      <c r="B11" t="s">
        <v>131</v>
      </c>
      <c r="C11" t="s">
        <v>132</v>
      </c>
      <c r="D11">
        <v>1</v>
      </c>
      <c r="E11">
        <v>2</v>
      </c>
      <c r="F11" t="s">
        <v>132</v>
      </c>
      <c r="G11" t="s">
        <v>133</v>
      </c>
      <c r="H11" t="s">
        <v>134</v>
      </c>
      <c r="I11" t="str">
        <f t="shared" si="0"/>
        <v>S2C</v>
      </c>
      <c r="J11" t="str">
        <f t="shared" si="1"/>
        <v>S1C</v>
      </c>
      <c r="K11" t="s">
        <v>59</v>
      </c>
      <c r="L11" t="s">
        <v>59</v>
      </c>
      <c r="M11" t="s">
        <v>135</v>
      </c>
      <c r="N11" t="s">
        <v>136</v>
      </c>
      <c r="O11" t="s">
        <v>32</v>
      </c>
      <c r="P11" t="s">
        <v>33</v>
      </c>
      <c r="Q11" t="s">
        <v>137</v>
      </c>
      <c r="R11" t="s">
        <v>50</v>
      </c>
      <c r="S11" t="s">
        <v>138</v>
      </c>
      <c r="T11" t="s">
        <v>37</v>
      </c>
      <c r="U11" t="s">
        <v>127</v>
      </c>
      <c r="V11" t="s">
        <v>139</v>
      </c>
      <c r="W11" t="s">
        <v>40</v>
      </c>
      <c r="X11" t="s">
        <v>129</v>
      </c>
    </row>
    <row r="12" spans="1:24">
      <c r="A12" t="s">
        <v>140</v>
      </c>
      <c r="B12" t="s">
        <v>121</v>
      </c>
      <c r="C12" t="s">
        <v>132</v>
      </c>
      <c r="D12">
        <v>1</v>
      </c>
      <c r="E12">
        <v>2</v>
      </c>
      <c r="F12" t="s">
        <v>132</v>
      </c>
      <c r="G12" t="s">
        <v>141</v>
      </c>
      <c r="H12" t="s">
        <v>134</v>
      </c>
      <c r="I12" t="str">
        <f t="shared" si="0"/>
        <v>S2P</v>
      </c>
      <c r="J12" t="str">
        <f t="shared" si="1"/>
        <v>S1P</v>
      </c>
      <c r="K12" t="s">
        <v>59</v>
      </c>
      <c r="L12" t="s">
        <v>59</v>
      </c>
      <c r="M12" t="s">
        <v>142</v>
      </c>
      <c r="N12" t="s">
        <v>136</v>
      </c>
      <c r="O12" t="s">
        <v>32</v>
      </c>
      <c r="P12" t="s">
        <v>33</v>
      </c>
      <c r="Q12" t="s">
        <v>124</v>
      </c>
      <c r="R12" t="s">
        <v>125</v>
      </c>
      <c r="S12" t="s">
        <v>143</v>
      </c>
      <c r="T12" t="s">
        <v>37</v>
      </c>
      <c r="U12" t="s">
        <v>144</v>
      </c>
      <c r="V12" t="s">
        <v>145</v>
      </c>
      <c r="W12" t="s">
        <v>40</v>
      </c>
      <c r="X12" t="s">
        <v>146</v>
      </c>
    </row>
    <row r="13" spans="1:24">
      <c r="A13" t="s">
        <v>147</v>
      </c>
      <c r="B13" t="s">
        <v>71</v>
      </c>
      <c r="C13" t="s">
        <v>132</v>
      </c>
      <c r="D13">
        <v>1</v>
      </c>
      <c r="E13">
        <v>2</v>
      </c>
      <c r="F13" t="s">
        <v>132</v>
      </c>
      <c r="G13" t="s">
        <v>148</v>
      </c>
      <c r="H13" t="s">
        <v>134</v>
      </c>
      <c r="I13" t="str">
        <f t="shared" si="0"/>
        <v>S2F</v>
      </c>
      <c r="J13" t="str">
        <f t="shared" si="1"/>
        <v>S1F</v>
      </c>
      <c r="K13" t="s">
        <v>59</v>
      </c>
      <c r="L13" t="s">
        <v>59</v>
      </c>
      <c r="M13" t="s">
        <v>149</v>
      </c>
      <c r="N13" t="s">
        <v>136</v>
      </c>
      <c r="O13" t="s">
        <v>32</v>
      </c>
      <c r="P13" t="s">
        <v>33</v>
      </c>
      <c r="Q13" t="s">
        <v>76</v>
      </c>
      <c r="R13" t="s">
        <v>50</v>
      </c>
      <c r="S13" t="s">
        <v>150</v>
      </c>
      <c r="T13" t="s">
        <v>37</v>
      </c>
      <c r="U13" t="s">
        <v>151</v>
      </c>
      <c r="V13" t="s">
        <v>152</v>
      </c>
      <c r="W13" t="s">
        <v>40</v>
      </c>
      <c r="X13" t="s">
        <v>153</v>
      </c>
    </row>
    <row r="14" spans="1:24">
      <c r="A14" t="s">
        <v>154</v>
      </c>
      <c r="B14" t="s">
        <v>155</v>
      </c>
      <c r="C14" t="s">
        <v>44</v>
      </c>
      <c r="D14">
        <v>4</v>
      </c>
      <c r="E14">
        <v>5</v>
      </c>
      <c r="F14" t="s">
        <v>44</v>
      </c>
      <c r="G14" t="s">
        <v>156</v>
      </c>
      <c r="H14" t="s">
        <v>157</v>
      </c>
      <c r="I14" t="str">
        <f t="shared" si="0"/>
        <v>G5V</v>
      </c>
      <c r="J14" t="str">
        <f t="shared" si="1"/>
        <v>G4V</v>
      </c>
      <c r="K14" t="s">
        <v>59</v>
      </c>
      <c r="L14" t="s">
        <v>59</v>
      </c>
      <c r="M14" t="s">
        <v>158</v>
      </c>
      <c r="N14" t="s">
        <v>136</v>
      </c>
      <c r="O14" t="s">
        <v>32</v>
      </c>
      <c r="P14" t="s">
        <v>33</v>
      </c>
      <c r="Q14" t="s">
        <v>159</v>
      </c>
      <c r="R14" t="s">
        <v>160</v>
      </c>
      <c r="S14" t="s">
        <v>161</v>
      </c>
      <c r="T14" t="s">
        <v>37</v>
      </c>
      <c r="U14" t="s">
        <v>78</v>
      </c>
      <c r="V14" t="s">
        <v>162</v>
      </c>
      <c r="W14" t="s">
        <v>40</v>
      </c>
      <c r="X14" t="s">
        <v>80</v>
      </c>
    </row>
    <row r="15" spans="1:24">
      <c r="A15" t="s">
        <v>163</v>
      </c>
      <c r="B15" t="s">
        <v>121</v>
      </c>
      <c r="C15" t="s">
        <v>101</v>
      </c>
      <c r="D15">
        <v>12</v>
      </c>
      <c r="E15">
        <v>13</v>
      </c>
      <c r="F15" t="s">
        <v>101</v>
      </c>
      <c r="G15" t="s">
        <v>164</v>
      </c>
      <c r="H15" t="s">
        <v>165</v>
      </c>
      <c r="I15" t="str">
        <f t="shared" si="0"/>
        <v>A13T</v>
      </c>
      <c r="J15" t="str">
        <f t="shared" si="1"/>
        <v>A12T</v>
      </c>
      <c r="K15">
        <v>0.32383208934358</v>
      </c>
      <c r="L15" t="s">
        <v>29</v>
      </c>
      <c r="M15" t="s">
        <v>166</v>
      </c>
      <c r="N15" t="s">
        <v>136</v>
      </c>
      <c r="O15" t="s">
        <v>32</v>
      </c>
      <c r="P15" t="s">
        <v>33</v>
      </c>
      <c r="Q15" t="s">
        <v>124</v>
      </c>
      <c r="R15" t="s">
        <v>125</v>
      </c>
      <c r="S15" t="s">
        <v>167</v>
      </c>
      <c r="T15" t="s">
        <v>37</v>
      </c>
      <c r="U15" t="s">
        <v>168</v>
      </c>
      <c r="V15" t="s">
        <v>169</v>
      </c>
      <c r="W15" t="s">
        <v>40</v>
      </c>
      <c r="X15" t="s">
        <v>170</v>
      </c>
    </row>
    <row r="16" spans="1:24">
      <c r="A16" t="s">
        <v>171</v>
      </c>
      <c r="B16" t="s">
        <v>172</v>
      </c>
      <c r="C16" t="s">
        <v>173</v>
      </c>
      <c r="D16">
        <v>17</v>
      </c>
      <c r="E16">
        <v>17</v>
      </c>
      <c r="F16" t="s">
        <v>164</v>
      </c>
      <c r="G16" t="s">
        <v>174</v>
      </c>
      <c r="H16" t="s">
        <v>175</v>
      </c>
      <c r="I16" t="str">
        <f t="shared" si="0"/>
        <v>Q17L</v>
      </c>
      <c r="J16" t="str">
        <f t="shared" si="1"/>
        <v>Q16L</v>
      </c>
      <c r="K16">
        <v>0.123717137877683</v>
      </c>
      <c r="L16" t="s">
        <v>93</v>
      </c>
      <c r="M16" t="s">
        <v>176</v>
      </c>
      <c r="N16" t="s">
        <v>136</v>
      </c>
      <c r="O16" t="s">
        <v>32</v>
      </c>
      <c r="P16" t="s">
        <v>33</v>
      </c>
      <c r="Q16" t="s">
        <v>177</v>
      </c>
      <c r="R16" t="s">
        <v>178</v>
      </c>
      <c r="S16" t="s">
        <v>179</v>
      </c>
      <c r="T16" t="s">
        <v>37</v>
      </c>
      <c r="U16" t="s">
        <v>180</v>
      </c>
      <c r="V16" t="s">
        <v>181</v>
      </c>
      <c r="W16" t="s">
        <v>40</v>
      </c>
      <c r="X16" t="s">
        <v>182</v>
      </c>
    </row>
    <row r="17" spans="1:24">
      <c r="A17" t="s">
        <v>183</v>
      </c>
      <c r="B17" t="s">
        <v>155</v>
      </c>
      <c r="C17" t="s">
        <v>132</v>
      </c>
      <c r="D17">
        <v>19</v>
      </c>
      <c r="E17">
        <v>20</v>
      </c>
      <c r="F17" t="s">
        <v>132</v>
      </c>
      <c r="G17" t="s">
        <v>184</v>
      </c>
      <c r="H17" t="s">
        <v>185</v>
      </c>
      <c r="I17" t="str">
        <f t="shared" si="0"/>
        <v>S20Y</v>
      </c>
      <c r="J17" t="str">
        <f t="shared" si="1"/>
        <v>S19Y</v>
      </c>
      <c r="K17">
        <v>0.229981719263494</v>
      </c>
      <c r="L17" t="s">
        <v>29</v>
      </c>
      <c r="M17" t="s">
        <v>186</v>
      </c>
      <c r="N17" t="s">
        <v>136</v>
      </c>
      <c r="O17" t="s">
        <v>32</v>
      </c>
      <c r="P17" t="s">
        <v>33</v>
      </c>
      <c r="Q17" t="s">
        <v>159</v>
      </c>
      <c r="R17" t="s">
        <v>160</v>
      </c>
      <c r="S17" t="s">
        <v>187</v>
      </c>
      <c r="T17" t="s">
        <v>37</v>
      </c>
      <c r="U17" t="s">
        <v>78</v>
      </c>
      <c r="V17" t="s">
        <v>188</v>
      </c>
      <c r="W17" t="s">
        <v>40</v>
      </c>
      <c r="X17" t="s">
        <v>80</v>
      </c>
    </row>
    <row r="18" spans="1:24">
      <c r="A18" t="s">
        <v>189</v>
      </c>
      <c r="B18" t="s">
        <v>190</v>
      </c>
      <c r="C18" t="s">
        <v>141</v>
      </c>
      <c r="D18">
        <v>26</v>
      </c>
      <c r="E18">
        <v>27</v>
      </c>
      <c r="F18" t="s">
        <v>141</v>
      </c>
      <c r="G18" t="s">
        <v>173</v>
      </c>
      <c r="H18" t="s">
        <v>191</v>
      </c>
      <c r="I18" t="str">
        <f t="shared" si="0"/>
        <v>P27Q</v>
      </c>
      <c r="J18" t="str">
        <f t="shared" si="1"/>
        <v>P26Q</v>
      </c>
      <c r="K18">
        <v>0.0256751113274158</v>
      </c>
      <c r="L18" t="s">
        <v>93</v>
      </c>
      <c r="M18" t="s">
        <v>192</v>
      </c>
      <c r="N18" t="s">
        <v>136</v>
      </c>
      <c r="O18" t="s">
        <v>32</v>
      </c>
      <c r="P18" t="s">
        <v>33</v>
      </c>
      <c r="Q18" t="s">
        <v>193</v>
      </c>
      <c r="R18" t="s">
        <v>194</v>
      </c>
      <c r="S18" t="s">
        <v>195</v>
      </c>
      <c r="T18" t="s">
        <v>37</v>
      </c>
      <c r="U18" t="s">
        <v>196</v>
      </c>
      <c r="V18" t="s">
        <v>197</v>
      </c>
      <c r="W18" t="s">
        <v>40</v>
      </c>
      <c r="X18" t="s">
        <v>198</v>
      </c>
    </row>
    <row r="19" spans="1:24">
      <c r="A19" t="s">
        <v>199</v>
      </c>
      <c r="B19" t="s">
        <v>200</v>
      </c>
      <c r="C19" t="s">
        <v>174</v>
      </c>
      <c r="D19">
        <v>27</v>
      </c>
      <c r="E19">
        <v>31</v>
      </c>
      <c r="F19" t="s">
        <v>156</v>
      </c>
      <c r="G19" t="s">
        <v>156</v>
      </c>
      <c r="H19" t="s">
        <v>201</v>
      </c>
      <c r="I19" t="str">
        <f t="shared" si="0"/>
        <v>L31V</v>
      </c>
      <c r="J19" t="str">
        <f t="shared" si="1"/>
        <v>L30V</v>
      </c>
      <c r="K19">
        <v>0</v>
      </c>
      <c r="L19" t="s">
        <v>93</v>
      </c>
      <c r="M19" t="s">
        <v>202</v>
      </c>
      <c r="N19" t="s">
        <v>136</v>
      </c>
      <c r="O19" t="s">
        <v>32</v>
      </c>
      <c r="P19" t="s">
        <v>33</v>
      </c>
      <c r="Q19" t="s">
        <v>203</v>
      </c>
      <c r="R19" t="s">
        <v>204</v>
      </c>
      <c r="S19" t="s">
        <v>205</v>
      </c>
      <c r="T19" t="s">
        <v>37</v>
      </c>
      <c r="U19" t="s">
        <v>206</v>
      </c>
      <c r="V19" t="s">
        <v>207</v>
      </c>
      <c r="W19" t="s">
        <v>40</v>
      </c>
      <c r="X19" t="s">
        <v>208</v>
      </c>
    </row>
    <row r="20" spans="1:24">
      <c r="A20" t="s">
        <v>209</v>
      </c>
      <c r="B20" t="s">
        <v>71</v>
      </c>
      <c r="C20" t="s">
        <v>44</v>
      </c>
      <c r="D20">
        <v>28</v>
      </c>
      <c r="E20">
        <v>29</v>
      </c>
      <c r="F20" t="s">
        <v>44</v>
      </c>
      <c r="G20" t="s">
        <v>132</v>
      </c>
      <c r="H20" t="s">
        <v>210</v>
      </c>
      <c r="I20" t="str">
        <f t="shared" si="0"/>
        <v>G29S</v>
      </c>
      <c r="J20" t="str">
        <f t="shared" si="1"/>
        <v>G28S</v>
      </c>
      <c r="K20">
        <v>0.0362666128712781</v>
      </c>
      <c r="L20" t="s">
        <v>93</v>
      </c>
      <c r="M20" t="s">
        <v>211</v>
      </c>
      <c r="N20" t="s">
        <v>136</v>
      </c>
      <c r="O20" t="s">
        <v>32</v>
      </c>
      <c r="P20" t="s">
        <v>33</v>
      </c>
      <c r="Q20" t="s">
        <v>76</v>
      </c>
      <c r="R20" t="s">
        <v>50</v>
      </c>
      <c r="S20" t="s">
        <v>212</v>
      </c>
      <c r="T20" t="s">
        <v>37</v>
      </c>
      <c r="U20" t="s">
        <v>213</v>
      </c>
      <c r="V20" t="s">
        <v>214</v>
      </c>
      <c r="W20" t="s">
        <v>40</v>
      </c>
      <c r="X20" t="s">
        <v>215</v>
      </c>
    </row>
    <row r="21" spans="1:24">
      <c r="A21" t="s">
        <v>216</v>
      </c>
      <c r="B21" t="s">
        <v>43</v>
      </c>
      <c r="C21" t="s">
        <v>156</v>
      </c>
      <c r="D21">
        <v>30</v>
      </c>
      <c r="E21">
        <v>31</v>
      </c>
      <c r="F21" t="s">
        <v>156</v>
      </c>
      <c r="G21" t="s">
        <v>44</v>
      </c>
      <c r="H21" t="s">
        <v>201</v>
      </c>
      <c r="I21" t="str">
        <f t="shared" si="0"/>
        <v>V31G</v>
      </c>
      <c r="J21" t="str">
        <f t="shared" si="1"/>
        <v>V30G</v>
      </c>
      <c r="K21">
        <v>0</v>
      </c>
      <c r="L21" t="s">
        <v>93</v>
      </c>
      <c r="M21" t="s">
        <v>217</v>
      </c>
      <c r="N21" t="s">
        <v>136</v>
      </c>
      <c r="O21" t="s">
        <v>32</v>
      </c>
      <c r="P21" t="s">
        <v>33</v>
      </c>
      <c r="Q21" t="s">
        <v>49</v>
      </c>
      <c r="R21" t="s">
        <v>50</v>
      </c>
      <c r="S21" t="s">
        <v>218</v>
      </c>
      <c r="T21" t="s">
        <v>37</v>
      </c>
      <c r="U21" t="s">
        <v>219</v>
      </c>
      <c r="V21" t="s">
        <v>220</v>
      </c>
      <c r="W21" t="s">
        <v>40</v>
      </c>
      <c r="X21" t="s">
        <v>221</v>
      </c>
    </row>
    <row r="22" spans="1:24">
      <c r="A22" t="s">
        <v>222</v>
      </c>
      <c r="B22" t="s">
        <v>56</v>
      </c>
      <c r="C22" t="s">
        <v>156</v>
      </c>
      <c r="D22">
        <v>30</v>
      </c>
      <c r="E22">
        <v>31</v>
      </c>
      <c r="F22" t="s">
        <v>156</v>
      </c>
      <c r="G22" t="s">
        <v>223</v>
      </c>
      <c r="H22" t="s">
        <v>201</v>
      </c>
      <c r="I22" t="str">
        <f t="shared" si="0"/>
        <v>V31M</v>
      </c>
      <c r="J22" t="str">
        <f t="shared" si="1"/>
        <v>V30M</v>
      </c>
      <c r="K22">
        <v>0</v>
      </c>
      <c r="L22" t="s">
        <v>93</v>
      </c>
      <c r="M22" t="s">
        <v>224</v>
      </c>
      <c r="N22" t="s">
        <v>136</v>
      </c>
      <c r="O22" t="s">
        <v>32</v>
      </c>
      <c r="P22" t="s">
        <v>33</v>
      </c>
      <c r="Q22" t="s">
        <v>63</v>
      </c>
      <c r="R22" t="s">
        <v>64</v>
      </c>
      <c r="S22" t="s">
        <v>225</v>
      </c>
      <c r="T22" t="s">
        <v>37</v>
      </c>
      <c r="U22" t="s">
        <v>226</v>
      </c>
      <c r="V22" t="s">
        <v>227</v>
      </c>
      <c r="W22" t="s">
        <v>40</v>
      </c>
      <c r="X22" t="s">
        <v>228</v>
      </c>
    </row>
    <row r="23" spans="1:24">
      <c r="A23" t="s">
        <v>229</v>
      </c>
      <c r="B23" t="s">
        <v>172</v>
      </c>
      <c r="C23" t="s">
        <v>173</v>
      </c>
      <c r="D23">
        <v>36</v>
      </c>
      <c r="E23">
        <v>36</v>
      </c>
      <c r="F23" t="s">
        <v>230</v>
      </c>
      <c r="G23" t="s">
        <v>174</v>
      </c>
      <c r="H23" t="s">
        <v>231</v>
      </c>
      <c r="I23" t="str">
        <f t="shared" si="0"/>
        <v>Q36L</v>
      </c>
      <c r="J23" t="str">
        <f t="shared" si="1"/>
        <v>Q35L</v>
      </c>
      <c r="K23">
        <v>0.367188582749096</v>
      </c>
      <c r="L23" t="s">
        <v>29</v>
      </c>
      <c r="M23" t="s">
        <v>232</v>
      </c>
      <c r="N23" t="s">
        <v>136</v>
      </c>
      <c r="O23" t="s">
        <v>32</v>
      </c>
      <c r="P23" t="s">
        <v>33</v>
      </c>
      <c r="Q23" t="s">
        <v>177</v>
      </c>
      <c r="R23" t="s">
        <v>178</v>
      </c>
      <c r="S23" t="s">
        <v>233</v>
      </c>
      <c r="T23" t="s">
        <v>37</v>
      </c>
      <c r="U23" t="s">
        <v>234</v>
      </c>
      <c r="V23" t="s">
        <v>235</v>
      </c>
      <c r="W23" t="s">
        <v>40</v>
      </c>
      <c r="X23" t="s">
        <v>236</v>
      </c>
    </row>
    <row r="24" spans="1:24">
      <c r="A24" t="s">
        <v>237</v>
      </c>
      <c r="B24" t="s">
        <v>131</v>
      </c>
      <c r="C24" t="s">
        <v>156</v>
      </c>
      <c r="D24">
        <v>43</v>
      </c>
      <c r="E24">
        <v>44</v>
      </c>
      <c r="F24" t="s">
        <v>156</v>
      </c>
      <c r="G24" t="s">
        <v>174</v>
      </c>
      <c r="H24" t="s">
        <v>238</v>
      </c>
      <c r="I24" t="str">
        <f t="shared" si="0"/>
        <v>V44L</v>
      </c>
      <c r="J24" t="str">
        <f t="shared" si="1"/>
        <v>V43L</v>
      </c>
      <c r="K24">
        <v>0.0152106137537606</v>
      </c>
      <c r="L24" t="s">
        <v>93</v>
      </c>
      <c r="M24" t="s">
        <v>239</v>
      </c>
      <c r="N24" t="s">
        <v>136</v>
      </c>
      <c r="O24" t="s">
        <v>32</v>
      </c>
      <c r="P24" t="s">
        <v>33</v>
      </c>
      <c r="Q24" t="s">
        <v>137</v>
      </c>
      <c r="R24" t="s">
        <v>50</v>
      </c>
      <c r="S24" t="s">
        <v>240</v>
      </c>
      <c r="T24" t="s">
        <v>37</v>
      </c>
      <c r="U24" t="s">
        <v>241</v>
      </c>
      <c r="V24" t="s">
        <v>242</v>
      </c>
      <c r="W24" t="s">
        <v>40</v>
      </c>
      <c r="X24" t="s">
        <v>243</v>
      </c>
    </row>
    <row r="25" spans="1:24">
      <c r="A25" t="s">
        <v>244</v>
      </c>
      <c r="B25" t="s">
        <v>43</v>
      </c>
      <c r="C25" t="s">
        <v>184</v>
      </c>
      <c r="D25">
        <v>50</v>
      </c>
      <c r="E25">
        <v>51</v>
      </c>
      <c r="F25" t="s">
        <v>184</v>
      </c>
      <c r="G25" t="s">
        <v>148</v>
      </c>
      <c r="H25" t="s">
        <v>245</v>
      </c>
      <c r="I25" t="str">
        <f t="shared" si="0"/>
        <v>Y51F</v>
      </c>
      <c r="J25" t="str">
        <f t="shared" si="1"/>
        <v>Y50F</v>
      </c>
      <c r="K25">
        <v>0.0125090693527873</v>
      </c>
      <c r="L25" t="s">
        <v>93</v>
      </c>
      <c r="M25" t="s">
        <v>246</v>
      </c>
      <c r="N25" t="s">
        <v>136</v>
      </c>
      <c r="O25" t="s">
        <v>32</v>
      </c>
      <c r="P25" t="s">
        <v>33</v>
      </c>
      <c r="Q25" t="s">
        <v>49</v>
      </c>
      <c r="R25" t="s">
        <v>50</v>
      </c>
      <c r="S25" t="s">
        <v>247</v>
      </c>
      <c r="T25" t="s">
        <v>37</v>
      </c>
      <c r="U25" t="s">
        <v>180</v>
      </c>
      <c r="V25" t="s">
        <v>248</v>
      </c>
      <c r="W25" t="s">
        <v>40</v>
      </c>
      <c r="X25" t="s">
        <v>182</v>
      </c>
    </row>
    <row r="26" spans="1:24">
      <c r="A26" t="s">
        <v>249</v>
      </c>
      <c r="B26" t="s">
        <v>250</v>
      </c>
      <c r="C26" t="s">
        <v>101</v>
      </c>
      <c r="D26">
        <v>51</v>
      </c>
      <c r="E26">
        <v>49</v>
      </c>
      <c r="F26" t="s">
        <v>141</v>
      </c>
      <c r="G26" t="s">
        <v>156</v>
      </c>
      <c r="H26" t="s">
        <v>251</v>
      </c>
      <c r="I26" t="str">
        <f t="shared" si="0"/>
        <v>A49V</v>
      </c>
      <c r="J26" t="str">
        <f t="shared" si="1"/>
        <v>A48V</v>
      </c>
      <c r="K26">
        <v>0</v>
      </c>
      <c r="L26" t="s">
        <v>93</v>
      </c>
      <c r="M26" t="s">
        <v>252</v>
      </c>
      <c r="N26" t="s">
        <v>136</v>
      </c>
      <c r="O26" t="s">
        <v>32</v>
      </c>
      <c r="P26" t="s">
        <v>33</v>
      </c>
      <c r="Q26" t="s">
        <v>253</v>
      </c>
      <c r="R26" t="s">
        <v>254</v>
      </c>
      <c r="S26" t="s">
        <v>255</v>
      </c>
      <c r="T26" t="s">
        <v>37</v>
      </c>
      <c r="U26" t="s">
        <v>38</v>
      </c>
      <c r="V26" t="s">
        <v>256</v>
      </c>
      <c r="W26" t="s">
        <v>40</v>
      </c>
      <c r="X26" t="s">
        <v>257</v>
      </c>
    </row>
    <row r="27" spans="1:24">
      <c r="A27" t="s">
        <v>258</v>
      </c>
      <c r="B27" t="s">
        <v>71</v>
      </c>
      <c r="C27" t="s">
        <v>101</v>
      </c>
      <c r="D27">
        <v>53</v>
      </c>
      <c r="E27">
        <v>54</v>
      </c>
      <c r="F27" t="s">
        <v>101</v>
      </c>
      <c r="G27" t="s">
        <v>156</v>
      </c>
      <c r="H27" t="s">
        <v>259</v>
      </c>
      <c r="I27" t="str">
        <f t="shared" si="0"/>
        <v>A54V</v>
      </c>
      <c r="J27" t="str">
        <f t="shared" si="1"/>
        <v>A53V</v>
      </c>
      <c r="K27">
        <v>0.0194974185487267</v>
      </c>
      <c r="L27" t="s">
        <v>93</v>
      </c>
      <c r="M27" t="s">
        <v>260</v>
      </c>
      <c r="N27" t="s">
        <v>136</v>
      </c>
      <c r="O27" t="s">
        <v>32</v>
      </c>
      <c r="P27" t="s">
        <v>33</v>
      </c>
      <c r="Q27" t="s">
        <v>76</v>
      </c>
      <c r="R27" t="s">
        <v>50</v>
      </c>
      <c r="S27" t="s">
        <v>261</v>
      </c>
      <c r="T27" t="s">
        <v>37</v>
      </c>
      <c r="U27" t="s">
        <v>262</v>
      </c>
      <c r="V27" t="s">
        <v>263</v>
      </c>
      <c r="W27" t="s">
        <v>40</v>
      </c>
      <c r="X27" t="s">
        <v>264</v>
      </c>
    </row>
    <row r="28" spans="1:24">
      <c r="A28" t="s">
        <v>265</v>
      </c>
      <c r="B28" t="s">
        <v>266</v>
      </c>
      <c r="C28" t="s">
        <v>101</v>
      </c>
      <c r="D28">
        <v>53</v>
      </c>
      <c r="E28">
        <v>54</v>
      </c>
      <c r="F28" t="s">
        <v>101</v>
      </c>
      <c r="G28" t="s">
        <v>164</v>
      </c>
      <c r="H28" t="s">
        <v>259</v>
      </c>
      <c r="I28" t="str">
        <f t="shared" si="0"/>
        <v>A54T</v>
      </c>
      <c r="J28" t="str">
        <f t="shared" si="1"/>
        <v>A53T</v>
      </c>
      <c r="K28">
        <v>0.0194974185487267</v>
      </c>
      <c r="L28" t="s">
        <v>93</v>
      </c>
      <c r="M28" t="s">
        <v>267</v>
      </c>
      <c r="N28" t="s">
        <v>136</v>
      </c>
      <c r="O28" t="s">
        <v>32</v>
      </c>
      <c r="P28" t="s">
        <v>33</v>
      </c>
      <c r="Q28" t="s">
        <v>268</v>
      </c>
      <c r="R28" t="s">
        <v>50</v>
      </c>
      <c r="S28" t="s">
        <v>269</v>
      </c>
      <c r="T28" t="s">
        <v>37</v>
      </c>
      <c r="U28" t="s">
        <v>270</v>
      </c>
      <c r="V28" t="s">
        <v>271</v>
      </c>
      <c r="W28" t="s">
        <v>40</v>
      </c>
      <c r="X28" t="s">
        <v>272</v>
      </c>
    </row>
    <row r="29" spans="1:24">
      <c r="A29" t="s">
        <v>273</v>
      </c>
      <c r="B29" t="s">
        <v>131</v>
      </c>
      <c r="C29" t="s">
        <v>164</v>
      </c>
      <c r="D29">
        <v>59</v>
      </c>
      <c r="E29">
        <v>60</v>
      </c>
      <c r="F29" t="s">
        <v>164</v>
      </c>
      <c r="G29" t="s">
        <v>274</v>
      </c>
      <c r="H29" t="s">
        <v>275</v>
      </c>
      <c r="I29" t="str">
        <f t="shared" si="0"/>
        <v>T60I</v>
      </c>
      <c r="J29" t="str">
        <f t="shared" si="1"/>
        <v>T59I</v>
      </c>
      <c r="K29">
        <v>0</v>
      </c>
      <c r="L29" t="s">
        <v>93</v>
      </c>
      <c r="M29" t="s">
        <v>276</v>
      </c>
      <c r="N29" t="s">
        <v>136</v>
      </c>
      <c r="O29" t="s">
        <v>32</v>
      </c>
      <c r="P29" t="s">
        <v>33</v>
      </c>
      <c r="Q29" t="s">
        <v>137</v>
      </c>
      <c r="R29" t="s">
        <v>50</v>
      </c>
      <c r="S29" t="s">
        <v>277</v>
      </c>
      <c r="T29" t="s">
        <v>37</v>
      </c>
      <c r="U29" t="s">
        <v>213</v>
      </c>
      <c r="V29" t="s">
        <v>278</v>
      </c>
      <c r="W29" t="s">
        <v>40</v>
      </c>
      <c r="X29" t="s">
        <v>215</v>
      </c>
    </row>
    <row r="30" spans="1:24">
      <c r="A30" t="s">
        <v>279</v>
      </c>
      <c r="B30" t="s">
        <v>111</v>
      </c>
      <c r="C30" t="s">
        <v>101</v>
      </c>
      <c r="D30">
        <v>60</v>
      </c>
      <c r="E30">
        <v>61</v>
      </c>
      <c r="F30" t="s">
        <v>101</v>
      </c>
      <c r="G30" t="s">
        <v>141</v>
      </c>
      <c r="H30" t="s">
        <v>280</v>
      </c>
      <c r="I30" t="str">
        <f t="shared" si="0"/>
        <v>A61P</v>
      </c>
      <c r="J30" t="str">
        <f t="shared" si="1"/>
        <v>A60P</v>
      </c>
      <c r="K30">
        <v>0.131604336837111</v>
      </c>
      <c r="L30" t="s">
        <v>93</v>
      </c>
      <c r="M30" t="s">
        <v>281</v>
      </c>
      <c r="N30" t="s">
        <v>136</v>
      </c>
      <c r="O30" t="s">
        <v>32</v>
      </c>
      <c r="P30" t="s">
        <v>33</v>
      </c>
      <c r="Q30" t="s">
        <v>114</v>
      </c>
      <c r="R30" t="s">
        <v>115</v>
      </c>
      <c r="S30" t="s">
        <v>282</v>
      </c>
      <c r="T30" t="s">
        <v>37</v>
      </c>
      <c r="U30" t="s">
        <v>283</v>
      </c>
      <c r="V30" t="s">
        <v>284</v>
      </c>
      <c r="W30" t="s">
        <v>40</v>
      </c>
      <c r="X30" t="s">
        <v>285</v>
      </c>
    </row>
    <row r="31" spans="1:24">
      <c r="A31" t="s">
        <v>286</v>
      </c>
      <c r="B31" t="s">
        <v>111</v>
      </c>
      <c r="C31" t="s">
        <v>174</v>
      </c>
      <c r="D31">
        <v>65</v>
      </c>
      <c r="E31">
        <v>66</v>
      </c>
      <c r="F31" t="s">
        <v>174</v>
      </c>
      <c r="G31" t="s">
        <v>156</v>
      </c>
      <c r="H31" t="s">
        <v>287</v>
      </c>
      <c r="I31" t="str">
        <f t="shared" si="0"/>
        <v>L66V</v>
      </c>
      <c r="J31" t="str">
        <f t="shared" si="1"/>
        <v>L65V</v>
      </c>
      <c r="K31">
        <v>0.191547733385086</v>
      </c>
      <c r="L31" t="s">
        <v>93</v>
      </c>
      <c r="M31" t="s">
        <v>288</v>
      </c>
      <c r="N31" t="s">
        <v>136</v>
      </c>
      <c r="O31" t="s">
        <v>32</v>
      </c>
      <c r="P31" t="s">
        <v>33</v>
      </c>
      <c r="Q31" t="s">
        <v>114</v>
      </c>
      <c r="R31" t="s">
        <v>115</v>
      </c>
      <c r="S31" t="s">
        <v>289</v>
      </c>
      <c r="T31" t="s">
        <v>37</v>
      </c>
      <c r="U31" t="s">
        <v>213</v>
      </c>
      <c r="V31" t="s">
        <v>290</v>
      </c>
      <c r="W31" t="s">
        <v>40</v>
      </c>
      <c r="X31" t="s">
        <v>215</v>
      </c>
    </row>
    <row r="32" spans="1:24">
      <c r="A32" t="s">
        <v>291</v>
      </c>
      <c r="B32" t="s">
        <v>266</v>
      </c>
      <c r="C32" t="s">
        <v>274</v>
      </c>
      <c r="D32">
        <v>78</v>
      </c>
      <c r="E32">
        <v>79</v>
      </c>
      <c r="F32" t="s">
        <v>274</v>
      </c>
      <c r="G32" t="s">
        <v>156</v>
      </c>
      <c r="H32" t="s">
        <v>292</v>
      </c>
      <c r="I32" t="str">
        <f t="shared" si="0"/>
        <v>I79V</v>
      </c>
      <c r="J32" t="str">
        <f t="shared" si="1"/>
        <v>I78V</v>
      </c>
      <c r="K32">
        <v>0</v>
      </c>
      <c r="L32" t="s">
        <v>93</v>
      </c>
      <c r="M32" t="s">
        <v>293</v>
      </c>
      <c r="N32" t="s">
        <v>136</v>
      </c>
      <c r="O32" t="s">
        <v>32</v>
      </c>
      <c r="P32" t="s">
        <v>33</v>
      </c>
      <c r="Q32" t="s">
        <v>268</v>
      </c>
      <c r="R32" t="s">
        <v>50</v>
      </c>
      <c r="S32" t="s">
        <v>294</v>
      </c>
      <c r="T32" t="s">
        <v>37</v>
      </c>
      <c r="U32" t="s">
        <v>213</v>
      </c>
      <c r="V32" t="s">
        <v>295</v>
      </c>
      <c r="W32" t="s">
        <v>40</v>
      </c>
      <c r="X32" t="s">
        <v>215</v>
      </c>
    </row>
    <row r="33" spans="1:24">
      <c r="A33" t="s">
        <v>296</v>
      </c>
      <c r="B33" t="s">
        <v>121</v>
      </c>
      <c r="C33" t="s">
        <v>174</v>
      </c>
      <c r="D33">
        <v>83</v>
      </c>
      <c r="E33">
        <v>84</v>
      </c>
      <c r="F33" t="s">
        <v>174</v>
      </c>
      <c r="G33" t="s">
        <v>148</v>
      </c>
      <c r="H33" t="s">
        <v>297</v>
      </c>
      <c r="I33" t="str">
        <f t="shared" si="0"/>
        <v>L84F</v>
      </c>
      <c r="J33" t="str">
        <f t="shared" si="1"/>
        <v>L83F</v>
      </c>
      <c r="K33">
        <v>0.00779316685321125</v>
      </c>
      <c r="L33" t="s">
        <v>93</v>
      </c>
      <c r="M33" t="s">
        <v>298</v>
      </c>
      <c r="N33" t="s">
        <v>136</v>
      </c>
      <c r="O33" t="s">
        <v>32</v>
      </c>
      <c r="P33" t="s">
        <v>33</v>
      </c>
      <c r="Q33" t="s">
        <v>124</v>
      </c>
      <c r="R33" t="s">
        <v>125</v>
      </c>
      <c r="S33" t="s">
        <v>299</v>
      </c>
      <c r="T33" t="s">
        <v>37</v>
      </c>
      <c r="U33" t="s">
        <v>300</v>
      </c>
      <c r="V33" t="s">
        <v>301</v>
      </c>
      <c r="W33" t="s">
        <v>40</v>
      </c>
      <c r="X33" t="s">
        <v>302</v>
      </c>
    </row>
    <row r="34" spans="1:24">
      <c r="A34" t="s">
        <v>303</v>
      </c>
      <c r="B34" t="s">
        <v>190</v>
      </c>
      <c r="C34" t="s">
        <v>174</v>
      </c>
      <c r="D34">
        <v>93</v>
      </c>
      <c r="E34">
        <v>94</v>
      </c>
      <c r="F34" t="s">
        <v>174</v>
      </c>
      <c r="G34" t="s">
        <v>156</v>
      </c>
      <c r="H34" t="s">
        <v>304</v>
      </c>
      <c r="I34" t="str">
        <f t="shared" si="0"/>
        <v>L94V</v>
      </c>
      <c r="J34" t="str">
        <f t="shared" si="1"/>
        <v>L93V</v>
      </c>
      <c r="K34">
        <v>0</v>
      </c>
      <c r="L34" t="s">
        <v>93</v>
      </c>
      <c r="M34" t="s">
        <v>305</v>
      </c>
      <c r="N34" t="s">
        <v>136</v>
      </c>
      <c r="O34" t="s">
        <v>32</v>
      </c>
      <c r="P34" t="s">
        <v>33</v>
      </c>
      <c r="Q34" t="s">
        <v>193</v>
      </c>
      <c r="R34" t="s">
        <v>194</v>
      </c>
      <c r="S34" t="s">
        <v>306</v>
      </c>
      <c r="T34" t="s">
        <v>37</v>
      </c>
      <c r="U34" t="s">
        <v>213</v>
      </c>
      <c r="V34" t="s">
        <v>307</v>
      </c>
      <c r="W34" t="s">
        <v>40</v>
      </c>
      <c r="X34" t="s">
        <v>215</v>
      </c>
    </row>
    <row r="35" spans="1:24">
      <c r="A35" t="s">
        <v>308</v>
      </c>
      <c r="B35" t="s">
        <v>56</v>
      </c>
      <c r="C35" t="s">
        <v>44</v>
      </c>
      <c r="D35">
        <v>98</v>
      </c>
      <c r="E35">
        <v>99</v>
      </c>
      <c r="F35" t="s">
        <v>44</v>
      </c>
      <c r="G35" t="s">
        <v>133</v>
      </c>
      <c r="H35" t="s">
        <v>309</v>
      </c>
      <c r="I35" t="str">
        <f t="shared" si="0"/>
        <v>G99C</v>
      </c>
      <c r="J35" t="str">
        <f t="shared" si="1"/>
        <v>G98C</v>
      </c>
      <c r="K35">
        <v>0.241199371300964</v>
      </c>
      <c r="L35" t="s">
        <v>29</v>
      </c>
      <c r="M35" t="s">
        <v>310</v>
      </c>
      <c r="N35" t="s">
        <v>136</v>
      </c>
      <c r="O35" t="s">
        <v>32</v>
      </c>
      <c r="P35" t="s">
        <v>33</v>
      </c>
      <c r="Q35" t="s">
        <v>63</v>
      </c>
      <c r="R35" t="s">
        <v>64</v>
      </c>
      <c r="S35" t="s">
        <v>311</v>
      </c>
      <c r="T35" t="s">
        <v>37</v>
      </c>
      <c r="U35" t="s">
        <v>312</v>
      </c>
      <c r="V35" t="s">
        <v>313</v>
      </c>
      <c r="W35" t="s">
        <v>40</v>
      </c>
      <c r="X35" t="s">
        <v>314</v>
      </c>
    </row>
    <row r="36" spans="1:24">
      <c r="A36" t="s">
        <v>315</v>
      </c>
      <c r="B36" t="s">
        <v>266</v>
      </c>
      <c r="C36" t="s">
        <v>173</v>
      </c>
      <c r="D36">
        <v>104</v>
      </c>
      <c r="E36">
        <v>105</v>
      </c>
      <c r="F36" t="s">
        <v>173</v>
      </c>
      <c r="G36" t="s">
        <v>141</v>
      </c>
      <c r="H36" t="s">
        <v>316</v>
      </c>
      <c r="I36" t="str">
        <f t="shared" si="0"/>
        <v>Q105P</v>
      </c>
      <c r="J36" t="str">
        <f t="shared" si="1"/>
        <v>Q104P</v>
      </c>
      <c r="K36">
        <v>0.162391658287542</v>
      </c>
      <c r="L36" t="s">
        <v>93</v>
      </c>
      <c r="M36" t="s">
        <v>317</v>
      </c>
      <c r="N36" t="s">
        <v>136</v>
      </c>
      <c r="O36" t="s">
        <v>32</v>
      </c>
      <c r="P36" t="s">
        <v>33</v>
      </c>
      <c r="Q36" t="s">
        <v>268</v>
      </c>
      <c r="R36" t="s">
        <v>50</v>
      </c>
      <c r="S36" t="s">
        <v>318</v>
      </c>
      <c r="T36" t="s">
        <v>37</v>
      </c>
      <c r="U36" t="s">
        <v>312</v>
      </c>
      <c r="V36" t="s">
        <v>319</v>
      </c>
      <c r="W36" t="s">
        <v>40</v>
      </c>
      <c r="X36" t="s">
        <v>314</v>
      </c>
    </row>
    <row r="37" spans="1:24">
      <c r="A37" t="s">
        <v>320</v>
      </c>
      <c r="B37" t="s">
        <v>131</v>
      </c>
      <c r="C37" t="s">
        <v>101</v>
      </c>
      <c r="D37">
        <v>126</v>
      </c>
      <c r="E37">
        <v>127</v>
      </c>
      <c r="F37" t="s">
        <v>101</v>
      </c>
      <c r="G37" t="s">
        <v>141</v>
      </c>
      <c r="H37" t="s">
        <v>321</v>
      </c>
      <c r="I37" t="str">
        <f t="shared" si="0"/>
        <v>A127P</v>
      </c>
      <c r="J37" t="str">
        <f t="shared" si="1"/>
        <v>A126P</v>
      </c>
      <c r="K37" t="s">
        <v>59</v>
      </c>
      <c r="L37" t="s">
        <v>59</v>
      </c>
      <c r="M37" t="s">
        <v>322</v>
      </c>
      <c r="N37" t="s">
        <v>136</v>
      </c>
      <c r="O37" t="s">
        <v>32</v>
      </c>
      <c r="P37" t="s">
        <v>33</v>
      </c>
      <c r="Q37" t="s">
        <v>137</v>
      </c>
      <c r="R37" t="s">
        <v>50</v>
      </c>
      <c r="S37" t="s">
        <v>289</v>
      </c>
      <c r="T37" t="s">
        <v>37</v>
      </c>
      <c r="U37" t="s">
        <v>213</v>
      </c>
      <c r="V37" t="s">
        <v>290</v>
      </c>
      <c r="W37" t="s">
        <v>40</v>
      </c>
      <c r="X37" t="s">
        <v>215</v>
      </c>
    </row>
    <row r="38" spans="1:24">
      <c r="A38" t="s">
        <v>323</v>
      </c>
      <c r="B38" t="s">
        <v>43</v>
      </c>
      <c r="C38" t="s">
        <v>44</v>
      </c>
      <c r="D38">
        <v>2</v>
      </c>
      <c r="E38">
        <v>3</v>
      </c>
      <c r="F38" t="s">
        <v>44</v>
      </c>
      <c r="G38" t="s">
        <v>230</v>
      </c>
      <c r="H38" t="s">
        <v>72</v>
      </c>
      <c r="I38" t="str">
        <f t="shared" si="0"/>
        <v>G3R</v>
      </c>
      <c r="J38" t="str">
        <f t="shared" si="1"/>
        <v>G2R</v>
      </c>
      <c r="K38" t="s">
        <v>59</v>
      </c>
      <c r="L38" t="s">
        <v>59</v>
      </c>
      <c r="M38" t="s">
        <v>324</v>
      </c>
      <c r="N38" t="s">
        <v>325</v>
      </c>
      <c r="O38" t="s">
        <v>75</v>
      </c>
      <c r="P38" t="s">
        <v>33</v>
      </c>
      <c r="Q38" t="s">
        <v>49</v>
      </c>
      <c r="R38" t="s">
        <v>50</v>
      </c>
      <c r="S38" t="s">
        <v>326</v>
      </c>
      <c r="T38" t="s">
        <v>37</v>
      </c>
      <c r="U38" t="s">
        <v>88</v>
      </c>
      <c r="V38" t="s">
        <v>327</v>
      </c>
      <c r="W38" t="s">
        <v>40</v>
      </c>
      <c r="X38" t="s">
        <v>90</v>
      </c>
    </row>
    <row r="39" spans="1:24">
      <c r="A39" t="s">
        <v>328</v>
      </c>
      <c r="B39" t="s">
        <v>250</v>
      </c>
      <c r="C39" t="s">
        <v>164</v>
      </c>
      <c r="D39">
        <v>40</v>
      </c>
      <c r="E39">
        <v>39</v>
      </c>
      <c r="F39" t="s">
        <v>329</v>
      </c>
      <c r="G39" t="s">
        <v>57</v>
      </c>
      <c r="H39" t="s">
        <v>330</v>
      </c>
      <c r="I39" t="str">
        <f t="shared" si="0"/>
        <v>T39K</v>
      </c>
      <c r="J39" t="str">
        <f t="shared" si="1"/>
        <v>T38K</v>
      </c>
      <c r="K39">
        <v>0.136955106453508</v>
      </c>
      <c r="L39" t="s">
        <v>93</v>
      </c>
      <c r="M39" t="s">
        <v>331</v>
      </c>
      <c r="N39" t="s">
        <v>325</v>
      </c>
      <c r="O39" t="s">
        <v>75</v>
      </c>
      <c r="P39" t="s">
        <v>33</v>
      </c>
      <c r="Q39" t="s">
        <v>253</v>
      </c>
      <c r="R39" t="s">
        <v>254</v>
      </c>
      <c r="S39" t="s">
        <v>332</v>
      </c>
      <c r="T39" t="s">
        <v>37</v>
      </c>
      <c r="U39" t="s">
        <v>312</v>
      </c>
      <c r="V39" t="s">
        <v>333</v>
      </c>
      <c r="W39" t="s">
        <v>40</v>
      </c>
      <c r="X39" t="s">
        <v>334</v>
      </c>
    </row>
    <row r="40" spans="1:24">
      <c r="A40" t="s">
        <v>335</v>
      </c>
      <c r="B40" t="s">
        <v>336</v>
      </c>
      <c r="C40" t="s">
        <v>173</v>
      </c>
      <c r="D40">
        <v>104</v>
      </c>
      <c r="E40">
        <v>105</v>
      </c>
      <c r="F40" t="s">
        <v>173</v>
      </c>
      <c r="G40" t="s">
        <v>337</v>
      </c>
      <c r="H40" t="s">
        <v>316</v>
      </c>
      <c r="I40" t="str">
        <f t="shared" si="0"/>
        <v>Q105H</v>
      </c>
      <c r="J40" t="str">
        <f t="shared" si="1"/>
        <v>Q104H</v>
      </c>
      <c r="K40">
        <v>0.162391658287542</v>
      </c>
      <c r="L40" t="s">
        <v>93</v>
      </c>
      <c r="M40" t="s">
        <v>338</v>
      </c>
      <c r="N40" t="s">
        <v>325</v>
      </c>
      <c r="O40" t="s">
        <v>75</v>
      </c>
      <c r="P40" t="s">
        <v>33</v>
      </c>
      <c r="Q40" t="s">
        <v>339</v>
      </c>
      <c r="R40" t="s">
        <v>340</v>
      </c>
      <c r="S40" t="s">
        <v>341</v>
      </c>
      <c r="T40" t="s">
        <v>37</v>
      </c>
      <c r="U40" t="s">
        <v>117</v>
      </c>
      <c r="V40" t="s">
        <v>342</v>
      </c>
      <c r="W40" t="s">
        <v>40</v>
      </c>
      <c r="X40" t="s">
        <v>119</v>
      </c>
    </row>
    <row r="41" spans="1:24">
      <c r="A41" t="s">
        <v>343</v>
      </c>
      <c r="B41" t="s">
        <v>121</v>
      </c>
      <c r="C41" t="s">
        <v>174</v>
      </c>
      <c r="D41">
        <v>115</v>
      </c>
      <c r="E41">
        <v>116</v>
      </c>
      <c r="F41" t="s">
        <v>174</v>
      </c>
      <c r="G41" t="s">
        <v>337</v>
      </c>
      <c r="H41" t="s">
        <v>344</v>
      </c>
      <c r="I41" t="str">
        <f t="shared" si="0"/>
        <v>L116H</v>
      </c>
      <c r="J41" t="str">
        <f t="shared" si="1"/>
        <v>L115H</v>
      </c>
      <c r="K41">
        <v>0.000839124966452623</v>
      </c>
      <c r="L41" t="s">
        <v>93</v>
      </c>
      <c r="M41" t="s">
        <v>345</v>
      </c>
      <c r="N41" t="s">
        <v>325</v>
      </c>
      <c r="O41" t="s">
        <v>75</v>
      </c>
      <c r="P41" t="s">
        <v>33</v>
      </c>
      <c r="Q41" t="s">
        <v>124</v>
      </c>
      <c r="R41" t="s">
        <v>125</v>
      </c>
      <c r="S41" t="s">
        <v>346</v>
      </c>
      <c r="T41" t="s">
        <v>37</v>
      </c>
      <c r="U41" t="s">
        <v>347</v>
      </c>
      <c r="V41" t="s">
        <v>348</v>
      </c>
      <c r="W41" t="s">
        <v>40</v>
      </c>
      <c r="X41" t="s">
        <v>349</v>
      </c>
    </row>
    <row r="42" spans="1:24">
      <c r="A42" t="s">
        <v>350</v>
      </c>
      <c r="B42" t="s">
        <v>82</v>
      </c>
      <c r="C42" t="s">
        <v>230</v>
      </c>
      <c r="D42">
        <v>11</v>
      </c>
      <c r="E42">
        <v>12</v>
      </c>
      <c r="F42" t="s">
        <v>230</v>
      </c>
      <c r="G42" t="s">
        <v>132</v>
      </c>
      <c r="H42" t="s">
        <v>351</v>
      </c>
      <c r="I42" t="str">
        <f t="shared" si="0"/>
        <v>R12S</v>
      </c>
      <c r="J42" t="str">
        <f t="shared" si="1"/>
        <v>R11S</v>
      </c>
      <c r="K42">
        <v>0.367531537279779</v>
      </c>
      <c r="L42" t="s">
        <v>29</v>
      </c>
      <c r="M42" t="s">
        <v>352</v>
      </c>
      <c r="N42" t="s">
        <v>353</v>
      </c>
      <c r="O42" t="s">
        <v>48</v>
      </c>
      <c r="P42" t="s">
        <v>33</v>
      </c>
      <c r="Q42" t="s">
        <v>85</v>
      </c>
      <c r="R42" t="s">
        <v>86</v>
      </c>
      <c r="S42" t="s">
        <v>354</v>
      </c>
      <c r="T42" t="s">
        <v>37</v>
      </c>
      <c r="U42" t="s">
        <v>355</v>
      </c>
      <c r="V42" t="s">
        <v>356</v>
      </c>
      <c r="W42" t="s">
        <v>40</v>
      </c>
      <c r="X42" t="s">
        <v>357</v>
      </c>
    </row>
    <row r="43" spans="1:24">
      <c r="A43" t="s">
        <v>358</v>
      </c>
      <c r="B43" t="s">
        <v>359</v>
      </c>
      <c r="C43" t="s">
        <v>230</v>
      </c>
      <c r="D43">
        <v>17</v>
      </c>
      <c r="E43">
        <v>18</v>
      </c>
      <c r="F43" t="s">
        <v>230</v>
      </c>
      <c r="G43" t="s">
        <v>141</v>
      </c>
      <c r="H43" t="s">
        <v>360</v>
      </c>
      <c r="I43" t="str">
        <f t="shared" si="0"/>
        <v>R18P</v>
      </c>
      <c r="J43" t="str">
        <f t="shared" si="1"/>
        <v>R17P</v>
      </c>
      <c r="K43">
        <v>0.0923076598631483</v>
      </c>
      <c r="L43" t="s">
        <v>93</v>
      </c>
      <c r="M43" t="s">
        <v>361</v>
      </c>
      <c r="N43" t="s">
        <v>353</v>
      </c>
      <c r="O43" t="s">
        <v>48</v>
      </c>
      <c r="P43" t="s">
        <v>33</v>
      </c>
      <c r="Q43" t="s">
        <v>362</v>
      </c>
      <c r="R43" t="s">
        <v>50</v>
      </c>
      <c r="S43" t="s">
        <v>363</v>
      </c>
      <c r="T43" t="s">
        <v>37</v>
      </c>
      <c r="U43" t="s">
        <v>364</v>
      </c>
      <c r="V43" t="s">
        <v>365</v>
      </c>
      <c r="W43" t="s">
        <v>40</v>
      </c>
      <c r="X43" t="s">
        <v>366</v>
      </c>
    </row>
    <row r="44" spans="1:24">
      <c r="A44" t="s">
        <v>367</v>
      </c>
      <c r="B44" t="s">
        <v>155</v>
      </c>
      <c r="C44" t="s">
        <v>230</v>
      </c>
      <c r="D44">
        <v>29</v>
      </c>
      <c r="E44">
        <v>30</v>
      </c>
      <c r="F44" t="s">
        <v>230</v>
      </c>
      <c r="G44" t="s">
        <v>173</v>
      </c>
      <c r="H44" t="s">
        <v>368</v>
      </c>
      <c r="I44" t="str">
        <f t="shared" si="0"/>
        <v>R30Q</v>
      </c>
      <c r="J44" t="str">
        <f t="shared" si="1"/>
        <v>R29Q</v>
      </c>
      <c r="K44">
        <v>0.0456598620748694</v>
      </c>
      <c r="L44" t="s">
        <v>93</v>
      </c>
      <c r="M44" t="s">
        <v>369</v>
      </c>
      <c r="N44" t="s">
        <v>353</v>
      </c>
      <c r="O44" t="s">
        <v>48</v>
      </c>
      <c r="P44" t="s">
        <v>33</v>
      </c>
      <c r="Q44" t="s">
        <v>159</v>
      </c>
      <c r="R44" t="s">
        <v>160</v>
      </c>
      <c r="S44" t="s">
        <v>370</v>
      </c>
      <c r="T44" t="s">
        <v>66</v>
      </c>
      <c r="U44" t="s">
        <v>219</v>
      </c>
      <c r="V44" t="s">
        <v>371</v>
      </c>
      <c r="W44" t="s">
        <v>40</v>
      </c>
      <c r="X44" t="s">
        <v>221</v>
      </c>
    </row>
    <row r="45" spans="1:24">
      <c r="A45" t="s">
        <v>372</v>
      </c>
      <c r="B45" t="s">
        <v>190</v>
      </c>
      <c r="C45" t="s">
        <v>230</v>
      </c>
      <c r="D45">
        <v>35</v>
      </c>
      <c r="E45">
        <v>36</v>
      </c>
      <c r="F45" t="s">
        <v>230</v>
      </c>
      <c r="G45" t="s">
        <v>174</v>
      </c>
      <c r="H45" t="s">
        <v>231</v>
      </c>
      <c r="I45" t="str">
        <f t="shared" si="0"/>
        <v>R36L</v>
      </c>
      <c r="J45" t="str">
        <f t="shared" si="1"/>
        <v>R35L</v>
      </c>
      <c r="K45">
        <v>0.367188582749096</v>
      </c>
      <c r="L45" t="s">
        <v>29</v>
      </c>
      <c r="M45" t="s">
        <v>373</v>
      </c>
      <c r="N45" t="s">
        <v>353</v>
      </c>
      <c r="O45" t="s">
        <v>48</v>
      </c>
      <c r="P45" t="s">
        <v>33</v>
      </c>
      <c r="Q45" t="s">
        <v>193</v>
      </c>
      <c r="R45" t="s">
        <v>194</v>
      </c>
      <c r="S45" t="s">
        <v>374</v>
      </c>
      <c r="T45" t="s">
        <v>37</v>
      </c>
      <c r="U45" t="s">
        <v>375</v>
      </c>
      <c r="V45" t="s">
        <v>376</v>
      </c>
      <c r="W45" t="s">
        <v>40</v>
      </c>
      <c r="X45" t="s">
        <v>377</v>
      </c>
    </row>
    <row r="46" spans="1:24">
      <c r="A46" t="s">
        <v>378</v>
      </c>
      <c r="B46" t="s">
        <v>43</v>
      </c>
      <c r="C46" t="s">
        <v>57</v>
      </c>
      <c r="D46">
        <v>74</v>
      </c>
      <c r="E46">
        <v>75</v>
      </c>
      <c r="F46" t="s">
        <v>57</v>
      </c>
      <c r="G46" t="s">
        <v>329</v>
      </c>
      <c r="H46" t="s">
        <v>379</v>
      </c>
      <c r="I46" t="str">
        <f t="shared" si="0"/>
        <v>K75N</v>
      </c>
      <c r="J46" t="str">
        <f t="shared" si="1"/>
        <v>K74N</v>
      </c>
      <c r="K46">
        <v>0.459537831580513</v>
      </c>
      <c r="L46" t="s">
        <v>29</v>
      </c>
      <c r="M46" t="s">
        <v>380</v>
      </c>
      <c r="N46" t="s">
        <v>353</v>
      </c>
      <c r="O46" t="s">
        <v>48</v>
      </c>
      <c r="P46" t="s">
        <v>33</v>
      </c>
      <c r="Q46" t="s">
        <v>49</v>
      </c>
      <c r="R46" t="s">
        <v>50</v>
      </c>
      <c r="S46" t="s">
        <v>381</v>
      </c>
      <c r="T46" t="s">
        <v>37</v>
      </c>
      <c r="U46" t="s">
        <v>382</v>
      </c>
      <c r="V46" t="s">
        <v>383</v>
      </c>
      <c r="W46" t="s">
        <v>40</v>
      </c>
      <c r="X46" t="s">
        <v>384</v>
      </c>
    </row>
    <row r="47" spans="1:24">
      <c r="A47" t="s">
        <v>385</v>
      </c>
      <c r="B47" t="s">
        <v>386</v>
      </c>
      <c r="C47" t="s">
        <v>57</v>
      </c>
      <c r="D47">
        <v>95</v>
      </c>
      <c r="E47">
        <v>96</v>
      </c>
      <c r="F47" t="s">
        <v>57</v>
      </c>
      <c r="G47" t="s">
        <v>164</v>
      </c>
      <c r="H47" t="s">
        <v>387</v>
      </c>
      <c r="I47" t="str">
        <f t="shared" si="0"/>
        <v>K96T</v>
      </c>
      <c r="J47" t="str">
        <f t="shared" si="1"/>
        <v>K95T</v>
      </c>
      <c r="K47">
        <v>0.514321045830619</v>
      </c>
      <c r="L47" t="s">
        <v>29</v>
      </c>
      <c r="M47" t="s">
        <v>388</v>
      </c>
      <c r="N47" t="s">
        <v>353</v>
      </c>
      <c r="O47" t="s">
        <v>48</v>
      </c>
      <c r="P47" t="s">
        <v>33</v>
      </c>
      <c r="Q47" t="s">
        <v>389</v>
      </c>
      <c r="R47" t="s">
        <v>115</v>
      </c>
      <c r="S47" t="s">
        <v>390</v>
      </c>
      <c r="T47" t="s">
        <v>37</v>
      </c>
      <c r="U47" t="s">
        <v>391</v>
      </c>
      <c r="V47" t="s">
        <v>392</v>
      </c>
      <c r="W47" t="s">
        <v>40</v>
      </c>
      <c r="X47" t="s">
        <v>393</v>
      </c>
    </row>
    <row r="48" spans="1:24">
      <c r="A48" t="s">
        <v>394</v>
      </c>
      <c r="B48" t="s">
        <v>266</v>
      </c>
      <c r="C48" t="s">
        <v>57</v>
      </c>
      <c r="D48">
        <v>119</v>
      </c>
      <c r="E48">
        <v>120</v>
      </c>
      <c r="F48" t="s">
        <v>57</v>
      </c>
      <c r="G48" t="s">
        <v>329</v>
      </c>
      <c r="H48" t="s">
        <v>395</v>
      </c>
      <c r="I48" t="str">
        <f t="shared" si="0"/>
        <v>K120N</v>
      </c>
      <c r="J48" t="str">
        <f t="shared" si="1"/>
        <v>K119N</v>
      </c>
      <c r="K48" t="s">
        <v>59</v>
      </c>
      <c r="L48" t="s">
        <v>59</v>
      </c>
      <c r="M48" t="s">
        <v>396</v>
      </c>
      <c r="N48" t="s">
        <v>353</v>
      </c>
      <c r="O48" t="s">
        <v>48</v>
      </c>
      <c r="P48" t="s">
        <v>33</v>
      </c>
      <c r="Q48" t="s">
        <v>268</v>
      </c>
      <c r="R48" t="s">
        <v>50</v>
      </c>
      <c r="S48" t="s">
        <v>397</v>
      </c>
      <c r="T48" t="s">
        <v>37</v>
      </c>
      <c r="U48" t="s">
        <v>52</v>
      </c>
      <c r="V48" t="s">
        <v>398</v>
      </c>
      <c r="W48" t="s">
        <v>40</v>
      </c>
      <c r="X48" t="s">
        <v>54</v>
      </c>
    </row>
    <row r="49" spans="1:24">
      <c r="A49" t="s">
        <v>399</v>
      </c>
      <c r="B49" t="s">
        <v>400</v>
      </c>
      <c r="C49" t="s">
        <v>230</v>
      </c>
      <c r="D49">
        <v>11</v>
      </c>
      <c r="E49">
        <v>12</v>
      </c>
      <c r="F49" t="s">
        <v>230</v>
      </c>
      <c r="G49" t="s">
        <v>337</v>
      </c>
      <c r="H49" t="s">
        <v>351</v>
      </c>
      <c r="I49" t="str">
        <f t="shared" si="0"/>
        <v>R12H</v>
      </c>
      <c r="J49" t="str">
        <f t="shared" si="1"/>
        <v>R11H</v>
      </c>
      <c r="K49">
        <v>0.367531537279779</v>
      </c>
      <c r="L49" t="s">
        <v>29</v>
      </c>
      <c r="M49" t="s">
        <v>401</v>
      </c>
      <c r="N49" t="s">
        <v>402</v>
      </c>
      <c r="O49" t="s">
        <v>32</v>
      </c>
      <c r="P49" t="s">
        <v>33</v>
      </c>
      <c r="Q49" t="s">
        <v>403</v>
      </c>
      <c r="R49" t="s">
        <v>404</v>
      </c>
      <c r="S49" t="s">
        <v>405</v>
      </c>
      <c r="T49" t="s">
        <v>37</v>
      </c>
      <c r="U49" t="s">
        <v>406</v>
      </c>
      <c r="V49" t="s">
        <v>407</v>
      </c>
      <c r="W49" t="s">
        <v>40</v>
      </c>
      <c r="X49" t="s">
        <v>408</v>
      </c>
    </row>
    <row r="50" spans="1:24">
      <c r="A50" t="s">
        <v>409</v>
      </c>
      <c r="B50" t="s">
        <v>82</v>
      </c>
      <c r="C50" t="s">
        <v>57</v>
      </c>
      <c r="D50">
        <v>74</v>
      </c>
      <c r="E50">
        <v>75</v>
      </c>
      <c r="F50" t="s">
        <v>57</v>
      </c>
      <c r="G50" t="s">
        <v>230</v>
      </c>
      <c r="H50" t="s">
        <v>379</v>
      </c>
      <c r="I50" t="str">
        <f t="shared" si="0"/>
        <v>K75R</v>
      </c>
      <c r="J50" t="str">
        <f t="shared" si="1"/>
        <v>K74R</v>
      </c>
      <c r="K50">
        <v>0.459537831580513</v>
      </c>
      <c r="L50" t="s">
        <v>29</v>
      </c>
      <c r="M50" t="s">
        <v>410</v>
      </c>
      <c r="N50" t="s">
        <v>402</v>
      </c>
      <c r="O50" t="s">
        <v>32</v>
      </c>
      <c r="P50" t="s">
        <v>33</v>
      </c>
      <c r="Q50" t="s">
        <v>85</v>
      </c>
      <c r="R50" t="s">
        <v>86</v>
      </c>
      <c r="S50" t="s">
        <v>411</v>
      </c>
      <c r="T50" t="s">
        <v>37</v>
      </c>
      <c r="U50" t="s">
        <v>52</v>
      </c>
      <c r="V50" t="s">
        <v>412</v>
      </c>
      <c r="W50" t="s">
        <v>40</v>
      </c>
      <c r="X50" t="s">
        <v>54</v>
      </c>
    </row>
    <row r="51" spans="1:24">
      <c r="A51" t="s">
        <v>413</v>
      </c>
      <c r="B51" t="s">
        <v>414</v>
      </c>
      <c r="C51" t="s">
        <v>26</v>
      </c>
      <c r="D51">
        <v>93</v>
      </c>
      <c r="E51">
        <v>94</v>
      </c>
      <c r="F51" t="s">
        <v>26</v>
      </c>
      <c r="G51" t="s">
        <v>27</v>
      </c>
      <c r="H51" t="s">
        <v>415</v>
      </c>
      <c r="I51" t="str">
        <f t="shared" si="0"/>
        <v>E94D</v>
      </c>
      <c r="J51" t="str">
        <f t="shared" si="1"/>
        <v>E93D</v>
      </c>
      <c r="K51">
        <v>0</v>
      </c>
      <c r="L51" t="s">
        <v>93</v>
      </c>
      <c r="M51" t="s">
        <v>416</v>
      </c>
      <c r="N51" t="s">
        <v>31</v>
      </c>
      <c r="O51" t="s">
        <v>32</v>
      </c>
      <c r="P51" t="s">
        <v>417</v>
      </c>
      <c r="Q51" t="s">
        <v>418</v>
      </c>
      <c r="R51" t="s">
        <v>419</v>
      </c>
      <c r="S51" t="s">
        <v>420</v>
      </c>
      <c r="T51" t="s">
        <v>66</v>
      </c>
      <c r="U51" t="s">
        <v>67</v>
      </c>
      <c r="V51" t="s">
        <v>421</v>
      </c>
      <c r="W51" t="s">
        <v>40</v>
      </c>
      <c r="X51" t="s">
        <v>69</v>
      </c>
    </row>
    <row r="52" spans="1:24">
      <c r="A52" t="s">
        <v>422</v>
      </c>
      <c r="B52" t="s">
        <v>423</v>
      </c>
      <c r="C52" t="s">
        <v>26</v>
      </c>
      <c r="D52">
        <v>35</v>
      </c>
      <c r="E52">
        <v>36</v>
      </c>
      <c r="F52" t="s">
        <v>26</v>
      </c>
      <c r="G52" t="s">
        <v>101</v>
      </c>
      <c r="H52" t="s">
        <v>424</v>
      </c>
      <c r="I52" t="str">
        <f t="shared" si="0"/>
        <v>E36A</v>
      </c>
      <c r="J52" t="str">
        <f t="shared" si="1"/>
        <v>E35A</v>
      </c>
      <c r="K52">
        <v>0.221013307519007</v>
      </c>
      <c r="L52" t="s">
        <v>29</v>
      </c>
      <c r="M52" t="s">
        <v>425</v>
      </c>
      <c r="N52" t="s">
        <v>47</v>
      </c>
      <c r="O52" t="s">
        <v>48</v>
      </c>
      <c r="P52" t="s">
        <v>417</v>
      </c>
      <c r="Q52" t="s">
        <v>426</v>
      </c>
      <c r="R52" t="s">
        <v>419</v>
      </c>
      <c r="S52" t="s">
        <v>427</v>
      </c>
      <c r="T52" t="s">
        <v>37</v>
      </c>
      <c r="U52" t="s">
        <v>428</v>
      </c>
      <c r="V52" t="s">
        <v>429</v>
      </c>
      <c r="W52" t="s">
        <v>40</v>
      </c>
      <c r="X52" t="s">
        <v>430</v>
      </c>
    </row>
    <row r="53" spans="1:24">
      <c r="A53" t="s">
        <v>431</v>
      </c>
      <c r="B53" t="s">
        <v>432</v>
      </c>
      <c r="C53" t="s">
        <v>26</v>
      </c>
      <c r="D53">
        <v>113</v>
      </c>
      <c r="E53">
        <v>114</v>
      </c>
      <c r="F53" t="s">
        <v>26</v>
      </c>
      <c r="G53" t="s">
        <v>173</v>
      </c>
      <c r="H53" t="s">
        <v>433</v>
      </c>
      <c r="I53" t="str">
        <f t="shared" si="0"/>
        <v>E114Q</v>
      </c>
      <c r="J53" t="str">
        <f t="shared" si="1"/>
        <v>E113Q</v>
      </c>
      <c r="K53">
        <v>0.204462978949024</v>
      </c>
      <c r="L53" t="s">
        <v>29</v>
      </c>
      <c r="M53" t="s">
        <v>434</v>
      </c>
      <c r="N53" t="s">
        <v>47</v>
      </c>
      <c r="O53" t="s">
        <v>48</v>
      </c>
      <c r="P53" t="s">
        <v>417</v>
      </c>
      <c r="Q53" t="s">
        <v>435</v>
      </c>
      <c r="R53" t="s">
        <v>436</v>
      </c>
      <c r="S53" t="s">
        <v>437</v>
      </c>
      <c r="T53" t="s">
        <v>66</v>
      </c>
      <c r="U53" t="s">
        <v>67</v>
      </c>
      <c r="V53" t="s">
        <v>438</v>
      </c>
      <c r="W53" t="s">
        <v>40</v>
      </c>
      <c r="X53" t="s">
        <v>69</v>
      </c>
    </row>
    <row r="54" spans="1:24">
      <c r="A54" t="s">
        <v>439</v>
      </c>
      <c r="B54" t="s">
        <v>423</v>
      </c>
      <c r="C54" t="s">
        <v>26</v>
      </c>
      <c r="D54">
        <v>76</v>
      </c>
      <c r="E54">
        <v>77</v>
      </c>
      <c r="F54" t="s">
        <v>26</v>
      </c>
      <c r="G54" t="s">
        <v>57</v>
      </c>
      <c r="H54" t="s">
        <v>440</v>
      </c>
      <c r="I54" t="str">
        <f t="shared" si="0"/>
        <v>E77K</v>
      </c>
      <c r="J54" t="str">
        <f t="shared" si="1"/>
        <v>E76K</v>
      </c>
      <c r="K54">
        <v>0.0045442218070524</v>
      </c>
      <c r="L54" t="s">
        <v>93</v>
      </c>
      <c r="M54" t="s">
        <v>441</v>
      </c>
      <c r="N54" t="s">
        <v>61</v>
      </c>
      <c r="O54" t="s">
        <v>62</v>
      </c>
      <c r="P54" t="s">
        <v>417</v>
      </c>
      <c r="Q54" t="s">
        <v>426</v>
      </c>
      <c r="R54" t="s">
        <v>419</v>
      </c>
      <c r="S54" t="s">
        <v>370</v>
      </c>
      <c r="T54" t="s">
        <v>66</v>
      </c>
      <c r="U54" t="s">
        <v>219</v>
      </c>
      <c r="V54" t="s">
        <v>371</v>
      </c>
      <c r="W54" t="s">
        <v>40</v>
      </c>
      <c r="X54" t="s">
        <v>221</v>
      </c>
    </row>
    <row r="55" spans="1:24">
      <c r="A55" t="s">
        <v>442</v>
      </c>
      <c r="B55" t="s">
        <v>443</v>
      </c>
      <c r="C55" t="s">
        <v>44</v>
      </c>
      <c r="D55">
        <v>26</v>
      </c>
      <c r="E55">
        <v>27</v>
      </c>
      <c r="F55" t="s">
        <v>44</v>
      </c>
      <c r="G55" t="s">
        <v>27</v>
      </c>
      <c r="H55" t="s">
        <v>444</v>
      </c>
      <c r="I55" t="str">
        <f t="shared" si="0"/>
        <v>G27D</v>
      </c>
      <c r="J55" t="str">
        <f t="shared" si="1"/>
        <v>G26D</v>
      </c>
      <c r="K55" t="s">
        <v>59</v>
      </c>
      <c r="L55" t="s">
        <v>59</v>
      </c>
      <c r="M55" t="s">
        <v>445</v>
      </c>
      <c r="N55" t="s">
        <v>74</v>
      </c>
      <c r="O55" t="s">
        <v>75</v>
      </c>
      <c r="P55" t="s">
        <v>417</v>
      </c>
      <c r="Q55" t="s">
        <v>446</v>
      </c>
      <c r="R55" t="s">
        <v>447</v>
      </c>
      <c r="S55" t="s">
        <v>448</v>
      </c>
      <c r="T55" t="s">
        <v>37</v>
      </c>
      <c r="U55" t="s">
        <v>78</v>
      </c>
      <c r="V55" t="s">
        <v>449</v>
      </c>
      <c r="W55" t="s">
        <v>40</v>
      </c>
      <c r="X55" t="s">
        <v>80</v>
      </c>
    </row>
    <row r="56" spans="1:24">
      <c r="A56" t="s">
        <v>450</v>
      </c>
      <c r="B56" t="s">
        <v>451</v>
      </c>
      <c r="C56" t="s">
        <v>141</v>
      </c>
      <c r="D56">
        <v>1</v>
      </c>
      <c r="E56">
        <v>2</v>
      </c>
      <c r="F56" t="s">
        <v>141</v>
      </c>
      <c r="G56" t="s">
        <v>174</v>
      </c>
      <c r="H56" t="s">
        <v>452</v>
      </c>
      <c r="I56" t="str">
        <f t="shared" si="0"/>
        <v>P2L</v>
      </c>
      <c r="J56" t="str">
        <f t="shared" si="1"/>
        <v>P1L</v>
      </c>
      <c r="K56" t="s">
        <v>59</v>
      </c>
      <c r="L56" t="s">
        <v>59</v>
      </c>
      <c r="M56" t="s">
        <v>453</v>
      </c>
      <c r="N56" t="s">
        <v>136</v>
      </c>
      <c r="O56" t="s">
        <v>32</v>
      </c>
      <c r="P56" t="s">
        <v>417</v>
      </c>
      <c r="Q56" t="s">
        <v>454</v>
      </c>
      <c r="R56" t="s">
        <v>455</v>
      </c>
      <c r="S56" t="s">
        <v>456</v>
      </c>
      <c r="T56" t="s">
        <v>37</v>
      </c>
      <c r="U56" t="s">
        <v>226</v>
      </c>
      <c r="V56" t="s">
        <v>457</v>
      </c>
      <c r="W56" t="s">
        <v>40</v>
      </c>
      <c r="X56" t="s">
        <v>228</v>
      </c>
    </row>
    <row r="57" spans="1:24">
      <c r="A57" t="s">
        <v>458</v>
      </c>
      <c r="B57" t="s">
        <v>459</v>
      </c>
      <c r="C57" t="s">
        <v>141</v>
      </c>
      <c r="D57">
        <v>3</v>
      </c>
      <c r="E57">
        <v>4</v>
      </c>
      <c r="F57" t="s">
        <v>141</v>
      </c>
      <c r="G57" t="s">
        <v>132</v>
      </c>
      <c r="H57" t="s">
        <v>460</v>
      </c>
      <c r="I57" t="str">
        <f t="shared" si="0"/>
        <v>P4S</v>
      </c>
      <c r="J57" t="str">
        <f t="shared" si="1"/>
        <v>P3S</v>
      </c>
      <c r="K57" t="s">
        <v>59</v>
      </c>
      <c r="L57" t="s">
        <v>59</v>
      </c>
      <c r="M57" t="s">
        <v>461</v>
      </c>
      <c r="N57" t="s">
        <v>136</v>
      </c>
      <c r="O57" t="s">
        <v>32</v>
      </c>
      <c r="P57" t="s">
        <v>417</v>
      </c>
      <c r="Q57" t="s">
        <v>462</v>
      </c>
      <c r="R57" t="s">
        <v>463</v>
      </c>
      <c r="S57" t="s">
        <v>464</v>
      </c>
      <c r="T57" t="s">
        <v>37</v>
      </c>
      <c r="U57" t="s">
        <v>241</v>
      </c>
      <c r="V57" t="s">
        <v>465</v>
      </c>
      <c r="W57" t="s">
        <v>40</v>
      </c>
      <c r="X57" t="s">
        <v>243</v>
      </c>
    </row>
    <row r="58" spans="1:24">
      <c r="A58" t="s">
        <v>466</v>
      </c>
      <c r="B58" t="s">
        <v>414</v>
      </c>
      <c r="C58" t="s">
        <v>141</v>
      </c>
      <c r="D58">
        <v>3</v>
      </c>
      <c r="E58">
        <v>4</v>
      </c>
      <c r="F58" t="s">
        <v>141</v>
      </c>
      <c r="G58" t="s">
        <v>174</v>
      </c>
      <c r="H58" t="s">
        <v>460</v>
      </c>
      <c r="I58" t="str">
        <f t="shared" si="0"/>
        <v>P4L</v>
      </c>
      <c r="J58" t="str">
        <f t="shared" si="1"/>
        <v>P3L</v>
      </c>
      <c r="K58" t="s">
        <v>59</v>
      </c>
      <c r="L58" t="s">
        <v>59</v>
      </c>
      <c r="M58" t="s">
        <v>467</v>
      </c>
      <c r="N58" t="s">
        <v>136</v>
      </c>
      <c r="O58" t="s">
        <v>32</v>
      </c>
      <c r="P58" t="s">
        <v>417</v>
      </c>
      <c r="Q58" t="s">
        <v>418</v>
      </c>
      <c r="R58" t="s">
        <v>419</v>
      </c>
      <c r="S58" t="s">
        <v>468</v>
      </c>
      <c r="T58" t="s">
        <v>37</v>
      </c>
      <c r="U58" t="s">
        <v>469</v>
      </c>
      <c r="V58" t="s">
        <v>470</v>
      </c>
      <c r="W58" t="s">
        <v>40</v>
      </c>
      <c r="X58" t="s">
        <v>471</v>
      </c>
    </row>
    <row r="59" spans="1:24">
      <c r="A59" t="s">
        <v>472</v>
      </c>
      <c r="B59" t="s">
        <v>473</v>
      </c>
      <c r="C59" t="s">
        <v>132</v>
      </c>
      <c r="D59">
        <v>6</v>
      </c>
      <c r="E59">
        <v>7</v>
      </c>
      <c r="F59" t="s">
        <v>132</v>
      </c>
      <c r="G59" t="s">
        <v>133</v>
      </c>
      <c r="H59" t="s">
        <v>474</v>
      </c>
      <c r="I59" t="str">
        <f t="shared" si="0"/>
        <v>S7C</v>
      </c>
      <c r="J59" t="str">
        <f t="shared" si="1"/>
        <v>S6C</v>
      </c>
      <c r="K59" t="s">
        <v>59</v>
      </c>
      <c r="L59" t="s">
        <v>59</v>
      </c>
      <c r="M59" t="s">
        <v>475</v>
      </c>
      <c r="N59" t="s">
        <v>136</v>
      </c>
      <c r="O59" t="s">
        <v>32</v>
      </c>
      <c r="P59" t="s">
        <v>417</v>
      </c>
      <c r="Q59" t="s">
        <v>476</v>
      </c>
      <c r="R59" t="s">
        <v>477</v>
      </c>
      <c r="S59" t="s">
        <v>478</v>
      </c>
      <c r="T59" t="s">
        <v>37</v>
      </c>
      <c r="U59" t="s">
        <v>312</v>
      </c>
      <c r="V59" t="s">
        <v>479</v>
      </c>
      <c r="W59" t="s">
        <v>40</v>
      </c>
      <c r="X59" t="s">
        <v>334</v>
      </c>
    </row>
    <row r="60" spans="1:24">
      <c r="A60" t="s">
        <v>480</v>
      </c>
      <c r="B60" t="s">
        <v>481</v>
      </c>
      <c r="C60" t="s">
        <v>141</v>
      </c>
      <c r="D60">
        <v>8</v>
      </c>
      <c r="E60">
        <v>9</v>
      </c>
      <c r="F60" t="s">
        <v>141</v>
      </c>
      <c r="G60" t="s">
        <v>101</v>
      </c>
      <c r="H60" t="s">
        <v>482</v>
      </c>
      <c r="I60" t="str">
        <f t="shared" si="0"/>
        <v>P9A</v>
      </c>
      <c r="J60" t="str">
        <f t="shared" si="1"/>
        <v>P8A</v>
      </c>
      <c r="K60" t="s">
        <v>59</v>
      </c>
      <c r="L60" t="s">
        <v>59</v>
      </c>
      <c r="M60" t="s">
        <v>483</v>
      </c>
      <c r="N60" t="s">
        <v>136</v>
      </c>
      <c r="O60" t="s">
        <v>32</v>
      </c>
      <c r="P60" t="s">
        <v>417</v>
      </c>
      <c r="Q60" t="s">
        <v>484</v>
      </c>
      <c r="R60" t="s">
        <v>485</v>
      </c>
      <c r="S60" t="s">
        <v>486</v>
      </c>
      <c r="T60" t="s">
        <v>66</v>
      </c>
      <c r="U60" t="s">
        <v>219</v>
      </c>
      <c r="V60" t="s">
        <v>487</v>
      </c>
      <c r="W60" t="s">
        <v>40</v>
      </c>
      <c r="X60" t="s">
        <v>221</v>
      </c>
    </row>
    <row r="61" spans="1:24">
      <c r="A61" t="s">
        <v>488</v>
      </c>
      <c r="B61" t="s">
        <v>489</v>
      </c>
      <c r="C61" t="s">
        <v>132</v>
      </c>
      <c r="D61">
        <v>14</v>
      </c>
      <c r="E61">
        <v>15</v>
      </c>
      <c r="F61" t="s">
        <v>132</v>
      </c>
      <c r="G61" t="s">
        <v>148</v>
      </c>
      <c r="H61" t="s">
        <v>490</v>
      </c>
      <c r="I61" t="str">
        <f t="shared" si="0"/>
        <v>S15F</v>
      </c>
      <c r="J61" t="str">
        <f t="shared" si="1"/>
        <v>S14F</v>
      </c>
      <c r="K61" t="s">
        <v>59</v>
      </c>
      <c r="L61" t="s">
        <v>59</v>
      </c>
      <c r="M61" t="s">
        <v>491</v>
      </c>
      <c r="N61" t="s">
        <v>136</v>
      </c>
      <c r="O61" t="s">
        <v>32</v>
      </c>
      <c r="P61" t="s">
        <v>417</v>
      </c>
      <c r="Q61" t="s">
        <v>492</v>
      </c>
      <c r="R61" t="s">
        <v>493</v>
      </c>
      <c r="S61" t="s">
        <v>494</v>
      </c>
      <c r="T61" t="s">
        <v>37</v>
      </c>
      <c r="U61" t="s">
        <v>406</v>
      </c>
      <c r="V61" t="s">
        <v>495</v>
      </c>
      <c r="W61" t="s">
        <v>40</v>
      </c>
      <c r="X61" t="s">
        <v>408</v>
      </c>
    </row>
    <row r="62" spans="1:24">
      <c r="A62" t="s">
        <v>496</v>
      </c>
      <c r="B62" t="s">
        <v>497</v>
      </c>
      <c r="C62" t="s">
        <v>132</v>
      </c>
      <c r="D62">
        <v>14</v>
      </c>
      <c r="E62">
        <v>15</v>
      </c>
      <c r="F62" t="s">
        <v>132</v>
      </c>
      <c r="G62" t="s">
        <v>148</v>
      </c>
      <c r="H62" t="s">
        <v>490</v>
      </c>
      <c r="I62" t="str">
        <f t="shared" si="0"/>
        <v>S15F</v>
      </c>
      <c r="J62" t="str">
        <f t="shared" si="1"/>
        <v>S14F</v>
      </c>
      <c r="K62" t="s">
        <v>59</v>
      </c>
      <c r="L62" t="s">
        <v>59</v>
      </c>
      <c r="M62" t="s">
        <v>491</v>
      </c>
      <c r="N62" t="s">
        <v>136</v>
      </c>
      <c r="O62" t="s">
        <v>32</v>
      </c>
      <c r="P62" t="s">
        <v>417</v>
      </c>
      <c r="Q62" t="s">
        <v>498</v>
      </c>
      <c r="R62" t="s">
        <v>499</v>
      </c>
      <c r="S62" t="s">
        <v>500</v>
      </c>
      <c r="T62" t="s">
        <v>37</v>
      </c>
      <c r="U62" t="s">
        <v>213</v>
      </c>
      <c r="V62" t="s">
        <v>501</v>
      </c>
      <c r="W62" t="s">
        <v>40</v>
      </c>
      <c r="X62" t="s">
        <v>215</v>
      </c>
    </row>
    <row r="63" spans="1:24">
      <c r="A63" t="s">
        <v>502</v>
      </c>
      <c r="B63" t="s">
        <v>497</v>
      </c>
      <c r="C63" t="s">
        <v>132</v>
      </c>
      <c r="D63">
        <v>14</v>
      </c>
      <c r="E63">
        <v>15</v>
      </c>
      <c r="F63" t="s">
        <v>132</v>
      </c>
      <c r="G63" t="s">
        <v>133</v>
      </c>
      <c r="H63" t="s">
        <v>490</v>
      </c>
      <c r="I63" t="str">
        <f t="shared" si="0"/>
        <v>S15C</v>
      </c>
      <c r="J63" t="str">
        <f t="shared" si="1"/>
        <v>S14C</v>
      </c>
      <c r="K63" t="s">
        <v>59</v>
      </c>
      <c r="L63" t="s">
        <v>59</v>
      </c>
      <c r="M63" t="s">
        <v>503</v>
      </c>
      <c r="N63" t="s">
        <v>136</v>
      </c>
      <c r="O63" t="s">
        <v>32</v>
      </c>
      <c r="P63" t="s">
        <v>417</v>
      </c>
      <c r="Q63" t="s">
        <v>498</v>
      </c>
      <c r="R63" t="s">
        <v>499</v>
      </c>
      <c r="S63" t="s">
        <v>504</v>
      </c>
      <c r="T63" t="s">
        <v>37</v>
      </c>
      <c r="U63" t="s">
        <v>347</v>
      </c>
      <c r="V63" t="s">
        <v>505</v>
      </c>
      <c r="W63" t="s">
        <v>40</v>
      </c>
      <c r="X63" t="s">
        <v>349</v>
      </c>
    </row>
    <row r="64" spans="1:24">
      <c r="A64" t="s">
        <v>506</v>
      </c>
      <c r="B64" t="s">
        <v>481</v>
      </c>
      <c r="C64" t="s">
        <v>44</v>
      </c>
      <c r="D64">
        <v>26</v>
      </c>
      <c r="E64">
        <v>27</v>
      </c>
      <c r="F64" t="s">
        <v>44</v>
      </c>
      <c r="G64" t="s">
        <v>101</v>
      </c>
      <c r="H64" t="s">
        <v>444</v>
      </c>
      <c r="I64" t="str">
        <f t="shared" si="0"/>
        <v>G27A</v>
      </c>
      <c r="J64" t="str">
        <f t="shared" si="1"/>
        <v>G26A</v>
      </c>
      <c r="K64" t="s">
        <v>59</v>
      </c>
      <c r="L64" t="s">
        <v>59</v>
      </c>
      <c r="M64" t="s">
        <v>507</v>
      </c>
      <c r="N64" t="s">
        <v>136</v>
      </c>
      <c r="O64" t="s">
        <v>32</v>
      </c>
      <c r="P64" t="s">
        <v>417</v>
      </c>
      <c r="Q64" t="s">
        <v>484</v>
      </c>
      <c r="R64" t="s">
        <v>485</v>
      </c>
      <c r="S64" t="s">
        <v>508</v>
      </c>
      <c r="T64" t="s">
        <v>37</v>
      </c>
      <c r="U64" t="s">
        <v>213</v>
      </c>
      <c r="V64" t="s">
        <v>509</v>
      </c>
      <c r="W64" t="s">
        <v>40</v>
      </c>
      <c r="X64" t="s">
        <v>215</v>
      </c>
    </row>
    <row r="65" spans="1:24">
      <c r="A65" t="s">
        <v>510</v>
      </c>
      <c r="B65" t="s">
        <v>511</v>
      </c>
      <c r="C65" t="s">
        <v>132</v>
      </c>
      <c r="D65">
        <v>36</v>
      </c>
      <c r="E65">
        <v>37</v>
      </c>
      <c r="F65" t="s">
        <v>132</v>
      </c>
      <c r="G65" t="s">
        <v>329</v>
      </c>
      <c r="H65" t="s">
        <v>512</v>
      </c>
      <c r="I65" t="str">
        <f t="shared" si="0"/>
        <v>S37N</v>
      </c>
      <c r="J65" t="str">
        <f t="shared" si="1"/>
        <v>S36N</v>
      </c>
      <c r="K65">
        <v>0.124627129247845</v>
      </c>
      <c r="L65" t="s">
        <v>93</v>
      </c>
      <c r="M65" t="s">
        <v>513</v>
      </c>
      <c r="N65" t="s">
        <v>136</v>
      </c>
      <c r="O65" t="s">
        <v>32</v>
      </c>
      <c r="P65" t="s">
        <v>417</v>
      </c>
      <c r="Q65" t="s">
        <v>514</v>
      </c>
      <c r="R65" t="s">
        <v>515</v>
      </c>
      <c r="S65" t="s">
        <v>516</v>
      </c>
      <c r="T65" t="s">
        <v>37</v>
      </c>
      <c r="U65" t="s">
        <v>144</v>
      </c>
      <c r="V65" t="s">
        <v>517</v>
      </c>
      <c r="W65" t="s">
        <v>40</v>
      </c>
      <c r="X65" t="s">
        <v>146</v>
      </c>
    </row>
    <row r="66" spans="1:24">
      <c r="A66" t="s">
        <v>518</v>
      </c>
      <c r="B66" t="s">
        <v>519</v>
      </c>
      <c r="C66" t="s">
        <v>184</v>
      </c>
      <c r="D66">
        <v>42</v>
      </c>
      <c r="E66">
        <v>43</v>
      </c>
      <c r="F66" t="s">
        <v>184</v>
      </c>
      <c r="G66" t="s">
        <v>133</v>
      </c>
      <c r="H66" t="s">
        <v>520</v>
      </c>
      <c r="I66" t="str">
        <f t="shared" ref="I66:I129" si="2">C66&amp;E66&amp;G66</f>
        <v>Y43C</v>
      </c>
      <c r="J66" t="str">
        <f t="shared" ref="J66:J129" si="3">C66&amp;(E66-1)&amp;G66</f>
        <v>Y42C</v>
      </c>
      <c r="K66">
        <v>0.137062256782843</v>
      </c>
      <c r="L66" t="s">
        <v>93</v>
      </c>
      <c r="M66" t="s">
        <v>521</v>
      </c>
      <c r="N66" t="s">
        <v>136</v>
      </c>
      <c r="O66" t="s">
        <v>32</v>
      </c>
      <c r="P66" t="s">
        <v>417</v>
      </c>
      <c r="Q66" t="s">
        <v>522</v>
      </c>
      <c r="R66" t="s">
        <v>419</v>
      </c>
      <c r="S66" t="s">
        <v>523</v>
      </c>
      <c r="T66" t="s">
        <v>37</v>
      </c>
      <c r="U66" t="s">
        <v>312</v>
      </c>
      <c r="V66" t="s">
        <v>524</v>
      </c>
      <c r="W66" t="s">
        <v>40</v>
      </c>
      <c r="X66" t="s">
        <v>314</v>
      </c>
    </row>
    <row r="67" spans="1:24">
      <c r="A67" t="s">
        <v>525</v>
      </c>
      <c r="B67" t="s">
        <v>414</v>
      </c>
      <c r="C67" t="s">
        <v>44</v>
      </c>
      <c r="D67">
        <v>53</v>
      </c>
      <c r="E67">
        <v>54</v>
      </c>
      <c r="F67" t="s">
        <v>44</v>
      </c>
      <c r="G67" t="s">
        <v>101</v>
      </c>
      <c r="H67" t="s">
        <v>526</v>
      </c>
      <c r="I67" t="str">
        <f t="shared" si="2"/>
        <v>G54A</v>
      </c>
      <c r="J67" t="str">
        <f t="shared" si="3"/>
        <v>G53A</v>
      </c>
      <c r="K67">
        <v>0.0417580750725328</v>
      </c>
      <c r="L67" t="s">
        <v>93</v>
      </c>
      <c r="M67" t="s">
        <v>527</v>
      </c>
      <c r="N67" t="s">
        <v>136</v>
      </c>
      <c r="O67" t="s">
        <v>32</v>
      </c>
      <c r="P67" t="s">
        <v>417</v>
      </c>
      <c r="Q67" t="s">
        <v>418</v>
      </c>
      <c r="R67" t="s">
        <v>419</v>
      </c>
      <c r="S67" t="s">
        <v>528</v>
      </c>
      <c r="T67" t="s">
        <v>37</v>
      </c>
      <c r="U67" t="s">
        <v>144</v>
      </c>
      <c r="V67" t="s">
        <v>529</v>
      </c>
      <c r="W67" t="s">
        <v>40</v>
      </c>
      <c r="X67" t="s">
        <v>146</v>
      </c>
    </row>
    <row r="68" spans="1:24">
      <c r="A68" t="s">
        <v>530</v>
      </c>
      <c r="B68" t="s">
        <v>414</v>
      </c>
      <c r="C68" t="s">
        <v>44</v>
      </c>
      <c r="D68">
        <v>53</v>
      </c>
      <c r="E68">
        <v>54</v>
      </c>
      <c r="F68" t="s">
        <v>44</v>
      </c>
      <c r="G68" t="s">
        <v>133</v>
      </c>
      <c r="H68" t="s">
        <v>526</v>
      </c>
      <c r="I68" t="str">
        <f t="shared" si="2"/>
        <v>G54C</v>
      </c>
      <c r="J68" t="str">
        <f t="shared" si="3"/>
        <v>G53C</v>
      </c>
      <c r="K68">
        <v>0.0417580750725328</v>
      </c>
      <c r="L68" t="s">
        <v>93</v>
      </c>
      <c r="M68" t="s">
        <v>531</v>
      </c>
      <c r="N68" t="s">
        <v>136</v>
      </c>
      <c r="O68" t="s">
        <v>32</v>
      </c>
      <c r="P68" t="s">
        <v>417</v>
      </c>
      <c r="Q68" t="s">
        <v>418</v>
      </c>
      <c r="R68" t="s">
        <v>419</v>
      </c>
      <c r="S68" t="s">
        <v>532</v>
      </c>
      <c r="T68" t="s">
        <v>37</v>
      </c>
      <c r="U68" t="s">
        <v>78</v>
      </c>
      <c r="V68" t="s">
        <v>533</v>
      </c>
      <c r="W68" t="s">
        <v>40</v>
      </c>
      <c r="X68" t="s">
        <v>80</v>
      </c>
    </row>
    <row r="69" spans="1:24">
      <c r="A69" t="s">
        <v>534</v>
      </c>
      <c r="B69" t="s">
        <v>451</v>
      </c>
      <c r="C69" t="s">
        <v>223</v>
      </c>
      <c r="D69">
        <v>59</v>
      </c>
      <c r="E69">
        <v>60</v>
      </c>
      <c r="F69" t="s">
        <v>223</v>
      </c>
      <c r="G69" t="s">
        <v>274</v>
      </c>
      <c r="H69" t="s">
        <v>535</v>
      </c>
      <c r="I69" t="str">
        <f t="shared" si="2"/>
        <v>M60I</v>
      </c>
      <c r="J69" t="str">
        <f t="shared" si="3"/>
        <v>M59I</v>
      </c>
      <c r="K69">
        <v>0.0543243399147378</v>
      </c>
      <c r="L69" t="s">
        <v>93</v>
      </c>
      <c r="M69" t="s">
        <v>536</v>
      </c>
      <c r="N69" t="s">
        <v>136</v>
      </c>
      <c r="O69" t="s">
        <v>32</v>
      </c>
      <c r="P69" t="s">
        <v>417</v>
      </c>
      <c r="Q69" t="s">
        <v>454</v>
      </c>
      <c r="R69" t="s">
        <v>455</v>
      </c>
      <c r="S69" t="s">
        <v>537</v>
      </c>
      <c r="T69" t="s">
        <v>37</v>
      </c>
      <c r="U69" t="s">
        <v>538</v>
      </c>
      <c r="V69" t="s">
        <v>539</v>
      </c>
      <c r="W69" t="s">
        <v>40</v>
      </c>
      <c r="X69" t="s">
        <v>540</v>
      </c>
    </row>
    <row r="70" spans="1:24">
      <c r="A70" t="s">
        <v>541</v>
      </c>
      <c r="B70" t="s">
        <v>443</v>
      </c>
      <c r="C70" t="s">
        <v>223</v>
      </c>
      <c r="D70">
        <v>62</v>
      </c>
      <c r="E70">
        <v>63</v>
      </c>
      <c r="F70" t="s">
        <v>223</v>
      </c>
      <c r="G70" t="s">
        <v>274</v>
      </c>
      <c r="H70" t="s">
        <v>542</v>
      </c>
      <c r="I70" t="str">
        <f t="shared" si="2"/>
        <v>M63I</v>
      </c>
      <c r="J70" t="str">
        <f t="shared" si="3"/>
        <v>M62I</v>
      </c>
      <c r="K70">
        <v>0.0107185671739598</v>
      </c>
      <c r="L70" t="s">
        <v>93</v>
      </c>
      <c r="M70" t="s">
        <v>543</v>
      </c>
      <c r="N70" t="s">
        <v>136</v>
      </c>
      <c r="O70" t="s">
        <v>32</v>
      </c>
      <c r="P70" t="s">
        <v>417</v>
      </c>
      <c r="Q70" t="s">
        <v>446</v>
      </c>
      <c r="R70" t="s">
        <v>447</v>
      </c>
      <c r="S70" t="s">
        <v>544</v>
      </c>
      <c r="T70" t="s">
        <v>66</v>
      </c>
      <c r="U70" t="s">
        <v>545</v>
      </c>
      <c r="V70" t="s">
        <v>546</v>
      </c>
      <c r="W70" t="s">
        <v>40</v>
      </c>
      <c r="X70" t="s">
        <v>547</v>
      </c>
    </row>
    <row r="71" spans="1:24">
      <c r="A71" t="s">
        <v>548</v>
      </c>
      <c r="B71" t="s">
        <v>414</v>
      </c>
      <c r="C71" t="s">
        <v>148</v>
      </c>
      <c r="D71">
        <v>65</v>
      </c>
      <c r="E71">
        <v>66</v>
      </c>
      <c r="F71" t="s">
        <v>148</v>
      </c>
      <c r="G71" t="s">
        <v>133</v>
      </c>
      <c r="H71" t="s">
        <v>549</v>
      </c>
      <c r="I71" t="str">
        <f t="shared" si="2"/>
        <v>F66C</v>
      </c>
      <c r="J71" t="str">
        <f t="shared" si="3"/>
        <v>F65C</v>
      </c>
      <c r="K71">
        <v>0.0243812442257022</v>
      </c>
      <c r="L71" t="s">
        <v>93</v>
      </c>
      <c r="M71" t="s">
        <v>550</v>
      </c>
      <c r="N71" t="s">
        <v>136</v>
      </c>
      <c r="O71" t="s">
        <v>32</v>
      </c>
      <c r="P71" t="s">
        <v>417</v>
      </c>
      <c r="Q71" t="s">
        <v>418</v>
      </c>
      <c r="R71" t="s">
        <v>419</v>
      </c>
      <c r="S71" t="s">
        <v>551</v>
      </c>
      <c r="T71" t="s">
        <v>37</v>
      </c>
      <c r="U71" t="s">
        <v>283</v>
      </c>
      <c r="V71" t="s">
        <v>552</v>
      </c>
      <c r="W71" t="s">
        <v>40</v>
      </c>
      <c r="X71" t="s">
        <v>285</v>
      </c>
    </row>
    <row r="72" spans="1:24">
      <c r="A72" t="s">
        <v>553</v>
      </c>
      <c r="B72" t="s">
        <v>481</v>
      </c>
      <c r="C72" t="s">
        <v>148</v>
      </c>
      <c r="D72">
        <v>70</v>
      </c>
      <c r="E72">
        <v>71</v>
      </c>
      <c r="F72" t="s">
        <v>148</v>
      </c>
      <c r="G72" t="s">
        <v>174</v>
      </c>
      <c r="H72" t="s">
        <v>554</v>
      </c>
      <c r="I72" t="str">
        <f t="shared" si="2"/>
        <v>F71L</v>
      </c>
      <c r="J72" t="str">
        <f t="shared" si="3"/>
        <v>F70L</v>
      </c>
      <c r="K72">
        <v>0.0454857878608462</v>
      </c>
      <c r="L72" t="s">
        <v>93</v>
      </c>
      <c r="M72" t="s">
        <v>555</v>
      </c>
      <c r="N72" t="s">
        <v>136</v>
      </c>
      <c r="O72" t="s">
        <v>32</v>
      </c>
      <c r="P72" t="s">
        <v>417</v>
      </c>
      <c r="Q72" t="s">
        <v>484</v>
      </c>
      <c r="R72" t="s">
        <v>485</v>
      </c>
      <c r="S72" t="s">
        <v>556</v>
      </c>
      <c r="T72" t="s">
        <v>66</v>
      </c>
      <c r="U72" t="s">
        <v>219</v>
      </c>
      <c r="V72" t="s">
        <v>557</v>
      </c>
      <c r="W72" t="s">
        <v>40</v>
      </c>
      <c r="X72" t="s">
        <v>221</v>
      </c>
    </row>
    <row r="73" spans="1:24">
      <c r="A73" t="s">
        <v>553</v>
      </c>
      <c r="B73" t="s">
        <v>481</v>
      </c>
      <c r="C73" t="s">
        <v>148</v>
      </c>
      <c r="D73">
        <v>70</v>
      </c>
      <c r="E73">
        <v>71</v>
      </c>
      <c r="F73" t="s">
        <v>148</v>
      </c>
      <c r="G73" t="s">
        <v>174</v>
      </c>
      <c r="H73" t="s">
        <v>554</v>
      </c>
      <c r="I73" t="str">
        <f t="shared" si="2"/>
        <v>F71L</v>
      </c>
      <c r="J73" t="str">
        <f t="shared" si="3"/>
        <v>F70L</v>
      </c>
      <c r="K73">
        <v>0.0454857878608462</v>
      </c>
      <c r="L73" t="s">
        <v>93</v>
      </c>
      <c r="M73" t="s">
        <v>555</v>
      </c>
      <c r="N73" t="s">
        <v>136</v>
      </c>
      <c r="O73" t="s">
        <v>32</v>
      </c>
      <c r="P73" t="s">
        <v>417</v>
      </c>
      <c r="Q73" t="s">
        <v>484</v>
      </c>
      <c r="R73" t="s">
        <v>485</v>
      </c>
      <c r="S73" t="s">
        <v>558</v>
      </c>
      <c r="T73" t="s">
        <v>66</v>
      </c>
      <c r="U73" t="s">
        <v>67</v>
      </c>
      <c r="V73" t="s">
        <v>559</v>
      </c>
      <c r="W73" t="s">
        <v>40</v>
      </c>
      <c r="X73" t="s">
        <v>69</v>
      </c>
    </row>
    <row r="74" spans="1:24">
      <c r="A74" t="s">
        <v>553</v>
      </c>
      <c r="B74" t="s">
        <v>481</v>
      </c>
      <c r="C74" t="s">
        <v>148</v>
      </c>
      <c r="D74">
        <v>70</v>
      </c>
      <c r="E74">
        <v>71</v>
      </c>
      <c r="F74" t="s">
        <v>148</v>
      </c>
      <c r="G74" t="s">
        <v>174</v>
      </c>
      <c r="H74" t="s">
        <v>554</v>
      </c>
      <c r="I74" t="str">
        <f t="shared" si="2"/>
        <v>F71L</v>
      </c>
      <c r="J74" t="str">
        <f t="shared" si="3"/>
        <v>F70L</v>
      </c>
      <c r="K74">
        <v>0.0454857878608462</v>
      </c>
      <c r="L74" t="s">
        <v>93</v>
      </c>
      <c r="M74" t="s">
        <v>555</v>
      </c>
      <c r="N74" t="s">
        <v>136</v>
      </c>
      <c r="O74" t="s">
        <v>32</v>
      </c>
      <c r="P74" t="s">
        <v>417</v>
      </c>
      <c r="Q74" t="s">
        <v>484</v>
      </c>
      <c r="R74" t="s">
        <v>485</v>
      </c>
      <c r="S74" t="s">
        <v>560</v>
      </c>
      <c r="T74" t="s">
        <v>37</v>
      </c>
      <c r="U74" t="s">
        <v>561</v>
      </c>
      <c r="V74" t="s">
        <v>562</v>
      </c>
      <c r="W74" t="s">
        <v>40</v>
      </c>
      <c r="X74" t="s">
        <v>563</v>
      </c>
    </row>
    <row r="75" spans="1:24">
      <c r="A75" t="s">
        <v>564</v>
      </c>
      <c r="B75" t="s">
        <v>497</v>
      </c>
      <c r="C75" t="s">
        <v>274</v>
      </c>
      <c r="D75">
        <v>89</v>
      </c>
      <c r="E75">
        <v>90</v>
      </c>
      <c r="F75" t="s">
        <v>274</v>
      </c>
      <c r="G75" t="s">
        <v>164</v>
      </c>
      <c r="H75" t="s">
        <v>565</v>
      </c>
      <c r="I75" t="str">
        <f t="shared" si="2"/>
        <v>I90T</v>
      </c>
      <c r="J75" t="str">
        <f t="shared" si="3"/>
        <v>I89T</v>
      </c>
      <c r="K75">
        <v>0.00604505422840319</v>
      </c>
      <c r="L75" t="s">
        <v>93</v>
      </c>
      <c r="M75" t="s">
        <v>566</v>
      </c>
      <c r="N75" t="s">
        <v>136</v>
      </c>
      <c r="O75" t="s">
        <v>32</v>
      </c>
      <c r="P75" t="s">
        <v>417</v>
      </c>
      <c r="Q75" t="s">
        <v>498</v>
      </c>
      <c r="R75" t="s">
        <v>499</v>
      </c>
      <c r="S75" t="s">
        <v>567</v>
      </c>
      <c r="T75" t="s">
        <v>37</v>
      </c>
      <c r="U75" t="s">
        <v>270</v>
      </c>
      <c r="V75" t="s">
        <v>568</v>
      </c>
      <c r="W75" t="s">
        <v>40</v>
      </c>
      <c r="X75" t="s">
        <v>272</v>
      </c>
    </row>
    <row r="76" spans="1:24">
      <c r="A76" t="s">
        <v>569</v>
      </c>
      <c r="B76" t="s">
        <v>489</v>
      </c>
      <c r="C76" t="s">
        <v>101</v>
      </c>
      <c r="D76">
        <v>97</v>
      </c>
      <c r="E76">
        <v>98</v>
      </c>
      <c r="F76" t="s">
        <v>101</v>
      </c>
      <c r="G76" t="s">
        <v>132</v>
      </c>
      <c r="H76" t="s">
        <v>570</v>
      </c>
      <c r="I76" t="str">
        <f t="shared" si="2"/>
        <v>A98S</v>
      </c>
      <c r="J76" t="str">
        <f t="shared" si="3"/>
        <v>A97S</v>
      </c>
      <c r="K76">
        <v>0</v>
      </c>
      <c r="L76" t="s">
        <v>93</v>
      </c>
      <c r="M76" t="s">
        <v>571</v>
      </c>
      <c r="N76" t="s">
        <v>136</v>
      </c>
      <c r="O76" t="s">
        <v>32</v>
      </c>
      <c r="P76" t="s">
        <v>417</v>
      </c>
      <c r="Q76" t="s">
        <v>492</v>
      </c>
      <c r="R76" t="s">
        <v>493</v>
      </c>
      <c r="S76" t="s">
        <v>572</v>
      </c>
      <c r="T76" t="s">
        <v>37</v>
      </c>
      <c r="U76" t="s">
        <v>107</v>
      </c>
      <c r="V76" t="s">
        <v>573</v>
      </c>
      <c r="W76" t="s">
        <v>40</v>
      </c>
      <c r="X76" t="s">
        <v>109</v>
      </c>
    </row>
    <row r="77" spans="1:24">
      <c r="A77" t="s">
        <v>574</v>
      </c>
      <c r="B77" t="s">
        <v>432</v>
      </c>
      <c r="C77" t="s">
        <v>174</v>
      </c>
      <c r="D77">
        <v>102</v>
      </c>
      <c r="E77">
        <v>103</v>
      </c>
      <c r="F77" t="s">
        <v>174</v>
      </c>
      <c r="G77" t="s">
        <v>156</v>
      </c>
      <c r="H77" t="s">
        <v>575</v>
      </c>
      <c r="I77" t="str">
        <f t="shared" si="2"/>
        <v>L103V</v>
      </c>
      <c r="J77" t="str">
        <f t="shared" si="3"/>
        <v>L102V</v>
      </c>
      <c r="K77">
        <v>0.0437720056962368</v>
      </c>
      <c r="L77" t="s">
        <v>93</v>
      </c>
      <c r="M77" t="s">
        <v>576</v>
      </c>
      <c r="N77" t="s">
        <v>136</v>
      </c>
      <c r="O77" t="s">
        <v>32</v>
      </c>
      <c r="P77" t="s">
        <v>417</v>
      </c>
      <c r="Q77" t="s">
        <v>435</v>
      </c>
      <c r="R77" t="s">
        <v>436</v>
      </c>
      <c r="S77" t="s">
        <v>577</v>
      </c>
      <c r="T77" t="s">
        <v>37</v>
      </c>
      <c r="U77" t="s">
        <v>52</v>
      </c>
      <c r="V77" t="s">
        <v>578</v>
      </c>
      <c r="W77" t="s">
        <v>40</v>
      </c>
      <c r="X77" t="s">
        <v>54</v>
      </c>
    </row>
    <row r="78" spans="1:24">
      <c r="A78" t="s">
        <v>579</v>
      </c>
      <c r="B78" t="s">
        <v>451</v>
      </c>
      <c r="C78" t="s">
        <v>141</v>
      </c>
      <c r="D78">
        <v>103</v>
      </c>
      <c r="E78">
        <v>104</v>
      </c>
      <c r="F78" t="s">
        <v>141</v>
      </c>
      <c r="G78" t="s">
        <v>164</v>
      </c>
      <c r="H78" t="s">
        <v>580</v>
      </c>
      <c r="I78" t="str">
        <f t="shared" si="2"/>
        <v>P104T</v>
      </c>
      <c r="J78" t="str">
        <f t="shared" si="3"/>
        <v>P103T</v>
      </c>
      <c r="K78">
        <v>0.152206803499657</v>
      </c>
      <c r="L78" t="s">
        <v>93</v>
      </c>
      <c r="M78" t="s">
        <v>581</v>
      </c>
      <c r="N78" t="s">
        <v>136</v>
      </c>
      <c r="O78" t="s">
        <v>32</v>
      </c>
      <c r="P78" t="s">
        <v>417</v>
      </c>
      <c r="Q78" t="s">
        <v>454</v>
      </c>
      <c r="R78" t="s">
        <v>455</v>
      </c>
      <c r="S78" t="s">
        <v>582</v>
      </c>
      <c r="T78" t="s">
        <v>37</v>
      </c>
      <c r="U78" t="s">
        <v>213</v>
      </c>
      <c r="V78" t="s">
        <v>583</v>
      </c>
      <c r="W78" t="s">
        <v>40</v>
      </c>
      <c r="X78" t="s">
        <v>215</v>
      </c>
    </row>
    <row r="79" spans="1:24">
      <c r="A79" t="s">
        <v>584</v>
      </c>
      <c r="B79" t="s">
        <v>451</v>
      </c>
      <c r="C79" t="s">
        <v>141</v>
      </c>
      <c r="D79">
        <v>103</v>
      </c>
      <c r="E79">
        <v>104</v>
      </c>
      <c r="F79" t="s">
        <v>141</v>
      </c>
      <c r="G79" t="s">
        <v>132</v>
      </c>
      <c r="H79" t="s">
        <v>580</v>
      </c>
      <c r="I79" t="str">
        <f t="shared" si="2"/>
        <v>P104S</v>
      </c>
      <c r="J79" t="str">
        <f t="shared" si="3"/>
        <v>P103S</v>
      </c>
      <c r="K79">
        <v>0.152206803499657</v>
      </c>
      <c r="L79" t="s">
        <v>93</v>
      </c>
      <c r="M79" t="s">
        <v>585</v>
      </c>
      <c r="N79" t="s">
        <v>136</v>
      </c>
      <c r="O79" t="s">
        <v>32</v>
      </c>
      <c r="P79" t="s">
        <v>417</v>
      </c>
      <c r="Q79" t="s">
        <v>454</v>
      </c>
      <c r="R79" t="s">
        <v>455</v>
      </c>
      <c r="S79" t="s">
        <v>269</v>
      </c>
      <c r="T79" t="s">
        <v>37</v>
      </c>
      <c r="U79" t="s">
        <v>270</v>
      </c>
      <c r="V79" t="s">
        <v>271</v>
      </c>
      <c r="W79" t="s">
        <v>40</v>
      </c>
      <c r="X79" t="s">
        <v>272</v>
      </c>
    </row>
    <row r="80" spans="1:24">
      <c r="A80" t="s">
        <v>586</v>
      </c>
      <c r="B80" t="s">
        <v>497</v>
      </c>
      <c r="C80" t="s">
        <v>141</v>
      </c>
      <c r="D80">
        <v>103</v>
      </c>
      <c r="E80">
        <v>104</v>
      </c>
      <c r="F80" t="s">
        <v>141</v>
      </c>
      <c r="G80" t="s">
        <v>132</v>
      </c>
      <c r="H80" t="s">
        <v>580</v>
      </c>
      <c r="I80" t="str">
        <f t="shared" si="2"/>
        <v>P104S</v>
      </c>
      <c r="J80" t="str">
        <f t="shared" si="3"/>
        <v>P103S</v>
      </c>
      <c r="K80">
        <v>0.152206803499657</v>
      </c>
      <c r="L80" t="s">
        <v>93</v>
      </c>
      <c r="M80" t="s">
        <v>585</v>
      </c>
      <c r="N80" t="s">
        <v>136</v>
      </c>
      <c r="O80" t="s">
        <v>32</v>
      </c>
      <c r="P80" t="s">
        <v>417</v>
      </c>
      <c r="Q80" t="s">
        <v>498</v>
      </c>
      <c r="R80" t="s">
        <v>499</v>
      </c>
      <c r="S80" t="s">
        <v>500</v>
      </c>
      <c r="T80" t="s">
        <v>37</v>
      </c>
      <c r="U80" t="s">
        <v>213</v>
      </c>
      <c r="V80" t="s">
        <v>501</v>
      </c>
      <c r="W80" t="s">
        <v>40</v>
      </c>
      <c r="X80" t="s">
        <v>215</v>
      </c>
    </row>
    <row r="81" spans="1:24">
      <c r="A81" t="s">
        <v>587</v>
      </c>
      <c r="B81" t="s">
        <v>459</v>
      </c>
      <c r="C81" t="s">
        <v>44</v>
      </c>
      <c r="D81">
        <v>104</v>
      </c>
      <c r="E81">
        <v>105</v>
      </c>
      <c r="F81" t="s">
        <v>44</v>
      </c>
      <c r="G81" t="s">
        <v>588</v>
      </c>
      <c r="H81" t="s">
        <v>589</v>
      </c>
      <c r="I81" t="str">
        <f t="shared" si="2"/>
        <v>G105W</v>
      </c>
      <c r="J81" t="str">
        <f t="shared" si="3"/>
        <v>G104W</v>
      </c>
      <c r="K81">
        <v>0.221076803001671</v>
      </c>
      <c r="L81" t="s">
        <v>29</v>
      </c>
      <c r="M81" t="s">
        <v>590</v>
      </c>
      <c r="N81" t="s">
        <v>136</v>
      </c>
      <c r="O81" t="s">
        <v>32</v>
      </c>
      <c r="P81" t="s">
        <v>417</v>
      </c>
      <c r="Q81" t="s">
        <v>462</v>
      </c>
      <c r="R81" t="s">
        <v>463</v>
      </c>
      <c r="S81" t="s">
        <v>591</v>
      </c>
      <c r="T81" t="s">
        <v>37</v>
      </c>
      <c r="U81" t="s">
        <v>226</v>
      </c>
      <c r="V81" t="s">
        <v>592</v>
      </c>
      <c r="W81" t="s">
        <v>40</v>
      </c>
      <c r="X81" t="s">
        <v>593</v>
      </c>
    </row>
    <row r="82" spans="1:24">
      <c r="A82" t="s">
        <v>594</v>
      </c>
      <c r="B82" t="s">
        <v>481</v>
      </c>
      <c r="C82" t="s">
        <v>174</v>
      </c>
      <c r="D82">
        <v>106</v>
      </c>
      <c r="E82">
        <v>107</v>
      </c>
      <c r="F82" t="s">
        <v>174</v>
      </c>
      <c r="G82" t="s">
        <v>156</v>
      </c>
      <c r="H82" t="s">
        <v>595</v>
      </c>
      <c r="I82" t="str">
        <f t="shared" si="2"/>
        <v>L107V</v>
      </c>
      <c r="J82" t="str">
        <f t="shared" si="3"/>
        <v>L106V</v>
      </c>
      <c r="K82">
        <v>0.0211768346997517</v>
      </c>
      <c r="L82" t="s">
        <v>93</v>
      </c>
      <c r="M82" t="s">
        <v>596</v>
      </c>
      <c r="N82" t="s">
        <v>136</v>
      </c>
      <c r="O82" t="s">
        <v>32</v>
      </c>
      <c r="P82" t="s">
        <v>417</v>
      </c>
      <c r="Q82" t="s">
        <v>484</v>
      </c>
      <c r="R82" t="s">
        <v>485</v>
      </c>
      <c r="S82" t="s">
        <v>289</v>
      </c>
      <c r="T82" t="s">
        <v>37</v>
      </c>
      <c r="U82" t="s">
        <v>213</v>
      </c>
      <c r="V82" t="s">
        <v>290</v>
      </c>
      <c r="W82" t="s">
        <v>40</v>
      </c>
      <c r="X82" t="s">
        <v>215</v>
      </c>
    </row>
    <row r="83" spans="1:24">
      <c r="A83" t="s">
        <v>597</v>
      </c>
      <c r="B83" t="s">
        <v>459</v>
      </c>
      <c r="C83" t="s">
        <v>164</v>
      </c>
      <c r="D83">
        <v>115</v>
      </c>
      <c r="E83">
        <v>116</v>
      </c>
      <c r="F83" t="s">
        <v>164</v>
      </c>
      <c r="G83" t="s">
        <v>132</v>
      </c>
      <c r="H83" t="s">
        <v>598</v>
      </c>
      <c r="I83" t="str">
        <f t="shared" si="2"/>
        <v>T116S</v>
      </c>
      <c r="J83" t="str">
        <f t="shared" si="3"/>
        <v>T115S</v>
      </c>
      <c r="K83">
        <v>0.24420819420767</v>
      </c>
      <c r="L83" t="s">
        <v>29</v>
      </c>
      <c r="M83" t="s">
        <v>599</v>
      </c>
      <c r="N83" t="s">
        <v>136</v>
      </c>
      <c r="O83" t="s">
        <v>32</v>
      </c>
      <c r="P83" t="s">
        <v>417</v>
      </c>
      <c r="Q83" t="s">
        <v>462</v>
      </c>
      <c r="R83" t="s">
        <v>463</v>
      </c>
      <c r="S83" t="s">
        <v>600</v>
      </c>
      <c r="T83" t="s">
        <v>37</v>
      </c>
      <c r="U83" t="s">
        <v>312</v>
      </c>
      <c r="V83" t="s">
        <v>601</v>
      </c>
      <c r="W83" t="s">
        <v>40</v>
      </c>
      <c r="X83" t="s">
        <v>314</v>
      </c>
    </row>
    <row r="84" spans="1:24">
      <c r="A84" t="s">
        <v>602</v>
      </c>
      <c r="B84" t="s">
        <v>414</v>
      </c>
      <c r="C84" t="s">
        <v>164</v>
      </c>
      <c r="D84">
        <v>119</v>
      </c>
      <c r="E84">
        <v>120</v>
      </c>
      <c r="F84" t="s">
        <v>164</v>
      </c>
      <c r="G84" t="s">
        <v>274</v>
      </c>
      <c r="H84" t="s">
        <v>603</v>
      </c>
      <c r="I84" t="str">
        <f t="shared" si="2"/>
        <v>T120I</v>
      </c>
      <c r="J84" t="str">
        <f t="shared" si="3"/>
        <v>T119I</v>
      </c>
      <c r="K84">
        <v>0.294020062624857</v>
      </c>
      <c r="L84" t="s">
        <v>29</v>
      </c>
      <c r="M84" t="s">
        <v>604</v>
      </c>
      <c r="N84" t="s">
        <v>136</v>
      </c>
      <c r="O84" t="s">
        <v>32</v>
      </c>
      <c r="P84" t="s">
        <v>417</v>
      </c>
      <c r="Q84" t="s">
        <v>418</v>
      </c>
      <c r="R84" t="s">
        <v>419</v>
      </c>
      <c r="S84" t="s">
        <v>605</v>
      </c>
      <c r="T84" t="s">
        <v>37</v>
      </c>
      <c r="U84" t="s">
        <v>213</v>
      </c>
      <c r="V84" t="s">
        <v>606</v>
      </c>
      <c r="W84" t="s">
        <v>40</v>
      </c>
      <c r="X84" t="s">
        <v>215</v>
      </c>
    </row>
    <row r="85" spans="1:24">
      <c r="A85" t="s">
        <v>607</v>
      </c>
      <c r="B85" t="s">
        <v>608</v>
      </c>
      <c r="C85" t="s">
        <v>173</v>
      </c>
      <c r="D85">
        <v>47</v>
      </c>
      <c r="E85">
        <v>48</v>
      </c>
      <c r="F85" t="s">
        <v>173</v>
      </c>
      <c r="G85" t="s">
        <v>337</v>
      </c>
      <c r="H85" t="s">
        <v>609</v>
      </c>
      <c r="I85" t="str">
        <f t="shared" si="2"/>
        <v>Q48H</v>
      </c>
      <c r="J85" t="str">
        <f t="shared" si="3"/>
        <v>Q47H</v>
      </c>
      <c r="K85">
        <v>0.404049180024871</v>
      </c>
      <c r="L85" t="s">
        <v>29</v>
      </c>
      <c r="M85" t="s">
        <v>610</v>
      </c>
      <c r="N85" t="s">
        <v>325</v>
      </c>
      <c r="O85" t="s">
        <v>75</v>
      </c>
      <c r="P85" t="s">
        <v>417</v>
      </c>
      <c r="Q85" t="s">
        <v>611</v>
      </c>
      <c r="R85" t="s">
        <v>612</v>
      </c>
      <c r="S85" t="s">
        <v>613</v>
      </c>
      <c r="T85" t="s">
        <v>37</v>
      </c>
      <c r="U85" t="s">
        <v>127</v>
      </c>
      <c r="V85" t="s">
        <v>614</v>
      </c>
      <c r="W85" t="s">
        <v>40</v>
      </c>
      <c r="X85" t="s">
        <v>129</v>
      </c>
    </row>
    <row r="86" spans="1:24">
      <c r="A86" t="s">
        <v>615</v>
      </c>
      <c r="B86" t="s">
        <v>616</v>
      </c>
      <c r="C86" t="s">
        <v>44</v>
      </c>
      <c r="D86">
        <v>77</v>
      </c>
      <c r="E86">
        <v>57</v>
      </c>
      <c r="F86" t="s">
        <v>132</v>
      </c>
      <c r="G86" t="s">
        <v>230</v>
      </c>
      <c r="H86" t="s">
        <v>617</v>
      </c>
      <c r="I86" t="str">
        <f t="shared" si="2"/>
        <v>G57R</v>
      </c>
      <c r="J86" t="str">
        <f t="shared" si="3"/>
        <v>G56R</v>
      </c>
      <c r="K86">
        <v>0.309253214757155</v>
      </c>
      <c r="L86" t="s">
        <v>29</v>
      </c>
      <c r="M86" t="s">
        <v>618</v>
      </c>
      <c r="N86" t="s">
        <v>325</v>
      </c>
      <c r="O86" t="s">
        <v>75</v>
      </c>
      <c r="P86" t="s">
        <v>417</v>
      </c>
      <c r="Q86" t="s">
        <v>619</v>
      </c>
      <c r="R86" t="s">
        <v>620</v>
      </c>
      <c r="S86" t="s">
        <v>621</v>
      </c>
      <c r="T86" t="s">
        <v>37</v>
      </c>
      <c r="U86" t="s">
        <v>622</v>
      </c>
      <c r="V86" t="s">
        <v>623</v>
      </c>
      <c r="W86" t="s">
        <v>40</v>
      </c>
      <c r="X86" t="s">
        <v>624</v>
      </c>
    </row>
    <row r="87" spans="1:24">
      <c r="A87" t="s">
        <v>625</v>
      </c>
      <c r="B87" t="s">
        <v>481</v>
      </c>
      <c r="C87" t="s">
        <v>57</v>
      </c>
      <c r="D87">
        <v>120</v>
      </c>
      <c r="E87">
        <v>121</v>
      </c>
      <c r="F87" t="s">
        <v>57</v>
      </c>
      <c r="G87" t="s">
        <v>26</v>
      </c>
      <c r="H87" t="s">
        <v>626</v>
      </c>
      <c r="I87" t="str">
        <f t="shared" si="2"/>
        <v>K121E</v>
      </c>
      <c r="J87" t="str">
        <f t="shared" si="3"/>
        <v>K120E</v>
      </c>
      <c r="K87">
        <v>0.215628183745769</v>
      </c>
      <c r="L87" t="s">
        <v>29</v>
      </c>
      <c r="M87" t="s">
        <v>627</v>
      </c>
      <c r="N87" t="s">
        <v>628</v>
      </c>
      <c r="O87" t="s">
        <v>62</v>
      </c>
      <c r="P87" t="s">
        <v>417</v>
      </c>
      <c r="Q87" t="s">
        <v>484</v>
      </c>
      <c r="R87" t="s">
        <v>485</v>
      </c>
      <c r="S87" t="s">
        <v>629</v>
      </c>
      <c r="T87" t="s">
        <v>37</v>
      </c>
      <c r="U87" t="s">
        <v>213</v>
      </c>
      <c r="V87" t="s">
        <v>630</v>
      </c>
      <c r="W87" t="s">
        <v>40</v>
      </c>
      <c r="X87" t="s">
        <v>215</v>
      </c>
    </row>
    <row r="88" spans="1:24">
      <c r="A88" t="s">
        <v>631</v>
      </c>
      <c r="B88" t="s">
        <v>423</v>
      </c>
      <c r="C88" t="s">
        <v>57</v>
      </c>
      <c r="D88">
        <v>24</v>
      </c>
      <c r="E88">
        <v>25</v>
      </c>
      <c r="F88" t="s">
        <v>57</v>
      </c>
      <c r="G88" t="s">
        <v>173</v>
      </c>
      <c r="H88" t="s">
        <v>632</v>
      </c>
      <c r="I88" t="str">
        <f t="shared" si="2"/>
        <v>K25Q</v>
      </c>
      <c r="J88" t="str">
        <f t="shared" si="3"/>
        <v>K24Q</v>
      </c>
      <c r="K88" t="s">
        <v>59</v>
      </c>
      <c r="L88" t="s">
        <v>59</v>
      </c>
      <c r="M88" t="s">
        <v>633</v>
      </c>
      <c r="N88" t="s">
        <v>353</v>
      </c>
      <c r="O88" t="s">
        <v>48</v>
      </c>
      <c r="P88" t="s">
        <v>417</v>
      </c>
      <c r="Q88" t="s">
        <v>426</v>
      </c>
      <c r="R88" t="s">
        <v>419</v>
      </c>
      <c r="S88" t="s">
        <v>634</v>
      </c>
      <c r="T88" t="s">
        <v>37</v>
      </c>
      <c r="U88" t="s">
        <v>312</v>
      </c>
      <c r="V88" t="s">
        <v>635</v>
      </c>
      <c r="W88" t="s">
        <v>40</v>
      </c>
      <c r="X88" t="s">
        <v>314</v>
      </c>
    </row>
    <row r="89" spans="1:24">
      <c r="A89" t="s">
        <v>636</v>
      </c>
      <c r="B89" t="s">
        <v>608</v>
      </c>
      <c r="C89" t="s">
        <v>337</v>
      </c>
      <c r="D89">
        <v>49</v>
      </c>
      <c r="E89">
        <v>50</v>
      </c>
      <c r="F89" t="s">
        <v>337</v>
      </c>
      <c r="G89" t="s">
        <v>184</v>
      </c>
      <c r="H89" t="s">
        <v>637</v>
      </c>
      <c r="I89" t="str">
        <f t="shared" si="2"/>
        <v>H50Y</v>
      </c>
      <c r="J89" t="str">
        <f t="shared" si="3"/>
        <v>H49Y</v>
      </c>
      <c r="K89">
        <v>0.0376155908688302</v>
      </c>
      <c r="L89" t="s">
        <v>93</v>
      </c>
      <c r="M89" t="s">
        <v>638</v>
      </c>
      <c r="N89" t="s">
        <v>353</v>
      </c>
      <c r="O89" t="s">
        <v>48</v>
      </c>
      <c r="P89" t="s">
        <v>417</v>
      </c>
      <c r="Q89" t="s">
        <v>611</v>
      </c>
      <c r="R89" t="s">
        <v>612</v>
      </c>
      <c r="S89" t="s">
        <v>639</v>
      </c>
      <c r="T89" t="s">
        <v>37</v>
      </c>
      <c r="U89" t="s">
        <v>213</v>
      </c>
      <c r="V89" t="s">
        <v>640</v>
      </c>
      <c r="W89" t="s">
        <v>40</v>
      </c>
      <c r="X89" t="s">
        <v>215</v>
      </c>
    </row>
    <row r="90" spans="1:24">
      <c r="A90" t="s">
        <v>641</v>
      </c>
      <c r="B90" t="s">
        <v>423</v>
      </c>
      <c r="C90" t="s">
        <v>230</v>
      </c>
      <c r="D90">
        <v>86</v>
      </c>
      <c r="E90">
        <v>87</v>
      </c>
      <c r="F90" t="s">
        <v>230</v>
      </c>
      <c r="G90" t="s">
        <v>141</v>
      </c>
      <c r="H90" t="s">
        <v>642</v>
      </c>
      <c r="I90" t="str">
        <f t="shared" si="2"/>
        <v>R87P</v>
      </c>
      <c r="J90" t="str">
        <f t="shared" si="3"/>
        <v>R86P</v>
      </c>
      <c r="K90">
        <v>0.13224917472637</v>
      </c>
      <c r="L90" t="s">
        <v>93</v>
      </c>
      <c r="M90" t="s">
        <v>643</v>
      </c>
      <c r="N90" t="s">
        <v>353</v>
      </c>
      <c r="O90" t="s">
        <v>48</v>
      </c>
      <c r="P90" t="s">
        <v>417</v>
      </c>
      <c r="Q90" t="s">
        <v>426</v>
      </c>
      <c r="R90" t="s">
        <v>419</v>
      </c>
      <c r="S90" t="s">
        <v>644</v>
      </c>
      <c r="T90" t="s">
        <v>37</v>
      </c>
      <c r="U90" t="s">
        <v>196</v>
      </c>
      <c r="V90" t="s">
        <v>645</v>
      </c>
      <c r="W90" t="s">
        <v>40</v>
      </c>
      <c r="X90" t="s">
        <v>198</v>
      </c>
    </row>
    <row r="91" spans="1:24">
      <c r="A91" t="s">
        <v>646</v>
      </c>
      <c r="B91" t="s">
        <v>489</v>
      </c>
      <c r="C91" t="s">
        <v>57</v>
      </c>
      <c r="D91">
        <v>24</v>
      </c>
      <c r="E91">
        <v>25</v>
      </c>
      <c r="F91" t="s">
        <v>57</v>
      </c>
      <c r="G91" t="s">
        <v>230</v>
      </c>
      <c r="H91" t="s">
        <v>632</v>
      </c>
      <c r="I91" t="str">
        <f t="shared" si="2"/>
        <v>K25R</v>
      </c>
      <c r="J91" t="str">
        <f t="shared" si="3"/>
        <v>K24R</v>
      </c>
      <c r="K91" t="s">
        <v>59</v>
      </c>
      <c r="L91" t="s">
        <v>59</v>
      </c>
      <c r="M91" t="s">
        <v>647</v>
      </c>
      <c r="N91" t="s">
        <v>402</v>
      </c>
      <c r="O91" t="s">
        <v>32</v>
      </c>
      <c r="P91" t="s">
        <v>417</v>
      </c>
      <c r="Q91" t="s">
        <v>492</v>
      </c>
      <c r="R91" t="s">
        <v>493</v>
      </c>
      <c r="S91" t="s">
        <v>648</v>
      </c>
      <c r="T91" t="s">
        <v>37</v>
      </c>
      <c r="U91" t="s">
        <v>107</v>
      </c>
      <c r="V91" t="s">
        <v>649</v>
      </c>
      <c r="W91" t="s">
        <v>40</v>
      </c>
      <c r="X91" t="s">
        <v>109</v>
      </c>
    </row>
    <row r="92" spans="1:24">
      <c r="A92" t="s">
        <v>650</v>
      </c>
      <c r="B92" t="s">
        <v>651</v>
      </c>
      <c r="C92" t="s">
        <v>57</v>
      </c>
      <c r="D92">
        <v>27</v>
      </c>
      <c r="E92">
        <v>28</v>
      </c>
      <c r="F92" t="s">
        <v>57</v>
      </c>
      <c r="G92" t="s">
        <v>230</v>
      </c>
      <c r="H92" t="s">
        <v>652</v>
      </c>
      <c r="I92" t="str">
        <f t="shared" si="2"/>
        <v>K28R</v>
      </c>
      <c r="J92" t="str">
        <f t="shared" si="3"/>
        <v>K27R</v>
      </c>
      <c r="K92" t="s">
        <v>59</v>
      </c>
      <c r="L92" t="s">
        <v>59</v>
      </c>
      <c r="M92" t="s">
        <v>653</v>
      </c>
      <c r="N92" t="s">
        <v>402</v>
      </c>
      <c r="O92" t="s">
        <v>32</v>
      </c>
      <c r="P92" t="s">
        <v>417</v>
      </c>
      <c r="Q92" t="s">
        <v>654</v>
      </c>
      <c r="R92" t="s">
        <v>419</v>
      </c>
      <c r="S92" t="s">
        <v>655</v>
      </c>
      <c r="T92" t="s">
        <v>37</v>
      </c>
      <c r="U92" t="s">
        <v>151</v>
      </c>
      <c r="V92" t="s">
        <v>656</v>
      </c>
      <c r="W92" t="s">
        <v>40</v>
      </c>
      <c r="X92" t="s">
        <v>153</v>
      </c>
    </row>
    <row r="93" spans="1:24">
      <c r="A93" t="s">
        <v>657</v>
      </c>
      <c r="B93" t="s">
        <v>432</v>
      </c>
      <c r="C93" t="s">
        <v>230</v>
      </c>
      <c r="D93">
        <v>92</v>
      </c>
      <c r="E93">
        <v>93</v>
      </c>
      <c r="F93" t="s">
        <v>230</v>
      </c>
      <c r="G93" t="s">
        <v>57</v>
      </c>
      <c r="H93" t="s">
        <v>658</v>
      </c>
      <c r="I93" t="str">
        <f t="shared" si="2"/>
        <v>R93K</v>
      </c>
      <c r="J93" t="str">
        <f t="shared" si="3"/>
        <v>R92K</v>
      </c>
      <c r="K93">
        <v>0.245264836123633</v>
      </c>
      <c r="L93" t="s">
        <v>29</v>
      </c>
      <c r="M93" t="s">
        <v>659</v>
      </c>
      <c r="N93" t="s">
        <v>402</v>
      </c>
      <c r="O93" t="s">
        <v>32</v>
      </c>
      <c r="P93" t="s">
        <v>417</v>
      </c>
      <c r="Q93" t="s">
        <v>435</v>
      </c>
      <c r="R93" t="s">
        <v>436</v>
      </c>
      <c r="S93" t="s">
        <v>660</v>
      </c>
      <c r="T93" t="s">
        <v>37</v>
      </c>
      <c r="U93" t="s">
        <v>117</v>
      </c>
      <c r="V93" t="s">
        <v>661</v>
      </c>
      <c r="W93" t="s">
        <v>40</v>
      </c>
      <c r="X93" t="s">
        <v>119</v>
      </c>
    </row>
    <row r="94" spans="1:24">
      <c r="A94" t="s">
        <v>662</v>
      </c>
      <c r="B94" t="s">
        <v>663</v>
      </c>
      <c r="C94" t="s">
        <v>26</v>
      </c>
      <c r="D94">
        <v>94</v>
      </c>
      <c r="E94">
        <v>95</v>
      </c>
      <c r="F94" t="s">
        <v>26</v>
      </c>
      <c r="G94" t="s">
        <v>173</v>
      </c>
      <c r="H94" t="s">
        <v>664</v>
      </c>
      <c r="I94" t="str">
        <f t="shared" si="2"/>
        <v>E95Q</v>
      </c>
      <c r="J94" t="str">
        <f t="shared" si="3"/>
        <v>E94Q</v>
      </c>
      <c r="K94">
        <v>0.076975177981875</v>
      </c>
      <c r="L94" t="s">
        <v>93</v>
      </c>
      <c r="M94" t="s">
        <v>665</v>
      </c>
      <c r="N94" t="s">
        <v>47</v>
      </c>
      <c r="O94" t="s">
        <v>48</v>
      </c>
      <c r="P94" t="s">
        <v>666</v>
      </c>
      <c r="Q94" t="s">
        <v>667</v>
      </c>
      <c r="R94" t="s">
        <v>668</v>
      </c>
      <c r="S94" t="s">
        <v>504</v>
      </c>
      <c r="T94" t="s">
        <v>37</v>
      </c>
      <c r="U94" t="s">
        <v>347</v>
      </c>
      <c r="V94" t="s">
        <v>505</v>
      </c>
      <c r="W94" t="s">
        <v>40</v>
      </c>
      <c r="X94" t="s">
        <v>349</v>
      </c>
    </row>
    <row r="95" spans="1:24">
      <c r="A95" t="s">
        <v>669</v>
      </c>
      <c r="B95" t="s">
        <v>670</v>
      </c>
      <c r="C95" t="s">
        <v>26</v>
      </c>
      <c r="D95">
        <v>97</v>
      </c>
      <c r="E95">
        <v>98</v>
      </c>
      <c r="F95" t="s">
        <v>26</v>
      </c>
      <c r="G95" t="s">
        <v>173</v>
      </c>
      <c r="H95" t="s">
        <v>671</v>
      </c>
      <c r="I95" t="str">
        <f t="shared" si="2"/>
        <v>E98Q</v>
      </c>
      <c r="J95" t="str">
        <f t="shared" si="3"/>
        <v>E97Q</v>
      </c>
      <c r="K95">
        <v>0.0377958518025082</v>
      </c>
      <c r="L95" t="s">
        <v>93</v>
      </c>
      <c r="M95" t="s">
        <v>672</v>
      </c>
      <c r="N95" t="s">
        <v>47</v>
      </c>
      <c r="O95" t="s">
        <v>48</v>
      </c>
      <c r="P95" t="s">
        <v>666</v>
      </c>
      <c r="Q95" t="s">
        <v>673</v>
      </c>
      <c r="R95" t="s">
        <v>668</v>
      </c>
      <c r="S95" t="s">
        <v>674</v>
      </c>
      <c r="T95" t="s">
        <v>37</v>
      </c>
      <c r="U95" t="s">
        <v>675</v>
      </c>
      <c r="V95" t="s">
        <v>676</v>
      </c>
      <c r="W95" t="s">
        <v>40</v>
      </c>
      <c r="X95" t="s">
        <v>677</v>
      </c>
    </row>
    <row r="96" spans="1:24">
      <c r="A96" t="s">
        <v>678</v>
      </c>
      <c r="B96" t="s">
        <v>663</v>
      </c>
      <c r="C96" t="s">
        <v>26</v>
      </c>
      <c r="D96">
        <v>133</v>
      </c>
      <c r="E96">
        <v>134</v>
      </c>
      <c r="F96" t="s">
        <v>26</v>
      </c>
      <c r="G96" t="s">
        <v>173</v>
      </c>
      <c r="H96" t="s">
        <v>679</v>
      </c>
      <c r="I96" t="str">
        <f t="shared" si="2"/>
        <v>E134Q</v>
      </c>
      <c r="J96" t="str">
        <f t="shared" si="3"/>
        <v>E133Q</v>
      </c>
      <c r="K96">
        <v>0.249086208083482</v>
      </c>
      <c r="L96" t="s">
        <v>29</v>
      </c>
      <c r="M96" t="s">
        <v>680</v>
      </c>
      <c r="N96" t="s">
        <v>47</v>
      </c>
      <c r="O96" t="s">
        <v>48</v>
      </c>
      <c r="P96" t="s">
        <v>666</v>
      </c>
      <c r="Q96" t="s">
        <v>667</v>
      </c>
      <c r="R96" t="s">
        <v>668</v>
      </c>
      <c r="S96" t="s">
        <v>681</v>
      </c>
      <c r="T96" t="s">
        <v>37</v>
      </c>
      <c r="U96" t="s">
        <v>213</v>
      </c>
      <c r="V96" t="s">
        <v>682</v>
      </c>
      <c r="W96" t="s">
        <v>40</v>
      </c>
      <c r="X96" t="s">
        <v>215</v>
      </c>
    </row>
    <row r="97" spans="1:24">
      <c r="A97" t="s">
        <v>678</v>
      </c>
      <c r="B97" t="s">
        <v>663</v>
      </c>
      <c r="C97" t="s">
        <v>26</v>
      </c>
      <c r="D97">
        <v>133</v>
      </c>
      <c r="E97">
        <v>134</v>
      </c>
      <c r="F97" t="s">
        <v>26</v>
      </c>
      <c r="G97" t="s">
        <v>173</v>
      </c>
      <c r="H97" t="s">
        <v>679</v>
      </c>
      <c r="I97" t="str">
        <f t="shared" si="2"/>
        <v>E134Q</v>
      </c>
      <c r="J97" t="str">
        <f t="shared" si="3"/>
        <v>E133Q</v>
      </c>
      <c r="K97">
        <v>0.249086208083482</v>
      </c>
      <c r="L97" t="s">
        <v>29</v>
      </c>
      <c r="M97" t="s">
        <v>680</v>
      </c>
      <c r="N97" t="s">
        <v>47</v>
      </c>
      <c r="O97" t="s">
        <v>48</v>
      </c>
      <c r="P97" t="s">
        <v>666</v>
      </c>
      <c r="Q97" t="s">
        <v>667</v>
      </c>
      <c r="R97" t="s">
        <v>668</v>
      </c>
      <c r="S97" t="s">
        <v>683</v>
      </c>
      <c r="T97" t="s">
        <v>37</v>
      </c>
      <c r="U97" t="s">
        <v>428</v>
      </c>
      <c r="V97" t="s">
        <v>684</v>
      </c>
      <c r="W97" t="s">
        <v>40</v>
      </c>
      <c r="X97" t="s">
        <v>430</v>
      </c>
    </row>
    <row r="98" spans="1:24">
      <c r="A98" t="s">
        <v>685</v>
      </c>
      <c r="B98" t="s">
        <v>663</v>
      </c>
      <c r="C98" t="s">
        <v>26</v>
      </c>
      <c r="D98">
        <v>73</v>
      </c>
      <c r="E98">
        <v>74</v>
      </c>
      <c r="F98" t="s">
        <v>26</v>
      </c>
      <c r="G98" t="s">
        <v>57</v>
      </c>
      <c r="H98" t="s">
        <v>686</v>
      </c>
      <c r="I98" t="str">
        <f t="shared" si="2"/>
        <v>E74K</v>
      </c>
      <c r="J98" t="str">
        <f t="shared" si="3"/>
        <v>E73K</v>
      </c>
      <c r="K98">
        <v>0.242634009231616</v>
      </c>
      <c r="L98" t="s">
        <v>29</v>
      </c>
      <c r="M98" t="s">
        <v>687</v>
      </c>
      <c r="N98" t="s">
        <v>61</v>
      </c>
      <c r="O98" t="s">
        <v>62</v>
      </c>
      <c r="P98" t="s">
        <v>666</v>
      </c>
      <c r="Q98" t="s">
        <v>667</v>
      </c>
      <c r="R98" t="s">
        <v>668</v>
      </c>
      <c r="S98" t="s">
        <v>688</v>
      </c>
      <c r="T98" t="s">
        <v>66</v>
      </c>
      <c r="U98" t="s">
        <v>67</v>
      </c>
      <c r="V98" t="s">
        <v>689</v>
      </c>
      <c r="W98" t="s">
        <v>40</v>
      </c>
      <c r="X98" t="s">
        <v>69</v>
      </c>
    </row>
    <row r="99" spans="1:24">
      <c r="A99" t="s">
        <v>690</v>
      </c>
      <c r="B99" t="s">
        <v>691</v>
      </c>
      <c r="C99" t="s">
        <v>26</v>
      </c>
      <c r="D99">
        <v>94</v>
      </c>
      <c r="E99">
        <v>95</v>
      </c>
      <c r="F99" t="s">
        <v>26</v>
      </c>
      <c r="G99" t="s">
        <v>57</v>
      </c>
      <c r="H99" t="s">
        <v>664</v>
      </c>
      <c r="I99" t="str">
        <f t="shared" si="2"/>
        <v>E95K</v>
      </c>
      <c r="J99" t="str">
        <f t="shared" si="3"/>
        <v>E94K</v>
      </c>
      <c r="K99">
        <v>0.076975177981875</v>
      </c>
      <c r="L99" t="s">
        <v>93</v>
      </c>
      <c r="M99" t="s">
        <v>692</v>
      </c>
      <c r="N99" t="s">
        <v>61</v>
      </c>
      <c r="O99" t="s">
        <v>62</v>
      </c>
      <c r="P99" t="s">
        <v>666</v>
      </c>
      <c r="Q99" t="s">
        <v>693</v>
      </c>
      <c r="R99" t="s">
        <v>668</v>
      </c>
      <c r="S99" t="s">
        <v>694</v>
      </c>
      <c r="T99" t="s">
        <v>37</v>
      </c>
      <c r="U99" t="s">
        <v>96</v>
      </c>
      <c r="V99" t="s">
        <v>695</v>
      </c>
      <c r="W99" t="s">
        <v>40</v>
      </c>
      <c r="X99" t="s">
        <v>98</v>
      </c>
    </row>
    <row r="100" spans="1:24">
      <c r="A100" t="s">
        <v>696</v>
      </c>
      <c r="B100" t="s">
        <v>691</v>
      </c>
      <c r="C100" t="s">
        <v>26</v>
      </c>
      <c r="D100">
        <v>97</v>
      </c>
      <c r="E100">
        <v>98</v>
      </c>
      <c r="F100" t="s">
        <v>26</v>
      </c>
      <c r="G100" t="s">
        <v>57</v>
      </c>
      <c r="H100" t="s">
        <v>671</v>
      </c>
      <c r="I100" t="str">
        <f t="shared" si="2"/>
        <v>E98K</v>
      </c>
      <c r="J100" t="str">
        <f t="shared" si="3"/>
        <v>E97K</v>
      </c>
      <c r="K100">
        <v>0.0377958518025082</v>
      </c>
      <c r="L100" t="s">
        <v>93</v>
      </c>
      <c r="M100" t="s">
        <v>697</v>
      </c>
      <c r="N100" t="s">
        <v>61</v>
      </c>
      <c r="O100" t="s">
        <v>62</v>
      </c>
      <c r="P100" t="s">
        <v>666</v>
      </c>
      <c r="Q100" t="s">
        <v>693</v>
      </c>
      <c r="R100" t="s">
        <v>668</v>
      </c>
      <c r="S100" t="s">
        <v>370</v>
      </c>
      <c r="T100" t="s">
        <v>66</v>
      </c>
      <c r="U100" t="s">
        <v>219</v>
      </c>
      <c r="V100" t="s">
        <v>371</v>
      </c>
      <c r="W100" t="s">
        <v>40</v>
      </c>
      <c r="X100" t="s">
        <v>221</v>
      </c>
    </row>
    <row r="101" spans="1:24">
      <c r="A101" t="s">
        <v>696</v>
      </c>
      <c r="B101" t="s">
        <v>698</v>
      </c>
      <c r="C101" t="s">
        <v>26</v>
      </c>
      <c r="D101">
        <v>97</v>
      </c>
      <c r="E101">
        <v>98</v>
      </c>
      <c r="F101" t="s">
        <v>26</v>
      </c>
      <c r="G101" t="s">
        <v>57</v>
      </c>
      <c r="H101" t="s">
        <v>671</v>
      </c>
      <c r="I101" t="str">
        <f t="shared" si="2"/>
        <v>E98K</v>
      </c>
      <c r="J101" t="str">
        <f t="shared" si="3"/>
        <v>E97K</v>
      </c>
      <c r="K101">
        <v>0.0377958518025082</v>
      </c>
      <c r="L101" t="s">
        <v>93</v>
      </c>
      <c r="M101" t="s">
        <v>697</v>
      </c>
      <c r="N101" t="s">
        <v>61</v>
      </c>
      <c r="O101" t="s">
        <v>62</v>
      </c>
      <c r="P101" t="s">
        <v>666</v>
      </c>
      <c r="Q101" t="s">
        <v>699</v>
      </c>
      <c r="R101" t="s">
        <v>668</v>
      </c>
      <c r="S101" t="s">
        <v>370</v>
      </c>
      <c r="T101" t="s">
        <v>66</v>
      </c>
      <c r="U101" t="s">
        <v>219</v>
      </c>
      <c r="V101" t="s">
        <v>371</v>
      </c>
      <c r="W101" t="s">
        <v>40</v>
      </c>
      <c r="X101" t="s">
        <v>221</v>
      </c>
    </row>
    <row r="102" spans="1:24">
      <c r="A102" t="s">
        <v>700</v>
      </c>
      <c r="B102" t="s">
        <v>701</v>
      </c>
      <c r="C102" t="s">
        <v>101</v>
      </c>
      <c r="D102">
        <v>47</v>
      </c>
      <c r="E102">
        <v>48</v>
      </c>
      <c r="F102" t="s">
        <v>101</v>
      </c>
      <c r="G102" t="s">
        <v>26</v>
      </c>
      <c r="H102" t="s">
        <v>702</v>
      </c>
      <c r="I102" t="str">
        <f t="shared" si="2"/>
        <v>A48E</v>
      </c>
      <c r="J102" t="str">
        <f t="shared" si="3"/>
        <v>A47E</v>
      </c>
      <c r="K102">
        <v>0.00114493819714479</v>
      </c>
      <c r="L102" t="s">
        <v>93</v>
      </c>
      <c r="M102" t="s">
        <v>703</v>
      </c>
      <c r="N102" t="s">
        <v>74</v>
      </c>
      <c r="O102" t="s">
        <v>75</v>
      </c>
      <c r="P102" t="s">
        <v>666</v>
      </c>
      <c r="Q102" t="s">
        <v>704</v>
      </c>
      <c r="R102" t="s">
        <v>705</v>
      </c>
      <c r="S102" t="s">
        <v>706</v>
      </c>
      <c r="T102" t="s">
        <v>37</v>
      </c>
      <c r="U102" t="s">
        <v>226</v>
      </c>
      <c r="V102" t="s">
        <v>707</v>
      </c>
      <c r="W102" t="s">
        <v>40</v>
      </c>
      <c r="X102" t="s">
        <v>593</v>
      </c>
    </row>
    <row r="103" spans="1:24">
      <c r="A103" t="s">
        <v>708</v>
      </c>
      <c r="B103" t="s">
        <v>709</v>
      </c>
      <c r="C103" t="s">
        <v>101</v>
      </c>
      <c r="D103">
        <v>88</v>
      </c>
      <c r="E103">
        <v>89</v>
      </c>
      <c r="F103" t="s">
        <v>101</v>
      </c>
      <c r="G103" t="s">
        <v>26</v>
      </c>
      <c r="H103" t="s">
        <v>710</v>
      </c>
      <c r="I103" t="str">
        <f t="shared" si="2"/>
        <v>A89E</v>
      </c>
      <c r="J103" t="str">
        <f t="shared" si="3"/>
        <v>A88E</v>
      </c>
      <c r="K103">
        <v>0</v>
      </c>
      <c r="L103" t="s">
        <v>93</v>
      </c>
      <c r="M103" t="s">
        <v>711</v>
      </c>
      <c r="N103" t="s">
        <v>74</v>
      </c>
      <c r="O103" t="s">
        <v>75</v>
      </c>
      <c r="P103" t="s">
        <v>666</v>
      </c>
      <c r="Q103" t="s">
        <v>712</v>
      </c>
      <c r="R103" t="s">
        <v>668</v>
      </c>
      <c r="S103" t="s">
        <v>713</v>
      </c>
      <c r="T103" t="s">
        <v>37</v>
      </c>
      <c r="U103" t="s">
        <v>283</v>
      </c>
      <c r="V103" t="s">
        <v>714</v>
      </c>
      <c r="W103" t="s">
        <v>40</v>
      </c>
      <c r="X103" t="s">
        <v>285</v>
      </c>
    </row>
    <row r="104" spans="1:24">
      <c r="A104" t="s">
        <v>715</v>
      </c>
      <c r="B104" t="s">
        <v>716</v>
      </c>
      <c r="C104" t="s">
        <v>44</v>
      </c>
      <c r="D104">
        <v>12</v>
      </c>
      <c r="E104">
        <v>13</v>
      </c>
      <c r="F104" t="s">
        <v>44</v>
      </c>
      <c r="G104" t="s">
        <v>133</v>
      </c>
      <c r="H104" t="s">
        <v>717</v>
      </c>
      <c r="I104" t="str">
        <f t="shared" si="2"/>
        <v>G13C</v>
      </c>
      <c r="J104" t="str">
        <f t="shared" si="3"/>
        <v>G12C</v>
      </c>
      <c r="K104" t="s">
        <v>59</v>
      </c>
      <c r="L104" t="s">
        <v>59</v>
      </c>
      <c r="M104" t="s">
        <v>718</v>
      </c>
      <c r="N104" t="s">
        <v>136</v>
      </c>
      <c r="O104" t="s">
        <v>32</v>
      </c>
      <c r="P104" t="s">
        <v>666</v>
      </c>
      <c r="Q104" t="s">
        <v>719</v>
      </c>
      <c r="R104" t="s">
        <v>668</v>
      </c>
      <c r="S104" t="s">
        <v>720</v>
      </c>
      <c r="T104" t="s">
        <v>37</v>
      </c>
      <c r="U104" t="s">
        <v>622</v>
      </c>
      <c r="V104" t="s">
        <v>721</v>
      </c>
      <c r="W104" t="s">
        <v>40</v>
      </c>
      <c r="X104" t="s">
        <v>722</v>
      </c>
    </row>
    <row r="105" spans="1:24">
      <c r="A105" t="s">
        <v>723</v>
      </c>
      <c r="B105" t="s">
        <v>698</v>
      </c>
      <c r="C105" t="s">
        <v>101</v>
      </c>
      <c r="D105">
        <v>21</v>
      </c>
      <c r="E105">
        <v>22</v>
      </c>
      <c r="F105" t="s">
        <v>101</v>
      </c>
      <c r="G105" t="s">
        <v>164</v>
      </c>
      <c r="H105" t="s">
        <v>724</v>
      </c>
      <c r="I105" t="str">
        <f t="shared" si="2"/>
        <v>A22T</v>
      </c>
      <c r="J105" t="str">
        <f t="shared" si="3"/>
        <v>A21T</v>
      </c>
      <c r="K105" t="s">
        <v>59</v>
      </c>
      <c r="L105" t="s">
        <v>59</v>
      </c>
      <c r="M105" t="s">
        <v>725</v>
      </c>
      <c r="N105" t="s">
        <v>136</v>
      </c>
      <c r="O105" t="s">
        <v>32</v>
      </c>
      <c r="P105" t="s">
        <v>666</v>
      </c>
      <c r="Q105" t="s">
        <v>699</v>
      </c>
      <c r="R105" t="s">
        <v>668</v>
      </c>
      <c r="S105" t="s">
        <v>726</v>
      </c>
      <c r="T105" t="s">
        <v>37</v>
      </c>
      <c r="U105" t="s">
        <v>226</v>
      </c>
      <c r="V105" t="s">
        <v>727</v>
      </c>
      <c r="W105" t="s">
        <v>40</v>
      </c>
      <c r="X105" t="s">
        <v>593</v>
      </c>
    </row>
    <row r="106" spans="1:24">
      <c r="A106" t="s">
        <v>728</v>
      </c>
      <c r="B106" t="s">
        <v>670</v>
      </c>
      <c r="C106" t="s">
        <v>164</v>
      </c>
      <c r="D106">
        <v>22</v>
      </c>
      <c r="E106">
        <v>23</v>
      </c>
      <c r="F106" t="s">
        <v>164</v>
      </c>
      <c r="G106" t="s">
        <v>132</v>
      </c>
      <c r="H106" t="s">
        <v>729</v>
      </c>
      <c r="I106" t="str">
        <f t="shared" si="2"/>
        <v>T23S</v>
      </c>
      <c r="J106" t="str">
        <f t="shared" si="3"/>
        <v>T22S</v>
      </c>
      <c r="K106" t="s">
        <v>59</v>
      </c>
      <c r="L106" t="s">
        <v>59</v>
      </c>
      <c r="M106" t="s">
        <v>730</v>
      </c>
      <c r="N106" t="s">
        <v>136</v>
      </c>
      <c r="O106" t="s">
        <v>32</v>
      </c>
      <c r="P106" t="s">
        <v>666</v>
      </c>
      <c r="Q106" t="s">
        <v>673</v>
      </c>
      <c r="R106" t="s">
        <v>668</v>
      </c>
      <c r="S106" t="s">
        <v>731</v>
      </c>
      <c r="T106" t="s">
        <v>37</v>
      </c>
      <c r="U106" t="s">
        <v>78</v>
      </c>
      <c r="V106" t="s">
        <v>732</v>
      </c>
      <c r="W106" t="s">
        <v>40</v>
      </c>
      <c r="X106" t="s">
        <v>80</v>
      </c>
    </row>
    <row r="107" spans="1:24">
      <c r="A107" t="s">
        <v>733</v>
      </c>
      <c r="B107" t="s">
        <v>716</v>
      </c>
      <c r="C107" t="s">
        <v>141</v>
      </c>
      <c r="D107">
        <v>30</v>
      </c>
      <c r="E107">
        <v>31</v>
      </c>
      <c r="F107" t="s">
        <v>141</v>
      </c>
      <c r="G107" t="s">
        <v>174</v>
      </c>
      <c r="H107" t="s">
        <v>734</v>
      </c>
      <c r="I107" t="str">
        <f t="shared" si="2"/>
        <v>P31L</v>
      </c>
      <c r="J107" t="str">
        <f t="shared" si="3"/>
        <v>P30L</v>
      </c>
      <c r="K107" t="s">
        <v>59</v>
      </c>
      <c r="L107" t="s">
        <v>59</v>
      </c>
      <c r="M107" t="s">
        <v>735</v>
      </c>
      <c r="N107" t="s">
        <v>136</v>
      </c>
      <c r="O107" t="s">
        <v>32</v>
      </c>
      <c r="P107" t="s">
        <v>666</v>
      </c>
      <c r="Q107" t="s">
        <v>719</v>
      </c>
      <c r="R107" t="s">
        <v>668</v>
      </c>
      <c r="S107" t="s">
        <v>736</v>
      </c>
      <c r="T107" t="s">
        <v>37</v>
      </c>
      <c r="U107" t="s">
        <v>737</v>
      </c>
      <c r="V107" t="s">
        <v>738</v>
      </c>
      <c r="W107" t="s">
        <v>40</v>
      </c>
      <c r="X107" t="s">
        <v>739</v>
      </c>
    </row>
    <row r="108" spans="1:24">
      <c r="A108" t="s">
        <v>740</v>
      </c>
      <c r="B108" t="s">
        <v>741</v>
      </c>
      <c r="C108" t="s">
        <v>44</v>
      </c>
      <c r="D108">
        <v>34</v>
      </c>
      <c r="E108">
        <v>35</v>
      </c>
      <c r="F108" t="s">
        <v>44</v>
      </c>
      <c r="G108" t="s">
        <v>156</v>
      </c>
      <c r="H108" t="s">
        <v>742</v>
      </c>
      <c r="I108" t="str">
        <f t="shared" si="2"/>
        <v>G35V</v>
      </c>
      <c r="J108" t="str">
        <f t="shared" si="3"/>
        <v>G34V</v>
      </c>
      <c r="K108" t="s">
        <v>59</v>
      </c>
      <c r="L108" t="s">
        <v>59</v>
      </c>
      <c r="M108" t="s">
        <v>743</v>
      </c>
      <c r="N108" t="s">
        <v>136</v>
      </c>
      <c r="O108" t="s">
        <v>32</v>
      </c>
      <c r="P108" t="s">
        <v>666</v>
      </c>
      <c r="Q108" t="s">
        <v>744</v>
      </c>
      <c r="R108" t="s">
        <v>705</v>
      </c>
      <c r="S108" t="s">
        <v>745</v>
      </c>
      <c r="T108" t="s">
        <v>37</v>
      </c>
      <c r="U108" t="s">
        <v>168</v>
      </c>
      <c r="V108" t="s">
        <v>746</v>
      </c>
      <c r="W108" t="s">
        <v>40</v>
      </c>
      <c r="X108" t="s">
        <v>170</v>
      </c>
    </row>
    <row r="109" spans="1:24">
      <c r="A109" t="s">
        <v>747</v>
      </c>
      <c r="B109" t="s">
        <v>709</v>
      </c>
      <c r="C109" t="s">
        <v>156</v>
      </c>
      <c r="D109">
        <v>35</v>
      </c>
      <c r="E109">
        <v>36</v>
      </c>
      <c r="F109" t="s">
        <v>156</v>
      </c>
      <c r="G109" t="s">
        <v>174</v>
      </c>
      <c r="H109" t="s">
        <v>748</v>
      </c>
      <c r="I109" t="str">
        <f t="shared" si="2"/>
        <v>V36L</v>
      </c>
      <c r="J109" t="str">
        <f t="shared" si="3"/>
        <v>V35L</v>
      </c>
      <c r="K109" t="s">
        <v>59</v>
      </c>
      <c r="L109" t="s">
        <v>59</v>
      </c>
      <c r="M109" t="s">
        <v>749</v>
      </c>
      <c r="N109" t="s">
        <v>136</v>
      </c>
      <c r="O109" t="s">
        <v>32</v>
      </c>
      <c r="P109" t="s">
        <v>666</v>
      </c>
      <c r="Q109" t="s">
        <v>712</v>
      </c>
      <c r="R109" t="s">
        <v>668</v>
      </c>
      <c r="S109" t="s">
        <v>750</v>
      </c>
      <c r="T109" t="s">
        <v>37</v>
      </c>
      <c r="U109" t="s">
        <v>751</v>
      </c>
      <c r="V109" t="s">
        <v>752</v>
      </c>
      <c r="W109" t="s">
        <v>40</v>
      </c>
      <c r="X109" t="s">
        <v>753</v>
      </c>
    </row>
    <row r="110" spans="1:24">
      <c r="A110" t="s">
        <v>754</v>
      </c>
      <c r="B110" t="s">
        <v>670</v>
      </c>
      <c r="C110" t="s">
        <v>141</v>
      </c>
      <c r="D110">
        <v>38</v>
      </c>
      <c r="E110">
        <v>39</v>
      </c>
      <c r="F110" t="s">
        <v>141</v>
      </c>
      <c r="G110" t="s">
        <v>164</v>
      </c>
      <c r="H110" t="s">
        <v>755</v>
      </c>
      <c r="I110" t="str">
        <f t="shared" si="2"/>
        <v>P39T</v>
      </c>
      <c r="J110" t="str">
        <f t="shared" si="3"/>
        <v>P38T</v>
      </c>
      <c r="K110">
        <v>0.747638782689704</v>
      </c>
      <c r="L110" t="s">
        <v>29</v>
      </c>
      <c r="M110" t="s">
        <v>756</v>
      </c>
      <c r="N110" t="s">
        <v>136</v>
      </c>
      <c r="O110" t="s">
        <v>32</v>
      </c>
      <c r="P110" t="s">
        <v>666</v>
      </c>
      <c r="Q110" t="s">
        <v>673</v>
      </c>
      <c r="R110" t="s">
        <v>668</v>
      </c>
      <c r="S110" t="s">
        <v>757</v>
      </c>
      <c r="T110" t="s">
        <v>37</v>
      </c>
      <c r="U110" t="s">
        <v>300</v>
      </c>
      <c r="V110" t="s">
        <v>758</v>
      </c>
      <c r="W110" t="s">
        <v>40</v>
      </c>
      <c r="X110" t="s">
        <v>302</v>
      </c>
    </row>
    <row r="111" spans="1:24">
      <c r="A111" t="s">
        <v>759</v>
      </c>
      <c r="B111" t="s">
        <v>760</v>
      </c>
      <c r="C111" t="s">
        <v>173</v>
      </c>
      <c r="D111">
        <v>68</v>
      </c>
      <c r="E111">
        <v>69</v>
      </c>
      <c r="F111" t="s">
        <v>173</v>
      </c>
      <c r="G111" t="s">
        <v>174</v>
      </c>
      <c r="H111" t="s">
        <v>761</v>
      </c>
      <c r="I111" t="str">
        <f t="shared" si="2"/>
        <v>Q69L</v>
      </c>
      <c r="J111" t="str">
        <f t="shared" si="3"/>
        <v>Q68L</v>
      </c>
      <c r="K111">
        <v>0.19245422558942</v>
      </c>
      <c r="L111" t="s">
        <v>93</v>
      </c>
      <c r="M111" t="s">
        <v>762</v>
      </c>
      <c r="N111" t="s">
        <v>136</v>
      </c>
      <c r="O111" t="s">
        <v>32</v>
      </c>
      <c r="P111" t="s">
        <v>666</v>
      </c>
      <c r="Q111" t="s">
        <v>763</v>
      </c>
      <c r="R111" t="s">
        <v>764</v>
      </c>
      <c r="S111" t="s">
        <v>765</v>
      </c>
      <c r="T111" t="s">
        <v>37</v>
      </c>
      <c r="U111" t="s">
        <v>270</v>
      </c>
      <c r="V111" t="s">
        <v>766</v>
      </c>
      <c r="W111" t="s">
        <v>40</v>
      </c>
      <c r="X111" t="s">
        <v>272</v>
      </c>
    </row>
    <row r="112" spans="1:24">
      <c r="A112" t="s">
        <v>767</v>
      </c>
      <c r="B112" t="s">
        <v>741</v>
      </c>
      <c r="C112" t="s">
        <v>274</v>
      </c>
      <c r="D112">
        <v>74</v>
      </c>
      <c r="E112">
        <v>75</v>
      </c>
      <c r="F112" t="s">
        <v>274</v>
      </c>
      <c r="G112" t="s">
        <v>156</v>
      </c>
      <c r="H112" t="s">
        <v>768</v>
      </c>
      <c r="I112" t="str">
        <f t="shared" si="2"/>
        <v>I75V</v>
      </c>
      <c r="J112" t="str">
        <f t="shared" si="3"/>
        <v>I74V</v>
      </c>
      <c r="K112">
        <v>0.0148567243131805</v>
      </c>
      <c r="L112" t="s">
        <v>93</v>
      </c>
      <c r="M112" t="s">
        <v>769</v>
      </c>
      <c r="N112" t="s">
        <v>136</v>
      </c>
      <c r="O112" t="s">
        <v>32</v>
      </c>
      <c r="P112" t="s">
        <v>666</v>
      </c>
      <c r="Q112" t="s">
        <v>744</v>
      </c>
      <c r="R112" t="s">
        <v>705</v>
      </c>
      <c r="S112" t="s">
        <v>770</v>
      </c>
      <c r="T112" t="s">
        <v>37</v>
      </c>
      <c r="U112" t="s">
        <v>771</v>
      </c>
      <c r="V112" t="s">
        <v>772</v>
      </c>
      <c r="W112" t="s">
        <v>40</v>
      </c>
      <c r="X112" t="s">
        <v>773</v>
      </c>
    </row>
    <row r="113" spans="1:24">
      <c r="A113" t="s">
        <v>774</v>
      </c>
      <c r="B113" t="s">
        <v>775</v>
      </c>
      <c r="C113" t="s">
        <v>101</v>
      </c>
      <c r="D113">
        <v>75</v>
      </c>
      <c r="E113">
        <v>76</v>
      </c>
      <c r="F113" t="s">
        <v>101</v>
      </c>
      <c r="G113" t="s">
        <v>44</v>
      </c>
      <c r="H113" t="s">
        <v>776</v>
      </c>
      <c r="I113" t="str">
        <f t="shared" si="2"/>
        <v>A76G</v>
      </c>
      <c r="J113" t="str">
        <f t="shared" si="3"/>
        <v>A75G</v>
      </c>
      <c r="K113">
        <v>0.0104553802865289</v>
      </c>
      <c r="L113" t="s">
        <v>93</v>
      </c>
      <c r="M113" t="s">
        <v>777</v>
      </c>
      <c r="N113" t="s">
        <v>136</v>
      </c>
      <c r="O113" t="s">
        <v>32</v>
      </c>
      <c r="P113" t="s">
        <v>666</v>
      </c>
      <c r="Q113" t="s">
        <v>778</v>
      </c>
      <c r="R113" t="s">
        <v>668</v>
      </c>
      <c r="S113" t="s">
        <v>779</v>
      </c>
      <c r="T113" t="s">
        <v>37</v>
      </c>
      <c r="U113" t="s">
        <v>780</v>
      </c>
      <c r="V113" t="s">
        <v>781</v>
      </c>
      <c r="W113" t="s">
        <v>40</v>
      </c>
      <c r="X113" t="s">
        <v>782</v>
      </c>
    </row>
    <row r="114" spans="1:24">
      <c r="A114" t="s">
        <v>783</v>
      </c>
      <c r="B114" t="s">
        <v>784</v>
      </c>
      <c r="C114" t="s">
        <v>148</v>
      </c>
      <c r="D114">
        <v>78</v>
      </c>
      <c r="E114">
        <v>79</v>
      </c>
      <c r="F114" t="s">
        <v>148</v>
      </c>
      <c r="G114" t="s">
        <v>133</v>
      </c>
      <c r="H114" t="s">
        <v>785</v>
      </c>
      <c r="I114" t="str">
        <f t="shared" si="2"/>
        <v>F79C</v>
      </c>
      <c r="J114" t="str">
        <f t="shared" si="3"/>
        <v>F78C</v>
      </c>
      <c r="K114">
        <v>0.198652224902002</v>
      </c>
      <c r="L114" t="s">
        <v>93</v>
      </c>
      <c r="M114" t="s">
        <v>786</v>
      </c>
      <c r="N114" t="s">
        <v>136</v>
      </c>
      <c r="O114" t="s">
        <v>32</v>
      </c>
      <c r="P114" t="s">
        <v>666</v>
      </c>
      <c r="Q114" t="s">
        <v>787</v>
      </c>
      <c r="R114" t="s">
        <v>668</v>
      </c>
      <c r="S114" t="s">
        <v>788</v>
      </c>
      <c r="T114" t="s">
        <v>37</v>
      </c>
      <c r="U114" t="s">
        <v>219</v>
      </c>
      <c r="V114" t="s">
        <v>789</v>
      </c>
      <c r="W114" t="s">
        <v>40</v>
      </c>
      <c r="X114" t="s">
        <v>221</v>
      </c>
    </row>
    <row r="115" spans="1:24">
      <c r="A115" t="s">
        <v>790</v>
      </c>
      <c r="B115" t="s">
        <v>791</v>
      </c>
      <c r="C115" t="s">
        <v>132</v>
      </c>
      <c r="D115">
        <v>86</v>
      </c>
      <c r="E115">
        <v>87</v>
      </c>
      <c r="F115" t="s">
        <v>132</v>
      </c>
      <c r="G115" t="s">
        <v>164</v>
      </c>
      <c r="H115" t="s">
        <v>792</v>
      </c>
      <c r="I115" t="str">
        <f t="shared" si="2"/>
        <v>S87T</v>
      </c>
      <c r="J115" t="str">
        <f t="shared" si="3"/>
        <v>S86T</v>
      </c>
      <c r="K115">
        <v>0.336820728258822</v>
      </c>
      <c r="L115" t="s">
        <v>29</v>
      </c>
      <c r="M115" t="s">
        <v>793</v>
      </c>
      <c r="N115" t="s">
        <v>136</v>
      </c>
      <c r="O115" t="s">
        <v>32</v>
      </c>
      <c r="P115" t="s">
        <v>666</v>
      </c>
      <c r="Q115" t="s">
        <v>794</v>
      </c>
      <c r="R115" t="s">
        <v>668</v>
      </c>
      <c r="S115" t="s">
        <v>289</v>
      </c>
      <c r="T115" t="s">
        <v>37</v>
      </c>
      <c r="U115" t="s">
        <v>213</v>
      </c>
      <c r="V115" t="s">
        <v>290</v>
      </c>
      <c r="W115" t="s">
        <v>40</v>
      </c>
      <c r="X115" t="s">
        <v>215</v>
      </c>
    </row>
    <row r="116" spans="1:24">
      <c r="A116" t="s">
        <v>795</v>
      </c>
      <c r="B116" t="s">
        <v>698</v>
      </c>
      <c r="C116" t="s">
        <v>101</v>
      </c>
      <c r="D116">
        <v>88</v>
      </c>
      <c r="E116">
        <v>89</v>
      </c>
      <c r="F116" t="s">
        <v>101</v>
      </c>
      <c r="G116" t="s">
        <v>141</v>
      </c>
      <c r="H116" t="s">
        <v>710</v>
      </c>
      <c r="I116" t="str">
        <f t="shared" si="2"/>
        <v>A89P</v>
      </c>
      <c r="J116" t="str">
        <f t="shared" si="3"/>
        <v>A88P</v>
      </c>
      <c r="K116">
        <v>0</v>
      </c>
      <c r="L116" t="s">
        <v>93</v>
      </c>
      <c r="M116" t="s">
        <v>796</v>
      </c>
      <c r="N116" t="s">
        <v>136</v>
      </c>
      <c r="O116" t="s">
        <v>32</v>
      </c>
      <c r="P116" t="s">
        <v>666</v>
      </c>
      <c r="Q116" t="s">
        <v>699</v>
      </c>
      <c r="R116" t="s">
        <v>668</v>
      </c>
      <c r="S116" t="s">
        <v>797</v>
      </c>
      <c r="T116" t="s">
        <v>37</v>
      </c>
      <c r="U116" t="s">
        <v>391</v>
      </c>
      <c r="V116" t="s">
        <v>798</v>
      </c>
      <c r="W116" t="s">
        <v>40</v>
      </c>
      <c r="X116" t="s">
        <v>393</v>
      </c>
    </row>
    <row r="117" spans="1:24">
      <c r="A117" t="s">
        <v>795</v>
      </c>
      <c r="B117" t="s">
        <v>709</v>
      </c>
      <c r="C117" t="s">
        <v>101</v>
      </c>
      <c r="D117">
        <v>88</v>
      </c>
      <c r="E117">
        <v>89</v>
      </c>
      <c r="F117" t="s">
        <v>101</v>
      </c>
      <c r="G117" t="s">
        <v>141</v>
      </c>
      <c r="H117" t="s">
        <v>710</v>
      </c>
      <c r="I117" t="str">
        <f t="shared" si="2"/>
        <v>A89P</v>
      </c>
      <c r="J117" t="str">
        <f t="shared" si="3"/>
        <v>A88P</v>
      </c>
      <c r="K117">
        <v>0</v>
      </c>
      <c r="L117" t="s">
        <v>93</v>
      </c>
      <c r="M117" t="s">
        <v>796</v>
      </c>
      <c r="N117" t="s">
        <v>136</v>
      </c>
      <c r="O117" t="s">
        <v>32</v>
      </c>
      <c r="P117" t="s">
        <v>666</v>
      </c>
      <c r="Q117" t="s">
        <v>712</v>
      </c>
      <c r="R117" t="s">
        <v>668</v>
      </c>
      <c r="S117" t="s">
        <v>799</v>
      </c>
      <c r="T117" t="s">
        <v>37</v>
      </c>
      <c r="U117" t="s">
        <v>347</v>
      </c>
      <c r="V117" t="s">
        <v>800</v>
      </c>
      <c r="W117" t="s">
        <v>40</v>
      </c>
      <c r="X117" t="s">
        <v>349</v>
      </c>
    </row>
    <row r="118" spans="1:24">
      <c r="A118" t="s">
        <v>801</v>
      </c>
      <c r="B118" t="s">
        <v>698</v>
      </c>
      <c r="C118" t="s">
        <v>156</v>
      </c>
      <c r="D118">
        <v>117</v>
      </c>
      <c r="E118">
        <v>118</v>
      </c>
      <c r="F118" t="s">
        <v>156</v>
      </c>
      <c r="G118" t="s">
        <v>44</v>
      </c>
      <c r="H118" t="s">
        <v>802</v>
      </c>
      <c r="I118" t="str">
        <f t="shared" si="2"/>
        <v>V118G</v>
      </c>
      <c r="J118" t="str">
        <f t="shared" si="3"/>
        <v>V117G</v>
      </c>
      <c r="K118">
        <v>0.115138765296795</v>
      </c>
      <c r="L118" t="s">
        <v>93</v>
      </c>
      <c r="M118" t="s">
        <v>803</v>
      </c>
      <c r="N118" t="s">
        <v>136</v>
      </c>
      <c r="O118" t="s">
        <v>32</v>
      </c>
      <c r="P118" t="s">
        <v>666</v>
      </c>
      <c r="Q118" t="s">
        <v>699</v>
      </c>
      <c r="R118" t="s">
        <v>668</v>
      </c>
      <c r="S118" t="s">
        <v>804</v>
      </c>
      <c r="T118" t="s">
        <v>37</v>
      </c>
      <c r="U118" t="s">
        <v>234</v>
      </c>
      <c r="V118" t="s">
        <v>805</v>
      </c>
      <c r="W118" t="s">
        <v>40</v>
      </c>
      <c r="X118" t="s">
        <v>236</v>
      </c>
    </row>
    <row r="119" spans="1:24">
      <c r="A119" t="s">
        <v>806</v>
      </c>
      <c r="B119" t="s">
        <v>670</v>
      </c>
      <c r="C119" t="s">
        <v>274</v>
      </c>
      <c r="D119">
        <v>119</v>
      </c>
      <c r="E119">
        <v>120</v>
      </c>
      <c r="F119" t="s">
        <v>274</v>
      </c>
      <c r="G119" t="s">
        <v>174</v>
      </c>
      <c r="H119" t="s">
        <v>807</v>
      </c>
      <c r="I119" t="str">
        <f t="shared" si="2"/>
        <v>I120L</v>
      </c>
      <c r="J119" t="str">
        <f t="shared" si="3"/>
        <v>I119L</v>
      </c>
      <c r="K119">
        <v>0</v>
      </c>
      <c r="L119" t="s">
        <v>93</v>
      </c>
      <c r="M119" t="s">
        <v>808</v>
      </c>
      <c r="N119" t="s">
        <v>136</v>
      </c>
      <c r="O119" t="s">
        <v>32</v>
      </c>
      <c r="P119" t="s">
        <v>666</v>
      </c>
      <c r="Q119" t="s">
        <v>673</v>
      </c>
      <c r="R119" t="s">
        <v>668</v>
      </c>
      <c r="S119" t="s">
        <v>809</v>
      </c>
      <c r="T119" t="s">
        <v>37</v>
      </c>
      <c r="U119" t="s">
        <v>226</v>
      </c>
      <c r="V119" t="s">
        <v>810</v>
      </c>
      <c r="W119" t="s">
        <v>40</v>
      </c>
      <c r="X119" t="s">
        <v>593</v>
      </c>
    </row>
    <row r="120" spans="1:24">
      <c r="A120" t="s">
        <v>811</v>
      </c>
      <c r="B120" t="s">
        <v>698</v>
      </c>
      <c r="C120" t="s">
        <v>101</v>
      </c>
      <c r="D120">
        <v>127</v>
      </c>
      <c r="E120">
        <v>128</v>
      </c>
      <c r="F120" t="s">
        <v>101</v>
      </c>
      <c r="G120" t="s">
        <v>141</v>
      </c>
      <c r="H120" t="s">
        <v>812</v>
      </c>
      <c r="I120" t="str">
        <f t="shared" si="2"/>
        <v>A128P</v>
      </c>
      <c r="J120" t="str">
        <f t="shared" si="3"/>
        <v>A127P</v>
      </c>
      <c r="K120">
        <v>0</v>
      </c>
      <c r="L120" t="s">
        <v>93</v>
      </c>
      <c r="M120" t="s">
        <v>813</v>
      </c>
      <c r="N120" t="s">
        <v>136</v>
      </c>
      <c r="O120" t="s">
        <v>32</v>
      </c>
      <c r="P120" t="s">
        <v>666</v>
      </c>
      <c r="Q120" t="s">
        <v>699</v>
      </c>
      <c r="R120" t="s">
        <v>668</v>
      </c>
      <c r="S120" t="s">
        <v>814</v>
      </c>
      <c r="T120" t="s">
        <v>37</v>
      </c>
      <c r="U120" t="s">
        <v>107</v>
      </c>
      <c r="V120" t="s">
        <v>815</v>
      </c>
      <c r="W120" t="s">
        <v>40</v>
      </c>
      <c r="X120" t="s">
        <v>109</v>
      </c>
    </row>
    <row r="121" spans="1:24">
      <c r="A121" t="s">
        <v>816</v>
      </c>
      <c r="B121" t="s">
        <v>701</v>
      </c>
      <c r="C121" t="s">
        <v>44</v>
      </c>
      <c r="D121">
        <v>34</v>
      </c>
      <c r="E121">
        <v>35</v>
      </c>
      <c r="F121" t="s">
        <v>44</v>
      </c>
      <c r="G121" t="s">
        <v>230</v>
      </c>
      <c r="H121" t="s">
        <v>742</v>
      </c>
      <c r="I121" t="str">
        <f t="shared" si="2"/>
        <v>G35R</v>
      </c>
      <c r="J121" t="str">
        <f t="shared" si="3"/>
        <v>G34R</v>
      </c>
      <c r="K121" t="s">
        <v>59</v>
      </c>
      <c r="L121" t="s">
        <v>59</v>
      </c>
      <c r="M121" t="s">
        <v>817</v>
      </c>
      <c r="N121" t="s">
        <v>325</v>
      </c>
      <c r="O121" t="s">
        <v>75</v>
      </c>
      <c r="P121" t="s">
        <v>666</v>
      </c>
      <c r="Q121" t="s">
        <v>704</v>
      </c>
      <c r="R121" t="s">
        <v>705</v>
      </c>
      <c r="S121" t="s">
        <v>818</v>
      </c>
      <c r="T121" t="s">
        <v>37</v>
      </c>
      <c r="U121" t="s">
        <v>382</v>
      </c>
      <c r="V121" t="s">
        <v>819</v>
      </c>
      <c r="W121" t="s">
        <v>40</v>
      </c>
      <c r="X121" t="s">
        <v>384</v>
      </c>
    </row>
    <row r="122" spans="1:24">
      <c r="A122" t="s">
        <v>816</v>
      </c>
      <c r="B122" t="s">
        <v>701</v>
      </c>
      <c r="C122" t="s">
        <v>44</v>
      </c>
      <c r="D122">
        <v>34</v>
      </c>
      <c r="E122">
        <v>35</v>
      </c>
      <c r="F122" t="s">
        <v>44</v>
      </c>
      <c r="G122" t="s">
        <v>230</v>
      </c>
      <c r="H122" t="s">
        <v>742</v>
      </c>
      <c r="I122" t="str">
        <f t="shared" si="2"/>
        <v>G35R</v>
      </c>
      <c r="J122" t="str">
        <f t="shared" si="3"/>
        <v>G34R</v>
      </c>
      <c r="K122" t="s">
        <v>59</v>
      </c>
      <c r="L122" t="s">
        <v>59</v>
      </c>
      <c r="M122" t="s">
        <v>817</v>
      </c>
      <c r="N122" t="s">
        <v>325</v>
      </c>
      <c r="O122" t="s">
        <v>75</v>
      </c>
      <c r="P122" t="s">
        <v>666</v>
      </c>
      <c r="Q122" t="s">
        <v>704</v>
      </c>
      <c r="R122" t="s">
        <v>705</v>
      </c>
      <c r="S122" t="s">
        <v>820</v>
      </c>
      <c r="T122" t="s">
        <v>37</v>
      </c>
      <c r="U122" t="s">
        <v>469</v>
      </c>
      <c r="V122" t="s">
        <v>821</v>
      </c>
      <c r="W122" t="s">
        <v>40</v>
      </c>
      <c r="X122" t="s">
        <v>471</v>
      </c>
    </row>
    <row r="123" spans="1:24">
      <c r="A123" t="s">
        <v>822</v>
      </c>
      <c r="B123" t="s">
        <v>670</v>
      </c>
      <c r="C123" t="s">
        <v>173</v>
      </c>
      <c r="D123">
        <v>125</v>
      </c>
      <c r="E123">
        <v>126</v>
      </c>
      <c r="F123" t="s">
        <v>173</v>
      </c>
      <c r="G123" t="s">
        <v>57</v>
      </c>
      <c r="H123" t="s">
        <v>823</v>
      </c>
      <c r="I123" t="str">
        <f t="shared" si="2"/>
        <v>Q126K</v>
      </c>
      <c r="J123" t="str">
        <f t="shared" si="3"/>
        <v>Q125K</v>
      </c>
      <c r="K123">
        <v>0.23342632539202</v>
      </c>
      <c r="L123" t="s">
        <v>29</v>
      </c>
      <c r="M123" t="s">
        <v>824</v>
      </c>
      <c r="N123" t="s">
        <v>325</v>
      </c>
      <c r="O123" t="s">
        <v>75</v>
      </c>
      <c r="P123" t="s">
        <v>666</v>
      </c>
      <c r="Q123" t="s">
        <v>673</v>
      </c>
      <c r="R123" t="s">
        <v>668</v>
      </c>
      <c r="S123" t="s">
        <v>537</v>
      </c>
      <c r="T123" t="s">
        <v>37</v>
      </c>
      <c r="U123" t="s">
        <v>622</v>
      </c>
      <c r="V123" t="s">
        <v>825</v>
      </c>
      <c r="W123" t="s">
        <v>40</v>
      </c>
      <c r="X123" t="s">
        <v>826</v>
      </c>
    </row>
    <row r="124" spans="1:24">
      <c r="A124" t="s">
        <v>827</v>
      </c>
      <c r="B124" t="s">
        <v>741</v>
      </c>
      <c r="C124" t="s">
        <v>230</v>
      </c>
      <c r="D124">
        <v>2</v>
      </c>
      <c r="E124">
        <v>3</v>
      </c>
      <c r="F124" t="s">
        <v>230</v>
      </c>
      <c r="G124" t="s">
        <v>44</v>
      </c>
      <c r="H124" t="s">
        <v>828</v>
      </c>
      <c r="I124" t="str">
        <f t="shared" si="2"/>
        <v>R3G</v>
      </c>
      <c r="J124" t="str">
        <f t="shared" si="3"/>
        <v>R2G</v>
      </c>
      <c r="K124" t="s">
        <v>59</v>
      </c>
      <c r="L124" t="s">
        <v>59</v>
      </c>
      <c r="M124" t="s">
        <v>829</v>
      </c>
      <c r="N124" t="s">
        <v>353</v>
      </c>
      <c r="O124" t="s">
        <v>48</v>
      </c>
      <c r="P124" t="s">
        <v>666</v>
      </c>
      <c r="Q124" t="s">
        <v>744</v>
      </c>
      <c r="R124" t="s">
        <v>705</v>
      </c>
      <c r="S124" t="s">
        <v>830</v>
      </c>
      <c r="T124" t="s">
        <v>37</v>
      </c>
      <c r="U124" t="s">
        <v>117</v>
      </c>
      <c r="V124" t="s">
        <v>831</v>
      </c>
      <c r="W124" t="s">
        <v>40</v>
      </c>
      <c r="X124" t="s">
        <v>119</v>
      </c>
    </row>
    <row r="125" spans="1:24">
      <c r="A125" t="s">
        <v>832</v>
      </c>
      <c r="B125" t="s">
        <v>833</v>
      </c>
      <c r="C125" t="s">
        <v>57</v>
      </c>
      <c r="D125">
        <v>4</v>
      </c>
      <c r="E125">
        <v>5</v>
      </c>
      <c r="F125" t="s">
        <v>57</v>
      </c>
      <c r="G125" t="s">
        <v>329</v>
      </c>
      <c r="H125" t="s">
        <v>834</v>
      </c>
      <c r="I125" t="str">
        <f t="shared" si="2"/>
        <v>K5N</v>
      </c>
      <c r="J125" t="str">
        <f t="shared" si="3"/>
        <v>K4N</v>
      </c>
      <c r="K125" t="s">
        <v>59</v>
      </c>
      <c r="L125" t="s">
        <v>59</v>
      </c>
      <c r="M125" t="s">
        <v>835</v>
      </c>
      <c r="N125" t="s">
        <v>353</v>
      </c>
      <c r="O125" t="s">
        <v>48</v>
      </c>
      <c r="P125" t="s">
        <v>666</v>
      </c>
      <c r="Q125" t="s">
        <v>836</v>
      </c>
      <c r="R125" t="s">
        <v>837</v>
      </c>
      <c r="S125" t="s">
        <v>838</v>
      </c>
      <c r="T125" t="s">
        <v>37</v>
      </c>
      <c r="U125" t="s">
        <v>78</v>
      </c>
      <c r="V125" t="s">
        <v>839</v>
      </c>
      <c r="W125" t="s">
        <v>40</v>
      </c>
      <c r="X125" t="s">
        <v>80</v>
      </c>
    </row>
    <row r="126" spans="1:24">
      <c r="A126" t="s">
        <v>840</v>
      </c>
      <c r="B126" t="s">
        <v>741</v>
      </c>
      <c r="C126" t="s">
        <v>230</v>
      </c>
      <c r="D126">
        <v>8</v>
      </c>
      <c r="E126">
        <v>9</v>
      </c>
      <c r="F126" t="s">
        <v>230</v>
      </c>
      <c r="G126" t="s">
        <v>174</v>
      </c>
      <c r="H126" t="s">
        <v>841</v>
      </c>
      <c r="I126" t="str">
        <f t="shared" si="2"/>
        <v>R9L</v>
      </c>
      <c r="J126" t="str">
        <f t="shared" si="3"/>
        <v>R8L</v>
      </c>
      <c r="K126" t="s">
        <v>59</v>
      </c>
      <c r="L126" t="s">
        <v>59</v>
      </c>
      <c r="M126" t="s">
        <v>842</v>
      </c>
      <c r="N126" t="s">
        <v>353</v>
      </c>
      <c r="O126" t="s">
        <v>48</v>
      </c>
      <c r="P126" t="s">
        <v>666</v>
      </c>
      <c r="Q126" t="s">
        <v>744</v>
      </c>
      <c r="R126" t="s">
        <v>705</v>
      </c>
      <c r="S126" t="s">
        <v>843</v>
      </c>
      <c r="T126" t="s">
        <v>37</v>
      </c>
      <c r="U126" t="s">
        <v>844</v>
      </c>
      <c r="V126" t="s">
        <v>845</v>
      </c>
      <c r="W126" t="s">
        <v>40</v>
      </c>
      <c r="X126" t="s">
        <v>846</v>
      </c>
    </row>
    <row r="127" spans="1:24">
      <c r="A127" t="s">
        <v>847</v>
      </c>
      <c r="B127" t="s">
        <v>833</v>
      </c>
      <c r="C127" t="s">
        <v>230</v>
      </c>
      <c r="D127">
        <v>8</v>
      </c>
      <c r="E127">
        <v>9</v>
      </c>
      <c r="F127" t="s">
        <v>230</v>
      </c>
      <c r="G127" t="s">
        <v>133</v>
      </c>
      <c r="H127" t="s">
        <v>841</v>
      </c>
      <c r="I127" t="str">
        <f t="shared" si="2"/>
        <v>R9C</v>
      </c>
      <c r="J127" t="str">
        <f t="shared" si="3"/>
        <v>R8C</v>
      </c>
      <c r="K127" t="s">
        <v>59</v>
      </c>
      <c r="L127" t="s">
        <v>59</v>
      </c>
      <c r="M127" t="s">
        <v>848</v>
      </c>
      <c r="N127" t="s">
        <v>353</v>
      </c>
      <c r="O127" t="s">
        <v>48</v>
      </c>
      <c r="P127" t="s">
        <v>666</v>
      </c>
      <c r="Q127" t="s">
        <v>836</v>
      </c>
      <c r="R127" t="s">
        <v>837</v>
      </c>
      <c r="S127" t="s">
        <v>849</v>
      </c>
      <c r="T127" t="s">
        <v>37</v>
      </c>
      <c r="U127" t="s">
        <v>850</v>
      </c>
      <c r="V127" t="s">
        <v>851</v>
      </c>
      <c r="W127" t="s">
        <v>40</v>
      </c>
      <c r="X127" t="s">
        <v>852</v>
      </c>
    </row>
    <row r="128" spans="1:24">
      <c r="A128" t="s">
        <v>853</v>
      </c>
      <c r="B128" t="s">
        <v>854</v>
      </c>
      <c r="C128" t="s">
        <v>57</v>
      </c>
      <c r="D128">
        <v>14</v>
      </c>
      <c r="E128">
        <v>15</v>
      </c>
      <c r="F128" t="s">
        <v>57</v>
      </c>
      <c r="G128" t="s">
        <v>164</v>
      </c>
      <c r="H128" t="s">
        <v>855</v>
      </c>
      <c r="I128" t="str">
        <f t="shared" si="2"/>
        <v>K15T</v>
      </c>
      <c r="J128" t="str">
        <f t="shared" si="3"/>
        <v>K14T</v>
      </c>
      <c r="K128" t="s">
        <v>59</v>
      </c>
      <c r="L128" t="s">
        <v>59</v>
      </c>
      <c r="M128" t="s">
        <v>856</v>
      </c>
      <c r="N128" t="s">
        <v>353</v>
      </c>
      <c r="O128" t="s">
        <v>48</v>
      </c>
      <c r="P128" t="s">
        <v>666</v>
      </c>
      <c r="Q128" t="s">
        <v>857</v>
      </c>
      <c r="R128" t="s">
        <v>858</v>
      </c>
      <c r="S128" t="s">
        <v>859</v>
      </c>
      <c r="T128" t="s">
        <v>37</v>
      </c>
      <c r="U128" t="s">
        <v>213</v>
      </c>
      <c r="V128" t="s">
        <v>860</v>
      </c>
      <c r="W128" t="s">
        <v>40</v>
      </c>
      <c r="X128" t="s">
        <v>215</v>
      </c>
    </row>
    <row r="129" spans="1:24">
      <c r="A129" t="s">
        <v>861</v>
      </c>
      <c r="B129" t="s">
        <v>691</v>
      </c>
      <c r="C129" t="s">
        <v>230</v>
      </c>
      <c r="D129">
        <v>17</v>
      </c>
      <c r="E129">
        <v>18</v>
      </c>
      <c r="F129" t="s">
        <v>230</v>
      </c>
      <c r="G129" t="s">
        <v>174</v>
      </c>
      <c r="H129" t="s">
        <v>862</v>
      </c>
      <c r="I129" t="str">
        <f t="shared" si="2"/>
        <v>R18L</v>
      </c>
      <c r="J129" t="str">
        <f t="shared" si="3"/>
        <v>R17L</v>
      </c>
      <c r="K129" t="s">
        <v>59</v>
      </c>
      <c r="L129" t="s">
        <v>59</v>
      </c>
      <c r="M129" t="s">
        <v>863</v>
      </c>
      <c r="N129" t="s">
        <v>353</v>
      </c>
      <c r="O129" t="s">
        <v>48</v>
      </c>
      <c r="P129" t="s">
        <v>666</v>
      </c>
      <c r="Q129" t="s">
        <v>693</v>
      </c>
      <c r="R129" t="s">
        <v>668</v>
      </c>
      <c r="S129" t="s">
        <v>864</v>
      </c>
      <c r="T129" t="s">
        <v>37</v>
      </c>
      <c r="U129" t="s">
        <v>78</v>
      </c>
      <c r="V129" t="s">
        <v>865</v>
      </c>
      <c r="W129" t="s">
        <v>40</v>
      </c>
      <c r="X129" t="s">
        <v>80</v>
      </c>
    </row>
    <row r="130" spans="1:24">
      <c r="A130" t="s">
        <v>866</v>
      </c>
      <c r="B130" t="s">
        <v>867</v>
      </c>
      <c r="C130" t="s">
        <v>57</v>
      </c>
      <c r="D130">
        <v>18</v>
      </c>
      <c r="E130">
        <v>19</v>
      </c>
      <c r="F130" t="s">
        <v>57</v>
      </c>
      <c r="G130" t="s">
        <v>173</v>
      </c>
      <c r="H130" t="s">
        <v>868</v>
      </c>
      <c r="I130" t="str">
        <f t="shared" ref="I130:I174" si="4">C130&amp;E130&amp;G130</f>
        <v>K19Q</v>
      </c>
      <c r="J130" t="str">
        <f t="shared" ref="J130:J174" si="5">C130&amp;(E130-1)&amp;G130</f>
        <v>K18Q</v>
      </c>
      <c r="K130" t="s">
        <v>59</v>
      </c>
      <c r="L130" t="s">
        <v>59</v>
      </c>
      <c r="M130" t="s">
        <v>869</v>
      </c>
      <c r="N130" t="s">
        <v>353</v>
      </c>
      <c r="O130" t="s">
        <v>48</v>
      </c>
      <c r="P130" t="s">
        <v>666</v>
      </c>
      <c r="Q130" t="s">
        <v>870</v>
      </c>
      <c r="R130" t="s">
        <v>668</v>
      </c>
      <c r="S130" t="s">
        <v>551</v>
      </c>
      <c r="T130" t="s">
        <v>37</v>
      </c>
      <c r="U130" t="s">
        <v>283</v>
      </c>
      <c r="V130" t="s">
        <v>552</v>
      </c>
      <c r="W130" t="s">
        <v>40</v>
      </c>
      <c r="X130" t="s">
        <v>285</v>
      </c>
    </row>
    <row r="131" spans="1:24">
      <c r="A131" t="s">
        <v>871</v>
      </c>
      <c r="B131" t="s">
        <v>663</v>
      </c>
      <c r="C131" t="s">
        <v>230</v>
      </c>
      <c r="D131">
        <v>26</v>
      </c>
      <c r="E131">
        <v>27</v>
      </c>
      <c r="F131" t="s">
        <v>230</v>
      </c>
      <c r="G131" t="s">
        <v>141</v>
      </c>
      <c r="H131" t="s">
        <v>872</v>
      </c>
      <c r="I131" t="str">
        <f t="shared" si="4"/>
        <v>R27P</v>
      </c>
      <c r="J131" t="str">
        <f t="shared" si="5"/>
        <v>R26P</v>
      </c>
      <c r="K131" t="s">
        <v>59</v>
      </c>
      <c r="L131" t="s">
        <v>59</v>
      </c>
      <c r="M131" t="s">
        <v>873</v>
      </c>
      <c r="N131" t="s">
        <v>353</v>
      </c>
      <c r="O131" t="s">
        <v>48</v>
      </c>
      <c r="P131" t="s">
        <v>666</v>
      </c>
      <c r="Q131" t="s">
        <v>667</v>
      </c>
      <c r="R131" t="s">
        <v>668</v>
      </c>
      <c r="S131" t="s">
        <v>779</v>
      </c>
      <c r="T131" t="s">
        <v>37</v>
      </c>
      <c r="U131" t="s">
        <v>780</v>
      </c>
      <c r="V131" t="s">
        <v>781</v>
      </c>
      <c r="W131" t="s">
        <v>40</v>
      </c>
      <c r="X131" t="s">
        <v>782</v>
      </c>
    </row>
    <row r="132" spans="1:24">
      <c r="A132" t="s">
        <v>874</v>
      </c>
      <c r="B132" t="s">
        <v>701</v>
      </c>
      <c r="C132" t="s">
        <v>57</v>
      </c>
      <c r="D132">
        <v>27</v>
      </c>
      <c r="E132">
        <v>28</v>
      </c>
      <c r="F132" t="s">
        <v>57</v>
      </c>
      <c r="G132" t="s">
        <v>223</v>
      </c>
      <c r="H132" t="s">
        <v>875</v>
      </c>
      <c r="I132" t="str">
        <f t="shared" si="4"/>
        <v>K28M</v>
      </c>
      <c r="J132" t="str">
        <f t="shared" si="5"/>
        <v>K27M</v>
      </c>
      <c r="K132" t="s">
        <v>59</v>
      </c>
      <c r="L132" t="s">
        <v>59</v>
      </c>
      <c r="M132" t="s">
        <v>876</v>
      </c>
      <c r="N132" t="s">
        <v>353</v>
      </c>
      <c r="O132" t="s">
        <v>48</v>
      </c>
      <c r="P132" t="s">
        <v>666</v>
      </c>
      <c r="Q132" t="s">
        <v>704</v>
      </c>
      <c r="R132" t="s">
        <v>705</v>
      </c>
      <c r="S132" t="s">
        <v>877</v>
      </c>
      <c r="T132" t="s">
        <v>37</v>
      </c>
      <c r="U132" t="s">
        <v>878</v>
      </c>
      <c r="V132" t="s">
        <v>879</v>
      </c>
      <c r="W132" t="s">
        <v>40</v>
      </c>
      <c r="X132" t="s">
        <v>880</v>
      </c>
    </row>
    <row r="133" spans="1:24">
      <c r="A133" t="s">
        <v>874</v>
      </c>
      <c r="B133" t="s">
        <v>701</v>
      </c>
      <c r="C133" t="s">
        <v>57</v>
      </c>
      <c r="D133">
        <v>27</v>
      </c>
      <c r="E133">
        <v>28</v>
      </c>
      <c r="F133" t="s">
        <v>57</v>
      </c>
      <c r="G133" t="s">
        <v>223</v>
      </c>
      <c r="H133" t="s">
        <v>875</v>
      </c>
      <c r="I133" t="str">
        <f t="shared" si="4"/>
        <v>K28M</v>
      </c>
      <c r="J133" t="str">
        <f t="shared" si="5"/>
        <v>K27M</v>
      </c>
      <c r="K133" t="s">
        <v>59</v>
      </c>
      <c r="L133" t="s">
        <v>59</v>
      </c>
      <c r="M133" t="s">
        <v>876</v>
      </c>
      <c r="N133" t="s">
        <v>353</v>
      </c>
      <c r="O133" t="s">
        <v>48</v>
      </c>
      <c r="P133" t="s">
        <v>666</v>
      </c>
      <c r="Q133" t="s">
        <v>704</v>
      </c>
      <c r="R133" t="s">
        <v>705</v>
      </c>
      <c r="S133" t="s">
        <v>881</v>
      </c>
      <c r="T133" t="s">
        <v>37</v>
      </c>
      <c r="U133" t="s">
        <v>180</v>
      </c>
      <c r="V133" t="s">
        <v>882</v>
      </c>
      <c r="W133" t="s">
        <v>40</v>
      </c>
      <c r="X133" t="s">
        <v>182</v>
      </c>
    </row>
    <row r="134" spans="1:24">
      <c r="A134" t="s">
        <v>883</v>
      </c>
      <c r="B134" t="s">
        <v>741</v>
      </c>
      <c r="C134" t="s">
        <v>57</v>
      </c>
      <c r="D134">
        <v>36</v>
      </c>
      <c r="E134">
        <v>37</v>
      </c>
      <c r="F134" t="s">
        <v>57</v>
      </c>
      <c r="G134" t="s">
        <v>223</v>
      </c>
      <c r="H134" t="s">
        <v>884</v>
      </c>
      <c r="I134" t="str">
        <f t="shared" si="4"/>
        <v>K37M</v>
      </c>
      <c r="J134" t="str">
        <f t="shared" si="5"/>
        <v>K36M</v>
      </c>
      <c r="K134" t="s">
        <v>59</v>
      </c>
      <c r="L134" t="s">
        <v>59</v>
      </c>
      <c r="M134" t="s">
        <v>885</v>
      </c>
      <c r="N134" t="s">
        <v>353</v>
      </c>
      <c r="O134" t="s">
        <v>48</v>
      </c>
      <c r="P134" t="s">
        <v>666</v>
      </c>
      <c r="Q134" t="s">
        <v>744</v>
      </c>
      <c r="R134" t="s">
        <v>705</v>
      </c>
      <c r="S134" t="s">
        <v>886</v>
      </c>
      <c r="T134" t="s">
        <v>37</v>
      </c>
      <c r="U134" t="s">
        <v>151</v>
      </c>
      <c r="V134" t="s">
        <v>887</v>
      </c>
      <c r="W134" t="s">
        <v>40</v>
      </c>
      <c r="X134" t="s">
        <v>153</v>
      </c>
    </row>
    <row r="135" spans="1:24">
      <c r="A135" t="s">
        <v>888</v>
      </c>
      <c r="B135" t="s">
        <v>698</v>
      </c>
      <c r="C135" t="s">
        <v>57</v>
      </c>
      <c r="D135">
        <v>36</v>
      </c>
      <c r="E135">
        <v>37</v>
      </c>
      <c r="F135" t="s">
        <v>57</v>
      </c>
      <c r="G135" t="s">
        <v>223</v>
      </c>
      <c r="H135" t="s">
        <v>884</v>
      </c>
      <c r="I135" t="str">
        <f t="shared" si="4"/>
        <v>K37M</v>
      </c>
      <c r="J135" t="str">
        <f t="shared" si="5"/>
        <v>K36M</v>
      </c>
      <c r="K135" t="s">
        <v>59</v>
      </c>
      <c r="L135" t="s">
        <v>59</v>
      </c>
      <c r="M135" t="s">
        <v>885</v>
      </c>
      <c r="N135" t="s">
        <v>353</v>
      </c>
      <c r="O135" t="s">
        <v>48</v>
      </c>
      <c r="P135" t="s">
        <v>666</v>
      </c>
      <c r="Q135" t="s">
        <v>699</v>
      </c>
      <c r="R135" t="s">
        <v>668</v>
      </c>
      <c r="S135" t="s">
        <v>889</v>
      </c>
      <c r="T135" t="s">
        <v>66</v>
      </c>
      <c r="U135" t="s">
        <v>67</v>
      </c>
      <c r="V135" t="s">
        <v>890</v>
      </c>
      <c r="W135" t="s">
        <v>40</v>
      </c>
      <c r="X135" t="s">
        <v>69</v>
      </c>
    </row>
    <row r="136" spans="1:24">
      <c r="A136" t="s">
        <v>888</v>
      </c>
      <c r="B136" t="s">
        <v>716</v>
      </c>
      <c r="C136" t="s">
        <v>57</v>
      </c>
      <c r="D136">
        <v>36</v>
      </c>
      <c r="E136">
        <v>37</v>
      </c>
      <c r="F136" t="s">
        <v>57</v>
      </c>
      <c r="G136" t="s">
        <v>223</v>
      </c>
      <c r="H136" t="s">
        <v>884</v>
      </c>
      <c r="I136" t="str">
        <f t="shared" si="4"/>
        <v>K37M</v>
      </c>
      <c r="J136" t="str">
        <f t="shared" si="5"/>
        <v>K36M</v>
      </c>
      <c r="K136" t="s">
        <v>59</v>
      </c>
      <c r="L136" t="s">
        <v>59</v>
      </c>
      <c r="M136" t="s">
        <v>885</v>
      </c>
      <c r="N136" t="s">
        <v>353</v>
      </c>
      <c r="O136" t="s">
        <v>48</v>
      </c>
      <c r="P136" t="s">
        <v>666</v>
      </c>
      <c r="Q136" t="s">
        <v>719</v>
      </c>
      <c r="R136" t="s">
        <v>668</v>
      </c>
      <c r="S136" t="s">
        <v>891</v>
      </c>
      <c r="T136" t="s">
        <v>37</v>
      </c>
      <c r="U136" t="s">
        <v>88</v>
      </c>
      <c r="V136" t="s">
        <v>892</v>
      </c>
      <c r="W136" t="s">
        <v>40</v>
      </c>
      <c r="X136" t="s">
        <v>90</v>
      </c>
    </row>
    <row r="137" spans="1:24">
      <c r="A137" t="s">
        <v>888</v>
      </c>
      <c r="B137" t="s">
        <v>716</v>
      </c>
      <c r="C137" t="s">
        <v>57</v>
      </c>
      <c r="D137">
        <v>36</v>
      </c>
      <c r="E137">
        <v>37</v>
      </c>
      <c r="F137" t="s">
        <v>57</v>
      </c>
      <c r="G137" t="s">
        <v>223</v>
      </c>
      <c r="H137" t="s">
        <v>884</v>
      </c>
      <c r="I137" t="str">
        <f t="shared" si="4"/>
        <v>K37M</v>
      </c>
      <c r="J137" t="str">
        <f t="shared" si="5"/>
        <v>K36M</v>
      </c>
      <c r="K137" t="s">
        <v>59</v>
      </c>
      <c r="L137" t="s">
        <v>59</v>
      </c>
      <c r="M137" t="s">
        <v>885</v>
      </c>
      <c r="N137" t="s">
        <v>353</v>
      </c>
      <c r="O137" t="s">
        <v>48</v>
      </c>
      <c r="P137" t="s">
        <v>666</v>
      </c>
      <c r="Q137" t="s">
        <v>719</v>
      </c>
      <c r="R137" t="s">
        <v>668</v>
      </c>
      <c r="S137" t="s">
        <v>889</v>
      </c>
      <c r="T137" t="s">
        <v>893</v>
      </c>
      <c r="U137" t="s">
        <v>67</v>
      </c>
      <c r="V137" t="s">
        <v>894</v>
      </c>
      <c r="W137" t="s">
        <v>40</v>
      </c>
      <c r="X137" t="s">
        <v>69</v>
      </c>
    </row>
    <row r="138" spans="1:24">
      <c r="A138" t="s">
        <v>888</v>
      </c>
      <c r="B138" t="s">
        <v>716</v>
      </c>
      <c r="C138" t="s">
        <v>57</v>
      </c>
      <c r="D138">
        <v>36</v>
      </c>
      <c r="E138">
        <v>37</v>
      </c>
      <c r="F138" t="s">
        <v>57</v>
      </c>
      <c r="G138" t="s">
        <v>223</v>
      </c>
      <c r="H138" t="s">
        <v>884</v>
      </c>
      <c r="I138" t="str">
        <f t="shared" si="4"/>
        <v>K37M</v>
      </c>
      <c r="J138" t="str">
        <f t="shared" si="5"/>
        <v>K36M</v>
      </c>
      <c r="K138" t="s">
        <v>59</v>
      </c>
      <c r="L138" t="s">
        <v>59</v>
      </c>
      <c r="M138" t="s">
        <v>885</v>
      </c>
      <c r="N138" t="s">
        <v>353</v>
      </c>
      <c r="O138" t="s">
        <v>48</v>
      </c>
      <c r="P138" t="s">
        <v>666</v>
      </c>
      <c r="Q138" t="s">
        <v>719</v>
      </c>
      <c r="R138" t="s">
        <v>668</v>
      </c>
      <c r="S138" t="s">
        <v>895</v>
      </c>
      <c r="T138" t="s">
        <v>37</v>
      </c>
      <c r="U138" t="s">
        <v>270</v>
      </c>
      <c r="V138" t="s">
        <v>896</v>
      </c>
      <c r="W138" t="s">
        <v>40</v>
      </c>
      <c r="X138" t="s">
        <v>272</v>
      </c>
    </row>
    <row r="139" spans="1:24">
      <c r="A139" t="s">
        <v>888</v>
      </c>
      <c r="B139" t="s">
        <v>709</v>
      </c>
      <c r="C139" t="s">
        <v>57</v>
      </c>
      <c r="D139">
        <v>36</v>
      </c>
      <c r="E139">
        <v>37</v>
      </c>
      <c r="F139" t="s">
        <v>57</v>
      </c>
      <c r="G139" t="s">
        <v>223</v>
      </c>
      <c r="H139" t="s">
        <v>884</v>
      </c>
      <c r="I139" t="str">
        <f t="shared" si="4"/>
        <v>K37M</v>
      </c>
      <c r="J139" t="str">
        <f t="shared" si="5"/>
        <v>K36M</v>
      </c>
      <c r="K139" t="s">
        <v>59</v>
      </c>
      <c r="L139" t="s">
        <v>59</v>
      </c>
      <c r="M139" t="s">
        <v>885</v>
      </c>
      <c r="N139" t="s">
        <v>353</v>
      </c>
      <c r="O139" t="s">
        <v>48</v>
      </c>
      <c r="P139" t="s">
        <v>666</v>
      </c>
      <c r="Q139" t="s">
        <v>712</v>
      </c>
      <c r="R139" t="s">
        <v>668</v>
      </c>
      <c r="S139" t="s">
        <v>889</v>
      </c>
      <c r="T139" t="s">
        <v>66</v>
      </c>
      <c r="U139" t="s">
        <v>67</v>
      </c>
      <c r="V139" t="s">
        <v>890</v>
      </c>
      <c r="W139" t="s">
        <v>40</v>
      </c>
      <c r="X139" t="s">
        <v>69</v>
      </c>
    </row>
    <row r="140" spans="1:24">
      <c r="A140" t="s">
        <v>897</v>
      </c>
      <c r="B140" t="s">
        <v>701</v>
      </c>
      <c r="C140" t="s">
        <v>57</v>
      </c>
      <c r="D140">
        <v>64</v>
      </c>
      <c r="E140">
        <v>65</v>
      </c>
      <c r="F140" t="s">
        <v>57</v>
      </c>
      <c r="G140" t="s">
        <v>164</v>
      </c>
      <c r="H140" t="s">
        <v>898</v>
      </c>
      <c r="I140" t="str">
        <f t="shared" si="4"/>
        <v>K65T</v>
      </c>
      <c r="J140" t="str">
        <f t="shared" si="5"/>
        <v>K64T</v>
      </c>
      <c r="K140">
        <v>0.290339279764676</v>
      </c>
      <c r="L140" t="s">
        <v>29</v>
      </c>
      <c r="M140" t="s">
        <v>899</v>
      </c>
      <c r="N140" t="s">
        <v>353</v>
      </c>
      <c r="O140" t="s">
        <v>48</v>
      </c>
      <c r="P140" t="s">
        <v>666</v>
      </c>
      <c r="Q140" t="s">
        <v>704</v>
      </c>
      <c r="R140" t="s">
        <v>705</v>
      </c>
      <c r="S140" t="s">
        <v>788</v>
      </c>
      <c r="T140" t="s">
        <v>37</v>
      </c>
      <c r="U140" t="s">
        <v>219</v>
      </c>
      <c r="V140" t="s">
        <v>789</v>
      </c>
      <c r="W140" t="s">
        <v>40</v>
      </c>
      <c r="X140" t="s">
        <v>221</v>
      </c>
    </row>
    <row r="141" spans="1:24">
      <c r="A141" t="s">
        <v>900</v>
      </c>
      <c r="B141" t="s">
        <v>698</v>
      </c>
      <c r="C141" t="s">
        <v>230</v>
      </c>
      <c r="D141">
        <v>131</v>
      </c>
      <c r="E141">
        <v>132</v>
      </c>
      <c r="F141" t="s">
        <v>230</v>
      </c>
      <c r="G141" t="s">
        <v>44</v>
      </c>
      <c r="H141" t="s">
        <v>901</v>
      </c>
      <c r="I141" t="str">
        <f t="shared" si="4"/>
        <v>R132G</v>
      </c>
      <c r="J141" t="str">
        <f t="shared" si="5"/>
        <v>R131G</v>
      </c>
      <c r="K141">
        <v>0.176330178020719</v>
      </c>
      <c r="L141" t="s">
        <v>93</v>
      </c>
      <c r="M141" t="s">
        <v>902</v>
      </c>
      <c r="N141" t="s">
        <v>353</v>
      </c>
      <c r="O141" t="s">
        <v>48</v>
      </c>
      <c r="P141" t="s">
        <v>666</v>
      </c>
      <c r="Q141" t="s">
        <v>699</v>
      </c>
      <c r="R141" t="s">
        <v>668</v>
      </c>
      <c r="S141" t="s">
        <v>903</v>
      </c>
      <c r="T141" t="s">
        <v>37</v>
      </c>
      <c r="U141" t="s">
        <v>78</v>
      </c>
      <c r="V141" t="s">
        <v>904</v>
      </c>
      <c r="W141" t="s">
        <v>40</v>
      </c>
      <c r="X141" t="s">
        <v>80</v>
      </c>
    </row>
    <row r="142" spans="1:24">
      <c r="A142" t="s">
        <v>905</v>
      </c>
      <c r="B142" t="s">
        <v>663</v>
      </c>
      <c r="C142" t="s">
        <v>230</v>
      </c>
      <c r="D142">
        <v>134</v>
      </c>
      <c r="E142">
        <v>135</v>
      </c>
      <c r="F142" t="s">
        <v>230</v>
      </c>
      <c r="G142" t="s">
        <v>164</v>
      </c>
      <c r="H142" t="s">
        <v>906</v>
      </c>
      <c r="I142" t="str">
        <f t="shared" si="4"/>
        <v>R135T</v>
      </c>
      <c r="J142" t="str">
        <f t="shared" si="5"/>
        <v>R134T</v>
      </c>
      <c r="K142">
        <v>0.371056995028401</v>
      </c>
      <c r="L142" t="s">
        <v>29</v>
      </c>
      <c r="M142" t="s">
        <v>907</v>
      </c>
      <c r="N142" t="s">
        <v>353</v>
      </c>
      <c r="O142" t="s">
        <v>48</v>
      </c>
      <c r="P142" t="s">
        <v>666</v>
      </c>
      <c r="Q142" t="s">
        <v>667</v>
      </c>
      <c r="R142" t="s">
        <v>668</v>
      </c>
      <c r="S142" t="s">
        <v>908</v>
      </c>
      <c r="T142" t="s">
        <v>66</v>
      </c>
      <c r="U142" t="s">
        <v>219</v>
      </c>
      <c r="V142" t="s">
        <v>909</v>
      </c>
      <c r="W142" t="s">
        <v>40</v>
      </c>
      <c r="X142" t="s">
        <v>221</v>
      </c>
    </row>
    <row r="143" spans="1:24">
      <c r="A143" t="s">
        <v>910</v>
      </c>
      <c r="B143" t="s">
        <v>911</v>
      </c>
      <c r="C143" t="s">
        <v>27</v>
      </c>
      <c r="D143">
        <v>24</v>
      </c>
      <c r="E143">
        <v>25</v>
      </c>
      <c r="F143" t="s">
        <v>27</v>
      </c>
      <c r="G143" t="s">
        <v>44</v>
      </c>
      <c r="H143" t="s">
        <v>912</v>
      </c>
      <c r="I143" t="str">
        <f t="shared" si="4"/>
        <v>D25G</v>
      </c>
      <c r="J143" t="str">
        <f t="shared" si="5"/>
        <v>D24G</v>
      </c>
      <c r="K143" t="s">
        <v>59</v>
      </c>
      <c r="L143" t="s">
        <v>59</v>
      </c>
      <c r="M143" t="s">
        <v>913</v>
      </c>
      <c r="N143" t="s">
        <v>47</v>
      </c>
      <c r="O143" t="s">
        <v>48</v>
      </c>
      <c r="P143" t="s">
        <v>914</v>
      </c>
      <c r="Q143" t="s">
        <v>915</v>
      </c>
      <c r="R143" t="s">
        <v>916</v>
      </c>
      <c r="S143" t="s">
        <v>917</v>
      </c>
      <c r="T143" t="s">
        <v>37</v>
      </c>
      <c r="U143" t="s">
        <v>878</v>
      </c>
      <c r="V143" t="s">
        <v>918</v>
      </c>
      <c r="W143" t="s">
        <v>40</v>
      </c>
      <c r="X143" t="s">
        <v>880</v>
      </c>
    </row>
    <row r="144" spans="1:24">
      <c r="A144" t="s">
        <v>919</v>
      </c>
      <c r="B144" t="s">
        <v>920</v>
      </c>
      <c r="C144" t="s">
        <v>26</v>
      </c>
      <c r="D144">
        <v>63</v>
      </c>
      <c r="E144">
        <v>64</v>
      </c>
      <c r="F144" t="s">
        <v>26</v>
      </c>
      <c r="G144" t="s">
        <v>173</v>
      </c>
      <c r="H144" t="s">
        <v>921</v>
      </c>
      <c r="I144" t="str">
        <f t="shared" si="4"/>
        <v>E64Q</v>
      </c>
      <c r="J144" t="str">
        <f t="shared" si="5"/>
        <v>E63Q</v>
      </c>
      <c r="K144">
        <v>0.163442431493311</v>
      </c>
      <c r="L144" t="s">
        <v>93</v>
      </c>
      <c r="M144" t="s">
        <v>922</v>
      </c>
      <c r="N144" t="s">
        <v>47</v>
      </c>
      <c r="O144" t="s">
        <v>48</v>
      </c>
      <c r="P144" t="s">
        <v>914</v>
      </c>
      <c r="Q144" t="s">
        <v>923</v>
      </c>
      <c r="R144" t="s">
        <v>924</v>
      </c>
      <c r="S144" t="s">
        <v>925</v>
      </c>
      <c r="T144" t="s">
        <v>37</v>
      </c>
      <c r="U144" t="s">
        <v>391</v>
      </c>
      <c r="V144" t="s">
        <v>926</v>
      </c>
      <c r="W144" t="s">
        <v>40</v>
      </c>
      <c r="X144" t="s">
        <v>393</v>
      </c>
    </row>
    <row r="145" spans="1:24">
      <c r="A145" t="s">
        <v>927</v>
      </c>
      <c r="B145" t="s">
        <v>928</v>
      </c>
      <c r="C145" t="s">
        <v>27</v>
      </c>
      <c r="D145">
        <v>68</v>
      </c>
      <c r="E145">
        <v>69</v>
      </c>
      <c r="F145" t="s">
        <v>27</v>
      </c>
      <c r="G145" t="s">
        <v>329</v>
      </c>
      <c r="H145" t="s">
        <v>929</v>
      </c>
      <c r="I145" t="str">
        <f t="shared" si="4"/>
        <v>D69N</v>
      </c>
      <c r="J145" t="str">
        <f t="shared" si="5"/>
        <v>D68N</v>
      </c>
      <c r="K145">
        <v>0.0425529099631021</v>
      </c>
      <c r="L145" t="s">
        <v>93</v>
      </c>
      <c r="M145" t="s">
        <v>930</v>
      </c>
      <c r="N145" t="s">
        <v>47</v>
      </c>
      <c r="O145" t="s">
        <v>48</v>
      </c>
      <c r="P145" t="s">
        <v>914</v>
      </c>
      <c r="Q145" t="s">
        <v>931</v>
      </c>
      <c r="R145" t="s">
        <v>924</v>
      </c>
      <c r="S145" t="s">
        <v>932</v>
      </c>
      <c r="T145" t="s">
        <v>66</v>
      </c>
      <c r="U145" t="s">
        <v>545</v>
      </c>
      <c r="V145" t="s">
        <v>933</v>
      </c>
      <c r="W145" t="s">
        <v>40</v>
      </c>
      <c r="X145" t="s">
        <v>547</v>
      </c>
    </row>
    <row r="146" spans="1:24">
      <c r="A146" t="s">
        <v>934</v>
      </c>
      <c r="B146" t="s">
        <v>935</v>
      </c>
      <c r="C146" t="s">
        <v>26</v>
      </c>
      <c r="D146">
        <v>74</v>
      </c>
      <c r="E146">
        <v>75</v>
      </c>
      <c r="F146" t="s">
        <v>26</v>
      </c>
      <c r="G146" t="s">
        <v>173</v>
      </c>
      <c r="H146" t="s">
        <v>936</v>
      </c>
      <c r="I146" t="str">
        <f t="shared" si="4"/>
        <v>E75Q</v>
      </c>
      <c r="J146" t="str">
        <f t="shared" si="5"/>
        <v>E74Q</v>
      </c>
      <c r="K146">
        <v>0.262040049086591</v>
      </c>
      <c r="L146" t="s">
        <v>29</v>
      </c>
      <c r="M146" t="s">
        <v>937</v>
      </c>
      <c r="N146" t="s">
        <v>47</v>
      </c>
      <c r="O146" t="s">
        <v>48</v>
      </c>
      <c r="P146" t="s">
        <v>914</v>
      </c>
      <c r="Q146" t="s">
        <v>938</v>
      </c>
      <c r="R146" t="s">
        <v>924</v>
      </c>
      <c r="S146" t="s">
        <v>925</v>
      </c>
      <c r="T146" t="s">
        <v>37</v>
      </c>
      <c r="U146" t="s">
        <v>391</v>
      </c>
      <c r="V146" t="s">
        <v>926</v>
      </c>
      <c r="W146" t="s">
        <v>40</v>
      </c>
      <c r="X146" t="s">
        <v>393</v>
      </c>
    </row>
    <row r="147" spans="1:24">
      <c r="A147" t="s">
        <v>939</v>
      </c>
      <c r="B147" t="s">
        <v>920</v>
      </c>
      <c r="C147" t="s">
        <v>26</v>
      </c>
      <c r="D147">
        <v>53</v>
      </c>
      <c r="E147">
        <v>54</v>
      </c>
      <c r="F147" t="s">
        <v>26</v>
      </c>
      <c r="G147" t="s">
        <v>57</v>
      </c>
      <c r="H147" t="s">
        <v>940</v>
      </c>
      <c r="I147" t="str">
        <f t="shared" si="4"/>
        <v>E54K</v>
      </c>
      <c r="J147" t="str">
        <f t="shared" si="5"/>
        <v>E53K</v>
      </c>
      <c r="K147">
        <v>0.199231244240651</v>
      </c>
      <c r="L147" t="s">
        <v>93</v>
      </c>
      <c r="M147" t="s">
        <v>941</v>
      </c>
      <c r="N147" t="s">
        <v>61</v>
      </c>
      <c r="O147" t="s">
        <v>62</v>
      </c>
      <c r="P147" t="s">
        <v>914</v>
      </c>
      <c r="Q147" t="s">
        <v>923</v>
      </c>
      <c r="R147" t="s">
        <v>924</v>
      </c>
      <c r="S147" t="s">
        <v>694</v>
      </c>
      <c r="T147" t="s">
        <v>37</v>
      </c>
      <c r="U147" t="s">
        <v>96</v>
      </c>
      <c r="V147" t="s">
        <v>695</v>
      </c>
      <c r="W147" t="s">
        <v>40</v>
      </c>
      <c r="X147" t="s">
        <v>98</v>
      </c>
    </row>
    <row r="148" spans="1:24">
      <c r="A148" t="s">
        <v>942</v>
      </c>
      <c r="B148" t="s">
        <v>943</v>
      </c>
      <c r="C148" t="s">
        <v>44</v>
      </c>
      <c r="D148">
        <v>56</v>
      </c>
      <c r="E148">
        <v>57</v>
      </c>
      <c r="F148" t="s">
        <v>44</v>
      </c>
      <c r="G148" t="s">
        <v>27</v>
      </c>
      <c r="H148" t="s">
        <v>944</v>
      </c>
      <c r="I148" t="str">
        <f t="shared" si="4"/>
        <v>G57D</v>
      </c>
      <c r="J148" t="str">
        <f t="shared" si="5"/>
        <v>G56D</v>
      </c>
      <c r="K148">
        <v>0.210791088953887</v>
      </c>
      <c r="L148" t="s">
        <v>29</v>
      </c>
      <c r="M148" t="s">
        <v>945</v>
      </c>
      <c r="N148" t="s">
        <v>74</v>
      </c>
      <c r="O148" t="s">
        <v>75</v>
      </c>
      <c r="P148" t="s">
        <v>914</v>
      </c>
      <c r="Q148" t="s">
        <v>946</v>
      </c>
      <c r="R148" t="s">
        <v>924</v>
      </c>
      <c r="S148" t="s">
        <v>605</v>
      </c>
      <c r="T148" t="s">
        <v>37</v>
      </c>
      <c r="U148" t="s">
        <v>213</v>
      </c>
      <c r="V148" t="s">
        <v>606</v>
      </c>
      <c r="W148" t="s">
        <v>40</v>
      </c>
      <c r="X148" t="s">
        <v>215</v>
      </c>
    </row>
    <row r="149" spans="1:24">
      <c r="A149" t="s">
        <v>947</v>
      </c>
      <c r="B149" t="s">
        <v>948</v>
      </c>
      <c r="C149" t="s">
        <v>156</v>
      </c>
      <c r="D149">
        <v>65</v>
      </c>
      <c r="E149">
        <v>66</v>
      </c>
      <c r="F149" t="s">
        <v>156</v>
      </c>
      <c r="G149" t="s">
        <v>26</v>
      </c>
      <c r="H149" t="s">
        <v>949</v>
      </c>
      <c r="I149" t="str">
        <f t="shared" si="4"/>
        <v>V66E</v>
      </c>
      <c r="J149" t="str">
        <f t="shared" si="5"/>
        <v>V65E</v>
      </c>
      <c r="K149">
        <v>0.0047445900936633</v>
      </c>
      <c r="L149" t="s">
        <v>93</v>
      </c>
      <c r="M149" t="s">
        <v>950</v>
      </c>
      <c r="N149" t="s">
        <v>74</v>
      </c>
      <c r="O149" t="s">
        <v>75</v>
      </c>
      <c r="P149" t="s">
        <v>914</v>
      </c>
      <c r="Q149" t="s">
        <v>951</v>
      </c>
      <c r="R149" t="s">
        <v>924</v>
      </c>
      <c r="S149" t="s">
        <v>952</v>
      </c>
      <c r="T149" t="s">
        <v>37</v>
      </c>
      <c r="U149" t="s">
        <v>213</v>
      </c>
      <c r="V149" t="s">
        <v>953</v>
      </c>
      <c r="W149" t="s">
        <v>40</v>
      </c>
      <c r="X149" t="s">
        <v>215</v>
      </c>
    </row>
    <row r="150" spans="1:24">
      <c r="A150" t="s">
        <v>954</v>
      </c>
      <c r="B150" t="s">
        <v>955</v>
      </c>
      <c r="C150" t="s">
        <v>44</v>
      </c>
      <c r="D150">
        <v>94</v>
      </c>
      <c r="E150">
        <v>95</v>
      </c>
      <c r="F150" t="s">
        <v>44</v>
      </c>
      <c r="G150" t="s">
        <v>26</v>
      </c>
      <c r="H150" t="s">
        <v>956</v>
      </c>
      <c r="I150" t="str">
        <f t="shared" si="4"/>
        <v>G95E</v>
      </c>
      <c r="J150" t="str">
        <f t="shared" si="5"/>
        <v>G94E</v>
      </c>
      <c r="K150">
        <v>0.157734131954607</v>
      </c>
      <c r="L150" t="s">
        <v>93</v>
      </c>
      <c r="M150" t="s">
        <v>957</v>
      </c>
      <c r="N150" t="s">
        <v>74</v>
      </c>
      <c r="O150" t="s">
        <v>75</v>
      </c>
      <c r="P150" t="s">
        <v>914</v>
      </c>
      <c r="Q150" t="s">
        <v>958</v>
      </c>
      <c r="R150" t="s">
        <v>924</v>
      </c>
      <c r="S150" t="s">
        <v>959</v>
      </c>
      <c r="T150" t="s">
        <v>37</v>
      </c>
      <c r="U150" t="s">
        <v>117</v>
      </c>
      <c r="V150" t="s">
        <v>960</v>
      </c>
      <c r="W150" t="s">
        <v>40</v>
      </c>
      <c r="X150" t="s">
        <v>119</v>
      </c>
    </row>
    <row r="151" spans="1:24">
      <c r="A151" t="s">
        <v>961</v>
      </c>
      <c r="B151" t="s">
        <v>955</v>
      </c>
      <c r="C151" t="s">
        <v>184</v>
      </c>
      <c r="D151">
        <v>98</v>
      </c>
      <c r="E151">
        <v>99</v>
      </c>
      <c r="F151" t="s">
        <v>184</v>
      </c>
      <c r="G151" t="s">
        <v>27</v>
      </c>
      <c r="H151" t="s">
        <v>962</v>
      </c>
      <c r="I151" t="str">
        <f t="shared" si="4"/>
        <v>Y99D</v>
      </c>
      <c r="J151" t="str">
        <f t="shared" si="5"/>
        <v>Y98D</v>
      </c>
      <c r="K151">
        <v>0.0050417355665554</v>
      </c>
      <c r="L151" t="s">
        <v>93</v>
      </c>
      <c r="M151" t="s">
        <v>963</v>
      </c>
      <c r="N151" t="s">
        <v>74</v>
      </c>
      <c r="O151" t="s">
        <v>75</v>
      </c>
      <c r="P151" t="s">
        <v>914</v>
      </c>
      <c r="Q151" t="s">
        <v>958</v>
      </c>
      <c r="R151" t="s">
        <v>924</v>
      </c>
      <c r="S151" t="s">
        <v>964</v>
      </c>
      <c r="T151" t="s">
        <v>37</v>
      </c>
      <c r="U151" t="s">
        <v>213</v>
      </c>
      <c r="V151" t="s">
        <v>965</v>
      </c>
      <c r="W151" t="s">
        <v>40</v>
      </c>
      <c r="X151" t="s">
        <v>215</v>
      </c>
    </row>
    <row r="152" spans="1:24">
      <c r="A152" t="s">
        <v>966</v>
      </c>
      <c r="B152" t="s">
        <v>920</v>
      </c>
      <c r="C152" t="s">
        <v>44</v>
      </c>
      <c r="D152">
        <v>101</v>
      </c>
      <c r="E152">
        <v>102</v>
      </c>
      <c r="F152" t="s">
        <v>44</v>
      </c>
      <c r="G152" t="s">
        <v>27</v>
      </c>
      <c r="H152" t="s">
        <v>967</v>
      </c>
      <c r="I152" t="str">
        <f t="shared" si="4"/>
        <v>G102D</v>
      </c>
      <c r="J152" t="str">
        <f t="shared" si="5"/>
        <v>G101D</v>
      </c>
      <c r="K152">
        <v>0.287277386018828</v>
      </c>
      <c r="L152" t="s">
        <v>29</v>
      </c>
      <c r="M152" t="s">
        <v>968</v>
      </c>
      <c r="N152" t="s">
        <v>74</v>
      </c>
      <c r="O152" t="s">
        <v>75</v>
      </c>
      <c r="P152" t="s">
        <v>914</v>
      </c>
      <c r="Q152" t="s">
        <v>923</v>
      </c>
      <c r="R152" t="s">
        <v>924</v>
      </c>
      <c r="S152" t="s">
        <v>969</v>
      </c>
      <c r="T152" t="s">
        <v>37</v>
      </c>
      <c r="U152" t="s">
        <v>428</v>
      </c>
      <c r="V152" t="s">
        <v>970</v>
      </c>
      <c r="W152" t="s">
        <v>40</v>
      </c>
      <c r="X152" t="s">
        <v>430</v>
      </c>
    </row>
    <row r="153" spans="1:24">
      <c r="A153" t="s">
        <v>971</v>
      </c>
      <c r="B153" t="s">
        <v>972</v>
      </c>
      <c r="C153" t="s">
        <v>132</v>
      </c>
      <c r="D153">
        <v>1</v>
      </c>
      <c r="E153">
        <v>2</v>
      </c>
      <c r="F153" t="s">
        <v>132</v>
      </c>
      <c r="G153" t="s">
        <v>148</v>
      </c>
      <c r="H153" t="s">
        <v>973</v>
      </c>
      <c r="I153" t="str">
        <f t="shared" si="4"/>
        <v>S2F</v>
      </c>
      <c r="J153" t="str">
        <f t="shared" si="5"/>
        <v>S1F</v>
      </c>
      <c r="K153" t="s">
        <v>59</v>
      </c>
      <c r="L153" t="s">
        <v>59</v>
      </c>
      <c r="M153" t="s">
        <v>149</v>
      </c>
      <c r="N153" t="s">
        <v>136</v>
      </c>
      <c r="O153" t="s">
        <v>32</v>
      </c>
      <c r="P153" t="s">
        <v>914</v>
      </c>
      <c r="Q153" t="s">
        <v>974</v>
      </c>
      <c r="R153" t="s">
        <v>924</v>
      </c>
      <c r="S153" t="s">
        <v>975</v>
      </c>
      <c r="T153" t="s">
        <v>37</v>
      </c>
      <c r="U153" t="s">
        <v>382</v>
      </c>
      <c r="V153" t="s">
        <v>976</v>
      </c>
      <c r="W153" t="s">
        <v>40</v>
      </c>
      <c r="X153" t="s">
        <v>384</v>
      </c>
    </row>
    <row r="154" spans="1:24">
      <c r="A154" t="s">
        <v>977</v>
      </c>
      <c r="B154" t="s">
        <v>955</v>
      </c>
      <c r="C154" t="s">
        <v>44</v>
      </c>
      <c r="D154">
        <v>2</v>
      </c>
      <c r="E154">
        <v>3</v>
      </c>
      <c r="F154" t="s">
        <v>44</v>
      </c>
      <c r="G154" t="s">
        <v>101</v>
      </c>
      <c r="H154" t="s">
        <v>978</v>
      </c>
      <c r="I154" t="str">
        <f t="shared" si="4"/>
        <v>G3A</v>
      </c>
      <c r="J154" t="str">
        <f t="shared" si="5"/>
        <v>G2A</v>
      </c>
      <c r="K154" t="s">
        <v>59</v>
      </c>
      <c r="L154" t="s">
        <v>59</v>
      </c>
      <c r="M154" t="s">
        <v>979</v>
      </c>
      <c r="N154" t="s">
        <v>136</v>
      </c>
      <c r="O154" t="s">
        <v>32</v>
      </c>
      <c r="P154" t="s">
        <v>914</v>
      </c>
      <c r="Q154" t="s">
        <v>958</v>
      </c>
      <c r="R154" t="s">
        <v>924</v>
      </c>
      <c r="S154" t="s">
        <v>980</v>
      </c>
      <c r="T154" t="s">
        <v>37</v>
      </c>
      <c r="U154" t="s">
        <v>219</v>
      </c>
      <c r="V154" t="s">
        <v>981</v>
      </c>
      <c r="W154" t="s">
        <v>40</v>
      </c>
      <c r="X154" t="s">
        <v>221</v>
      </c>
    </row>
    <row r="155" spans="1:24">
      <c r="A155" t="s">
        <v>982</v>
      </c>
      <c r="B155" t="s">
        <v>983</v>
      </c>
      <c r="C155" t="s">
        <v>44</v>
      </c>
      <c r="D155">
        <v>11</v>
      </c>
      <c r="E155">
        <v>12</v>
      </c>
      <c r="F155" t="s">
        <v>44</v>
      </c>
      <c r="G155" t="s">
        <v>132</v>
      </c>
      <c r="H155" t="s">
        <v>984</v>
      </c>
      <c r="I155" t="str">
        <f t="shared" si="4"/>
        <v>G12S</v>
      </c>
      <c r="J155" t="str">
        <f t="shared" si="5"/>
        <v>G11S</v>
      </c>
      <c r="K155" t="s">
        <v>59</v>
      </c>
      <c r="L155" t="s">
        <v>59</v>
      </c>
      <c r="M155" t="s">
        <v>985</v>
      </c>
      <c r="N155" t="s">
        <v>136</v>
      </c>
      <c r="O155" t="s">
        <v>32</v>
      </c>
      <c r="P155" t="s">
        <v>914</v>
      </c>
      <c r="Q155" t="s">
        <v>986</v>
      </c>
      <c r="R155" t="s">
        <v>924</v>
      </c>
      <c r="S155" t="s">
        <v>987</v>
      </c>
      <c r="T155" t="s">
        <v>37</v>
      </c>
      <c r="U155" t="s">
        <v>988</v>
      </c>
      <c r="V155" t="s">
        <v>989</v>
      </c>
      <c r="W155" t="s">
        <v>40</v>
      </c>
      <c r="X155" t="s">
        <v>990</v>
      </c>
    </row>
    <row r="156" spans="1:24">
      <c r="A156" t="s">
        <v>991</v>
      </c>
      <c r="B156" t="s">
        <v>943</v>
      </c>
      <c r="C156" t="s">
        <v>44</v>
      </c>
      <c r="D156">
        <v>14</v>
      </c>
      <c r="E156">
        <v>15</v>
      </c>
      <c r="F156" t="s">
        <v>44</v>
      </c>
      <c r="G156" t="s">
        <v>132</v>
      </c>
      <c r="H156" t="s">
        <v>992</v>
      </c>
      <c r="I156" t="str">
        <f t="shared" si="4"/>
        <v>G15S</v>
      </c>
      <c r="J156" t="str">
        <f t="shared" si="5"/>
        <v>G14S</v>
      </c>
      <c r="K156" t="s">
        <v>59</v>
      </c>
      <c r="L156" t="s">
        <v>59</v>
      </c>
      <c r="M156" t="s">
        <v>993</v>
      </c>
      <c r="N156" t="s">
        <v>136</v>
      </c>
      <c r="O156" t="s">
        <v>32</v>
      </c>
      <c r="P156" t="s">
        <v>914</v>
      </c>
      <c r="Q156" t="s">
        <v>946</v>
      </c>
      <c r="R156" t="s">
        <v>924</v>
      </c>
      <c r="S156" t="s">
        <v>212</v>
      </c>
      <c r="T156" t="s">
        <v>37</v>
      </c>
      <c r="U156" t="s">
        <v>213</v>
      </c>
      <c r="V156" t="s">
        <v>214</v>
      </c>
      <c r="W156" t="s">
        <v>40</v>
      </c>
      <c r="X156" t="s">
        <v>215</v>
      </c>
    </row>
    <row r="157" spans="1:24">
      <c r="A157" t="s">
        <v>994</v>
      </c>
      <c r="B157" t="s">
        <v>995</v>
      </c>
      <c r="C157" t="s">
        <v>174</v>
      </c>
      <c r="D157">
        <v>22</v>
      </c>
      <c r="E157">
        <v>23</v>
      </c>
      <c r="F157" t="s">
        <v>174</v>
      </c>
      <c r="G157" t="s">
        <v>223</v>
      </c>
      <c r="H157" t="s">
        <v>996</v>
      </c>
      <c r="I157" t="str">
        <f t="shared" si="4"/>
        <v>L23M</v>
      </c>
      <c r="J157" t="str">
        <f t="shared" si="5"/>
        <v>L22M</v>
      </c>
      <c r="K157" t="s">
        <v>59</v>
      </c>
      <c r="L157" t="s">
        <v>59</v>
      </c>
      <c r="M157" t="s">
        <v>997</v>
      </c>
      <c r="N157" t="s">
        <v>136</v>
      </c>
      <c r="O157" t="s">
        <v>32</v>
      </c>
      <c r="P157" t="s">
        <v>914</v>
      </c>
      <c r="Q157" t="s">
        <v>998</v>
      </c>
      <c r="R157" t="s">
        <v>924</v>
      </c>
      <c r="S157" t="s">
        <v>999</v>
      </c>
      <c r="T157" t="s">
        <v>37</v>
      </c>
      <c r="U157" t="s">
        <v>213</v>
      </c>
      <c r="V157" t="s">
        <v>1000</v>
      </c>
      <c r="W157" t="s">
        <v>40</v>
      </c>
      <c r="X157" t="s">
        <v>215</v>
      </c>
    </row>
    <row r="158" spans="1:24">
      <c r="A158" t="s">
        <v>1001</v>
      </c>
      <c r="B158" t="s">
        <v>995</v>
      </c>
      <c r="C158" t="s">
        <v>44</v>
      </c>
      <c r="D158">
        <v>28</v>
      </c>
      <c r="E158">
        <v>29</v>
      </c>
      <c r="F158" t="s">
        <v>44</v>
      </c>
      <c r="G158" t="s">
        <v>156</v>
      </c>
      <c r="H158" t="s">
        <v>1002</v>
      </c>
      <c r="I158" t="str">
        <f t="shared" si="4"/>
        <v>G29V</v>
      </c>
      <c r="J158" t="str">
        <f t="shared" si="5"/>
        <v>G28V</v>
      </c>
      <c r="K158">
        <v>0.102926422309682</v>
      </c>
      <c r="L158" t="s">
        <v>93</v>
      </c>
      <c r="M158" t="s">
        <v>1003</v>
      </c>
      <c r="N158" t="s">
        <v>136</v>
      </c>
      <c r="O158" t="s">
        <v>32</v>
      </c>
      <c r="P158" t="s">
        <v>914</v>
      </c>
      <c r="Q158" t="s">
        <v>998</v>
      </c>
      <c r="R158" t="s">
        <v>924</v>
      </c>
      <c r="S158" t="s">
        <v>1004</v>
      </c>
      <c r="T158" t="s">
        <v>37</v>
      </c>
      <c r="U158" t="s">
        <v>375</v>
      </c>
      <c r="V158" t="s">
        <v>1005</v>
      </c>
      <c r="W158" t="s">
        <v>40</v>
      </c>
      <c r="X158" t="s">
        <v>377</v>
      </c>
    </row>
    <row r="159" spans="1:24">
      <c r="A159" t="s">
        <v>1006</v>
      </c>
      <c r="B159" t="s">
        <v>955</v>
      </c>
      <c r="C159" t="s">
        <v>44</v>
      </c>
      <c r="D159">
        <v>42</v>
      </c>
      <c r="E159">
        <v>43</v>
      </c>
      <c r="F159" t="s">
        <v>44</v>
      </c>
      <c r="G159" t="s">
        <v>156</v>
      </c>
      <c r="H159" t="s">
        <v>1007</v>
      </c>
      <c r="I159" t="str">
        <f t="shared" si="4"/>
        <v>G43V</v>
      </c>
      <c r="J159" t="str">
        <f t="shared" si="5"/>
        <v>G42V</v>
      </c>
      <c r="K159">
        <v>0.0125824231329286</v>
      </c>
      <c r="L159" t="s">
        <v>93</v>
      </c>
      <c r="M159" t="s">
        <v>1008</v>
      </c>
      <c r="N159" t="s">
        <v>136</v>
      </c>
      <c r="O159" t="s">
        <v>32</v>
      </c>
      <c r="P159" t="s">
        <v>914</v>
      </c>
      <c r="Q159" t="s">
        <v>958</v>
      </c>
      <c r="R159" t="s">
        <v>924</v>
      </c>
      <c r="S159" t="s">
        <v>1004</v>
      </c>
      <c r="T159" t="s">
        <v>37</v>
      </c>
      <c r="U159" t="s">
        <v>375</v>
      </c>
      <c r="V159" t="s">
        <v>1005</v>
      </c>
      <c r="W159" t="s">
        <v>40</v>
      </c>
      <c r="X159" t="s">
        <v>377</v>
      </c>
    </row>
    <row r="160" spans="1:24">
      <c r="A160" t="s">
        <v>1009</v>
      </c>
      <c r="B160" t="s">
        <v>935</v>
      </c>
      <c r="C160" t="s">
        <v>174</v>
      </c>
      <c r="D160">
        <v>49</v>
      </c>
      <c r="E160">
        <v>50</v>
      </c>
      <c r="F160" t="s">
        <v>174</v>
      </c>
      <c r="G160" t="s">
        <v>148</v>
      </c>
      <c r="H160" t="s">
        <v>1010</v>
      </c>
      <c r="I160" t="str">
        <f t="shared" si="4"/>
        <v>L50F</v>
      </c>
      <c r="J160" t="str">
        <f t="shared" si="5"/>
        <v>L49F</v>
      </c>
      <c r="K160">
        <v>0.424862507775016</v>
      </c>
      <c r="L160" t="s">
        <v>29</v>
      </c>
      <c r="M160" t="s">
        <v>1011</v>
      </c>
      <c r="N160" t="s">
        <v>136</v>
      </c>
      <c r="O160" t="s">
        <v>32</v>
      </c>
      <c r="P160" t="s">
        <v>914</v>
      </c>
      <c r="Q160" t="s">
        <v>938</v>
      </c>
      <c r="R160" t="s">
        <v>924</v>
      </c>
      <c r="S160" t="s">
        <v>1012</v>
      </c>
      <c r="T160" t="s">
        <v>37</v>
      </c>
      <c r="U160" t="s">
        <v>382</v>
      </c>
      <c r="V160" t="s">
        <v>1013</v>
      </c>
      <c r="W160" t="s">
        <v>40</v>
      </c>
      <c r="X160" t="s">
        <v>384</v>
      </c>
    </row>
    <row r="161" spans="1:24">
      <c r="A161" t="s">
        <v>1014</v>
      </c>
      <c r="B161" t="s">
        <v>995</v>
      </c>
      <c r="C161" t="s">
        <v>156</v>
      </c>
      <c r="D161">
        <v>57</v>
      </c>
      <c r="E161">
        <v>58</v>
      </c>
      <c r="F161" t="s">
        <v>156</v>
      </c>
      <c r="G161" t="s">
        <v>174</v>
      </c>
      <c r="H161" t="s">
        <v>1015</v>
      </c>
      <c r="I161" t="str">
        <f t="shared" si="4"/>
        <v>V58L</v>
      </c>
      <c r="J161" t="str">
        <f t="shared" si="5"/>
        <v>V57L</v>
      </c>
      <c r="K161">
        <v>0.0293322117240633</v>
      </c>
      <c r="L161" t="s">
        <v>93</v>
      </c>
      <c r="M161" t="s">
        <v>1016</v>
      </c>
      <c r="N161" t="s">
        <v>136</v>
      </c>
      <c r="O161" t="s">
        <v>32</v>
      </c>
      <c r="P161" t="s">
        <v>914</v>
      </c>
      <c r="Q161" t="s">
        <v>998</v>
      </c>
      <c r="R161" t="s">
        <v>924</v>
      </c>
      <c r="S161" t="s">
        <v>306</v>
      </c>
      <c r="T161" t="s">
        <v>37</v>
      </c>
      <c r="U161" t="s">
        <v>213</v>
      </c>
      <c r="V161" t="s">
        <v>307</v>
      </c>
      <c r="W161" t="s">
        <v>40</v>
      </c>
      <c r="X161" t="s">
        <v>215</v>
      </c>
    </row>
    <row r="162" spans="1:24">
      <c r="A162" t="s">
        <v>1017</v>
      </c>
      <c r="B162" t="s">
        <v>1018</v>
      </c>
      <c r="C162" t="s">
        <v>164</v>
      </c>
      <c r="D162">
        <v>71</v>
      </c>
      <c r="E162">
        <v>72</v>
      </c>
      <c r="F162" t="s">
        <v>164</v>
      </c>
      <c r="G162" t="s">
        <v>132</v>
      </c>
      <c r="H162" t="s">
        <v>1019</v>
      </c>
      <c r="I162" t="str">
        <f t="shared" si="4"/>
        <v>T72S</v>
      </c>
      <c r="J162" t="str">
        <f t="shared" si="5"/>
        <v>T71S</v>
      </c>
      <c r="K162">
        <v>0.125687752068453</v>
      </c>
      <c r="L162" t="s">
        <v>93</v>
      </c>
      <c r="M162" t="s">
        <v>1020</v>
      </c>
      <c r="N162" t="s">
        <v>136</v>
      </c>
      <c r="O162" t="s">
        <v>32</v>
      </c>
      <c r="P162" t="s">
        <v>914</v>
      </c>
      <c r="Q162" t="s">
        <v>1021</v>
      </c>
      <c r="R162" t="s">
        <v>924</v>
      </c>
      <c r="S162" t="s">
        <v>1022</v>
      </c>
      <c r="T162" t="s">
        <v>37</v>
      </c>
      <c r="U162" t="s">
        <v>213</v>
      </c>
      <c r="V162" t="s">
        <v>1023</v>
      </c>
      <c r="W162" t="s">
        <v>40</v>
      </c>
      <c r="X162" t="s">
        <v>215</v>
      </c>
    </row>
    <row r="163" spans="1:24">
      <c r="A163" t="s">
        <v>1024</v>
      </c>
      <c r="B163" t="s">
        <v>920</v>
      </c>
      <c r="C163" t="s">
        <v>164</v>
      </c>
      <c r="D163">
        <v>80</v>
      </c>
      <c r="E163">
        <v>81</v>
      </c>
      <c r="F163" t="s">
        <v>164</v>
      </c>
      <c r="G163" t="s">
        <v>101</v>
      </c>
      <c r="H163" t="s">
        <v>1025</v>
      </c>
      <c r="I163" t="str">
        <f t="shared" si="4"/>
        <v>T81A</v>
      </c>
      <c r="J163" t="str">
        <f t="shared" si="5"/>
        <v>T80A</v>
      </c>
      <c r="K163">
        <v>0.0608147748431983</v>
      </c>
      <c r="L163" t="s">
        <v>93</v>
      </c>
      <c r="M163" t="s">
        <v>1026</v>
      </c>
      <c r="N163" t="s">
        <v>136</v>
      </c>
      <c r="O163" t="s">
        <v>32</v>
      </c>
      <c r="P163" t="s">
        <v>914</v>
      </c>
      <c r="Q163" t="s">
        <v>923</v>
      </c>
      <c r="R163" t="s">
        <v>924</v>
      </c>
      <c r="S163" t="s">
        <v>1027</v>
      </c>
      <c r="T163" t="s">
        <v>37</v>
      </c>
      <c r="U163" t="s">
        <v>213</v>
      </c>
      <c r="V163" t="s">
        <v>1028</v>
      </c>
      <c r="W163" t="s">
        <v>40</v>
      </c>
      <c r="X163" t="s">
        <v>215</v>
      </c>
    </row>
    <row r="164" spans="1:24">
      <c r="A164" t="s">
        <v>1029</v>
      </c>
      <c r="B164" t="s">
        <v>920</v>
      </c>
      <c r="C164" t="s">
        <v>44</v>
      </c>
      <c r="D164">
        <v>94</v>
      </c>
      <c r="E164">
        <v>95</v>
      </c>
      <c r="F164" t="s">
        <v>44</v>
      </c>
      <c r="G164" t="s">
        <v>133</v>
      </c>
      <c r="H164" t="s">
        <v>956</v>
      </c>
      <c r="I164" t="str">
        <f t="shared" si="4"/>
        <v>G95C</v>
      </c>
      <c r="J164" t="str">
        <f t="shared" si="5"/>
        <v>G94C</v>
      </c>
      <c r="K164">
        <v>0.157734131954607</v>
      </c>
      <c r="L164" t="s">
        <v>93</v>
      </c>
      <c r="M164" t="s">
        <v>1030</v>
      </c>
      <c r="N164" t="s">
        <v>136</v>
      </c>
      <c r="O164" t="s">
        <v>32</v>
      </c>
      <c r="P164" t="s">
        <v>914</v>
      </c>
      <c r="Q164" t="s">
        <v>923</v>
      </c>
      <c r="R164" t="s">
        <v>924</v>
      </c>
      <c r="S164" t="s">
        <v>1031</v>
      </c>
      <c r="T164" t="s">
        <v>37</v>
      </c>
      <c r="U164" t="s">
        <v>151</v>
      </c>
      <c r="V164" t="s">
        <v>1032</v>
      </c>
      <c r="W164" t="s">
        <v>40</v>
      </c>
      <c r="X164" t="s">
        <v>153</v>
      </c>
    </row>
    <row r="165" spans="1:24">
      <c r="A165" t="s">
        <v>1033</v>
      </c>
      <c r="B165" t="s">
        <v>935</v>
      </c>
      <c r="C165" t="s">
        <v>44</v>
      </c>
      <c r="D165">
        <v>11</v>
      </c>
      <c r="E165">
        <v>12</v>
      </c>
      <c r="F165" t="s">
        <v>44</v>
      </c>
      <c r="G165" t="s">
        <v>230</v>
      </c>
      <c r="H165" t="s">
        <v>984</v>
      </c>
      <c r="I165" t="str">
        <f t="shared" si="4"/>
        <v>G12R</v>
      </c>
      <c r="J165" t="str">
        <f t="shared" si="5"/>
        <v>G11R</v>
      </c>
      <c r="K165" t="s">
        <v>59</v>
      </c>
      <c r="L165" t="s">
        <v>59</v>
      </c>
      <c r="M165" t="s">
        <v>1034</v>
      </c>
      <c r="N165" t="s">
        <v>325</v>
      </c>
      <c r="O165" t="s">
        <v>75</v>
      </c>
      <c r="P165" t="s">
        <v>914</v>
      </c>
      <c r="Q165" t="s">
        <v>938</v>
      </c>
      <c r="R165" t="s">
        <v>924</v>
      </c>
      <c r="S165" t="s">
        <v>1035</v>
      </c>
      <c r="T165" t="s">
        <v>37</v>
      </c>
      <c r="U165" t="s">
        <v>382</v>
      </c>
      <c r="V165" t="s">
        <v>1036</v>
      </c>
      <c r="W165" t="s">
        <v>40</v>
      </c>
      <c r="X165" t="s">
        <v>384</v>
      </c>
    </row>
    <row r="166" spans="1:24">
      <c r="A166" t="s">
        <v>1037</v>
      </c>
      <c r="B166" t="s">
        <v>935</v>
      </c>
      <c r="C166" t="s">
        <v>57</v>
      </c>
      <c r="D166">
        <v>59</v>
      </c>
      <c r="E166">
        <v>60</v>
      </c>
      <c r="F166" t="s">
        <v>57</v>
      </c>
      <c r="G166" t="s">
        <v>26</v>
      </c>
      <c r="H166" t="s">
        <v>1038</v>
      </c>
      <c r="I166" t="str">
        <f t="shared" si="4"/>
        <v>K60E</v>
      </c>
      <c r="J166" t="str">
        <f t="shared" si="5"/>
        <v>K59E</v>
      </c>
      <c r="K166">
        <v>0.237116594504037</v>
      </c>
      <c r="L166" t="s">
        <v>29</v>
      </c>
      <c r="M166" t="s">
        <v>1039</v>
      </c>
      <c r="N166" t="s">
        <v>628</v>
      </c>
      <c r="O166" t="s">
        <v>62</v>
      </c>
      <c r="P166" t="s">
        <v>914</v>
      </c>
      <c r="Q166" t="s">
        <v>938</v>
      </c>
      <c r="R166" t="s">
        <v>924</v>
      </c>
      <c r="S166" t="s">
        <v>1040</v>
      </c>
      <c r="T166" t="s">
        <v>37</v>
      </c>
      <c r="U166" t="s">
        <v>1041</v>
      </c>
      <c r="V166" t="s">
        <v>1042</v>
      </c>
      <c r="W166" t="s">
        <v>40</v>
      </c>
      <c r="X166" t="s">
        <v>1043</v>
      </c>
    </row>
    <row r="167" spans="1:24">
      <c r="A167" t="s">
        <v>1044</v>
      </c>
      <c r="B167" t="s">
        <v>928</v>
      </c>
      <c r="C167" t="s">
        <v>230</v>
      </c>
      <c r="D167">
        <v>3</v>
      </c>
      <c r="E167">
        <v>4</v>
      </c>
      <c r="F167" t="s">
        <v>230</v>
      </c>
      <c r="G167" t="s">
        <v>44</v>
      </c>
      <c r="H167" t="s">
        <v>1045</v>
      </c>
      <c r="I167" t="str">
        <f t="shared" si="4"/>
        <v>R4G</v>
      </c>
      <c r="J167" t="str">
        <f t="shared" si="5"/>
        <v>R3G</v>
      </c>
      <c r="K167" t="s">
        <v>59</v>
      </c>
      <c r="L167" t="s">
        <v>59</v>
      </c>
      <c r="M167" t="s">
        <v>1046</v>
      </c>
      <c r="N167" t="s">
        <v>353</v>
      </c>
      <c r="O167" t="s">
        <v>48</v>
      </c>
      <c r="P167" t="s">
        <v>914</v>
      </c>
      <c r="Q167" t="s">
        <v>931</v>
      </c>
      <c r="R167" t="s">
        <v>924</v>
      </c>
      <c r="S167" t="s">
        <v>1047</v>
      </c>
      <c r="T167" t="s">
        <v>37</v>
      </c>
      <c r="U167" t="s">
        <v>850</v>
      </c>
      <c r="V167" t="s">
        <v>1048</v>
      </c>
      <c r="W167" t="s">
        <v>40</v>
      </c>
      <c r="X167" t="s">
        <v>852</v>
      </c>
    </row>
    <row r="168" spans="1:24">
      <c r="A168" t="s">
        <v>1049</v>
      </c>
      <c r="B168" t="s">
        <v>920</v>
      </c>
      <c r="C168" t="s">
        <v>230</v>
      </c>
      <c r="D168">
        <v>3</v>
      </c>
      <c r="E168">
        <v>4</v>
      </c>
      <c r="F168" t="s">
        <v>230</v>
      </c>
      <c r="G168" t="s">
        <v>133</v>
      </c>
      <c r="H168" t="s">
        <v>1045</v>
      </c>
      <c r="I168" t="str">
        <f t="shared" si="4"/>
        <v>R4C</v>
      </c>
      <c r="J168" t="str">
        <f t="shared" si="5"/>
        <v>R3C</v>
      </c>
      <c r="K168" t="s">
        <v>59</v>
      </c>
      <c r="L168" t="s">
        <v>59</v>
      </c>
      <c r="M168" t="s">
        <v>1050</v>
      </c>
      <c r="N168" t="s">
        <v>353</v>
      </c>
      <c r="O168" t="s">
        <v>48</v>
      </c>
      <c r="P168" t="s">
        <v>914</v>
      </c>
      <c r="Q168" t="s">
        <v>923</v>
      </c>
      <c r="R168" t="s">
        <v>924</v>
      </c>
      <c r="S168" t="s">
        <v>1051</v>
      </c>
      <c r="T168" t="s">
        <v>37</v>
      </c>
      <c r="U168" t="s">
        <v>406</v>
      </c>
      <c r="V168" t="s">
        <v>1052</v>
      </c>
      <c r="W168" t="s">
        <v>40</v>
      </c>
      <c r="X168" t="s">
        <v>408</v>
      </c>
    </row>
    <row r="169" spans="1:24">
      <c r="A169" t="s">
        <v>1053</v>
      </c>
      <c r="B169" t="s">
        <v>1018</v>
      </c>
      <c r="C169" t="s">
        <v>230</v>
      </c>
      <c r="D169">
        <v>40</v>
      </c>
      <c r="E169">
        <v>41</v>
      </c>
      <c r="F169" t="s">
        <v>230</v>
      </c>
      <c r="G169" t="s">
        <v>133</v>
      </c>
      <c r="H169" t="s">
        <v>1054</v>
      </c>
      <c r="I169" t="str">
        <f t="shared" si="4"/>
        <v>R41C</v>
      </c>
      <c r="J169" t="str">
        <f t="shared" si="5"/>
        <v>R40C</v>
      </c>
      <c r="K169">
        <v>0.0333375229749455</v>
      </c>
      <c r="L169" t="s">
        <v>93</v>
      </c>
      <c r="M169" t="s">
        <v>1055</v>
      </c>
      <c r="N169" t="s">
        <v>353</v>
      </c>
      <c r="O169" t="s">
        <v>48</v>
      </c>
      <c r="P169" t="s">
        <v>914</v>
      </c>
      <c r="Q169" t="s">
        <v>1021</v>
      </c>
      <c r="R169" t="s">
        <v>924</v>
      </c>
      <c r="S169" t="s">
        <v>1056</v>
      </c>
      <c r="T169" t="s">
        <v>37</v>
      </c>
      <c r="U169" t="s">
        <v>117</v>
      </c>
      <c r="V169" t="s">
        <v>1057</v>
      </c>
      <c r="W169" t="s">
        <v>40</v>
      </c>
      <c r="X169" t="s">
        <v>119</v>
      </c>
    </row>
    <row r="170" spans="1:24">
      <c r="A170" t="s">
        <v>1058</v>
      </c>
      <c r="B170" t="s">
        <v>935</v>
      </c>
      <c r="C170" t="s">
        <v>230</v>
      </c>
      <c r="D170">
        <v>45</v>
      </c>
      <c r="E170">
        <v>46</v>
      </c>
      <c r="F170" t="s">
        <v>230</v>
      </c>
      <c r="G170" t="s">
        <v>173</v>
      </c>
      <c r="H170" t="s">
        <v>1059</v>
      </c>
      <c r="I170" t="str">
        <f t="shared" si="4"/>
        <v>R46Q</v>
      </c>
      <c r="J170" t="str">
        <f t="shared" si="5"/>
        <v>R45Q</v>
      </c>
      <c r="K170">
        <v>0.0916946574581364</v>
      </c>
      <c r="L170" t="s">
        <v>93</v>
      </c>
      <c r="M170" t="s">
        <v>1060</v>
      </c>
      <c r="N170" t="s">
        <v>353</v>
      </c>
      <c r="O170" t="s">
        <v>48</v>
      </c>
      <c r="P170" t="s">
        <v>914</v>
      </c>
      <c r="Q170" t="s">
        <v>938</v>
      </c>
      <c r="R170" t="s">
        <v>924</v>
      </c>
      <c r="S170" t="s">
        <v>1061</v>
      </c>
      <c r="T170" t="s">
        <v>66</v>
      </c>
      <c r="U170" t="s">
        <v>234</v>
      </c>
      <c r="V170" t="s">
        <v>1062</v>
      </c>
      <c r="W170" t="s">
        <v>40</v>
      </c>
      <c r="X170" t="s">
        <v>236</v>
      </c>
    </row>
    <row r="171" spans="1:24">
      <c r="A171" t="s">
        <v>1063</v>
      </c>
      <c r="B171" t="s">
        <v>1064</v>
      </c>
      <c r="C171" t="s">
        <v>230</v>
      </c>
      <c r="D171">
        <v>67</v>
      </c>
      <c r="E171">
        <v>68</v>
      </c>
      <c r="F171" t="s">
        <v>230</v>
      </c>
      <c r="G171" t="s">
        <v>141</v>
      </c>
      <c r="H171" t="s">
        <v>1065</v>
      </c>
      <c r="I171" t="str">
        <f t="shared" si="4"/>
        <v>R68P</v>
      </c>
      <c r="J171" t="str">
        <f t="shared" si="5"/>
        <v>R67P</v>
      </c>
      <c r="K171">
        <v>0.277681540318428</v>
      </c>
      <c r="L171" t="s">
        <v>29</v>
      </c>
      <c r="M171" t="s">
        <v>1066</v>
      </c>
      <c r="N171" t="s">
        <v>353</v>
      </c>
      <c r="O171" t="s">
        <v>48</v>
      </c>
      <c r="P171" t="s">
        <v>914</v>
      </c>
      <c r="Q171" t="s">
        <v>1067</v>
      </c>
      <c r="R171" t="s">
        <v>924</v>
      </c>
      <c r="S171" t="s">
        <v>1068</v>
      </c>
      <c r="T171" t="s">
        <v>37</v>
      </c>
      <c r="U171" t="s">
        <v>88</v>
      </c>
      <c r="V171" t="s">
        <v>1069</v>
      </c>
      <c r="W171" t="s">
        <v>40</v>
      </c>
      <c r="X171" t="s">
        <v>90</v>
      </c>
    </row>
    <row r="172" spans="1:24">
      <c r="A172" t="s">
        <v>1063</v>
      </c>
      <c r="B172" t="s">
        <v>1064</v>
      </c>
      <c r="C172" t="s">
        <v>230</v>
      </c>
      <c r="D172">
        <v>67</v>
      </c>
      <c r="E172">
        <v>68</v>
      </c>
      <c r="F172" t="s">
        <v>230</v>
      </c>
      <c r="G172" t="s">
        <v>141</v>
      </c>
      <c r="H172" t="s">
        <v>1065</v>
      </c>
      <c r="I172" t="str">
        <f t="shared" si="4"/>
        <v>R68P</v>
      </c>
      <c r="J172" t="str">
        <f t="shared" si="5"/>
        <v>R67P</v>
      </c>
      <c r="K172">
        <v>0.277681540318428</v>
      </c>
      <c r="L172" t="s">
        <v>29</v>
      </c>
      <c r="M172" t="s">
        <v>1066</v>
      </c>
      <c r="N172" t="s">
        <v>353</v>
      </c>
      <c r="O172" t="s">
        <v>48</v>
      </c>
      <c r="P172" t="s">
        <v>914</v>
      </c>
      <c r="Q172" t="s">
        <v>1067</v>
      </c>
      <c r="R172" t="s">
        <v>924</v>
      </c>
      <c r="S172" t="s">
        <v>437</v>
      </c>
      <c r="T172" t="s">
        <v>66</v>
      </c>
      <c r="U172" t="s">
        <v>67</v>
      </c>
      <c r="V172" t="s">
        <v>438</v>
      </c>
      <c r="W172" t="s">
        <v>40</v>
      </c>
      <c r="X172" t="s">
        <v>69</v>
      </c>
    </row>
    <row r="173" spans="1:24">
      <c r="A173" t="s">
        <v>1070</v>
      </c>
      <c r="B173" t="s">
        <v>911</v>
      </c>
      <c r="C173" t="s">
        <v>230</v>
      </c>
      <c r="D173">
        <v>78</v>
      </c>
      <c r="E173">
        <v>79</v>
      </c>
      <c r="F173" t="s">
        <v>230</v>
      </c>
      <c r="G173" t="s">
        <v>133</v>
      </c>
      <c r="H173" t="s">
        <v>1071</v>
      </c>
      <c r="I173" t="str">
        <f t="shared" si="4"/>
        <v>R79C</v>
      </c>
      <c r="J173" t="str">
        <f t="shared" si="5"/>
        <v>R78C</v>
      </c>
      <c r="K173">
        <v>0.129872690309313</v>
      </c>
      <c r="L173" t="s">
        <v>93</v>
      </c>
      <c r="M173" t="s">
        <v>1072</v>
      </c>
      <c r="N173" t="s">
        <v>353</v>
      </c>
      <c r="O173" t="s">
        <v>48</v>
      </c>
      <c r="P173" t="s">
        <v>914</v>
      </c>
      <c r="Q173" t="s">
        <v>915</v>
      </c>
      <c r="R173" t="s">
        <v>916</v>
      </c>
      <c r="S173" t="s">
        <v>1073</v>
      </c>
      <c r="T173" t="s">
        <v>37</v>
      </c>
      <c r="U173" t="s">
        <v>988</v>
      </c>
      <c r="V173" t="s">
        <v>1074</v>
      </c>
      <c r="W173" t="s">
        <v>40</v>
      </c>
      <c r="X173" t="s">
        <v>990</v>
      </c>
    </row>
    <row r="174" spans="1:24">
      <c r="A174" t="s">
        <v>1075</v>
      </c>
      <c r="B174" t="s">
        <v>972</v>
      </c>
      <c r="C174" t="s">
        <v>230</v>
      </c>
      <c r="D174">
        <v>92</v>
      </c>
      <c r="E174">
        <v>93</v>
      </c>
      <c r="F174" t="s">
        <v>230</v>
      </c>
      <c r="G174" t="s">
        <v>164</v>
      </c>
      <c r="H174" t="s">
        <v>1076</v>
      </c>
      <c r="I174" t="str">
        <f t="shared" si="4"/>
        <v>R93T</v>
      </c>
      <c r="J174" t="str">
        <f t="shared" si="5"/>
        <v>R92T</v>
      </c>
      <c r="K174">
        <v>0.18849910336056</v>
      </c>
      <c r="L174" t="s">
        <v>93</v>
      </c>
      <c r="M174" t="s">
        <v>1077</v>
      </c>
      <c r="N174" t="s">
        <v>353</v>
      </c>
      <c r="O174" t="s">
        <v>48</v>
      </c>
      <c r="P174" t="s">
        <v>914</v>
      </c>
      <c r="Q174" t="s">
        <v>974</v>
      </c>
      <c r="R174" t="s">
        <v>924</v>
      </c>
      <c r="S174" t="s">
        <v>1078</v>
      </c>
      <c r="T174" t="s">
        <v>893</v>
      </c>
      <c r="U174" t="s">
        <v>67</v>
      </c>
      <c r="V174" t="s">
        <v>1079</v>
      </c>
      <c r="W174" t="s">
        <v>40</v>
      </c>
      <c r="X174" t="s">
        <v>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Driver Mutation 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张后芳</cp:lastModifiedBy>
  <dcterms:created xsi:type="dcterms:W3CDTF">2018-05-28T03:28:00Z</dcterms:created>
  <dcterms:modified xsi:type="dcterms:W3CDTF">2025-12-19T10:54:11Z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6AA2438B7FF6F659D7AE00686BA6CB01_42</vt:lpwstr>
  </property>
  <property fmtid="{D5CDD505-2E9C-101B-9397-08002B2CF9AE}" pid="3" name="KSOProductBuildVer">
    <vt:lpwstr>2052-12.1.2.23578</vt:lpwstr>
  </property>
</Properties>
</file>