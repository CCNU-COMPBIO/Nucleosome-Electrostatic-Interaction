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355" windowHeight="8088" activeTab="1"/>
  </bookViews>
  <sheets>
    <sheet name="RMS" sheetId="2" r:id="rId1"/>
    <sheet name="RMS-without_HIP" sheetId="4" r:id="rId2"/>
    <sheet name="Sheet3" sheetId="3" r:id="rId3"/>
  </sheets>
  <definedNames>
    <definedName name="_xlnm._FilterDatabase" localSheetId="0" hidden="1">RMS!$A$1:$F$40</definedName>
    <definedName name="_xlnm._FilterDatabase" localSheetId="1" hidden="1">'RMS-without_HIP'!$A$1:$F$36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<sst xmlns="http://schemas.openxmlformats.org/spreadsheetml/2006/main" count="234" uniqueCount="88">
  <si>
    <t>histone</t>
  </si>
  <si>
    <t>mutation</t>
  </si>
  <si>
    <t>histone_mutation</t>
  </si>
  <si>
    <t>nuc_Mutation</t>
  </si>
  <si>
    <t>nuc_RMS</t>
  </si>
  <si>
    <t>nuc-rank</t>
  </si>
  <si>
    <t>H2B</t>
  </si>
  <si>
    <t>Q47HIP</t>
  </si>
  <si>
    <t>DH_Q47HIP</t>
  </si>
  <si>
    <t>H3</t>
  </si>
  <si>
    <t>D81HIP</t>
  </si>
  <si>
    <t>AE_D81HIP</t>
  </si>
  <si>
    <t>E113K</t>
  </si>
  <si>
    <t>DH_E113K</t>
  </si>
  <si>
    <t>H4</t>
  </si>
  <si>
    <t>G56D</t>
  </si>
  <si>
    <t>BF_G56D</t>
  </si>
  <si>
    <t>R72P</t>
  </si>
  <si>
    <t>AE_R72P</t>
  </si>
  <si>
    <t>R72Q</t>
  </si>
  <si>
    <t>AE_R72Q</t>
  </si>
  <si>
    <t>K79N</t>
  </si>
  <si>
    <t>BF_K79N</t>
  </si>
  <si>
    <t>D51N</t>
  </si>
  <si>
    <t>DH_D51N</t>
  </si>
  <si>
    <t>D77HIP</t>
  </si>
  <si>
    <t>AE_D77HIP</t>
  </si>
  <si>
    <t>H2A</t>
  </si>
  <si>
    <t>N73K</t>
  </si>
  <si>
    <t>CG_N73K</t>
  </si>
  <si>
    <t>Q125HIP</t>
  </si>
  <si>
    <t>AE_Q125HIP</t>
  </si>
  <si>
    <t>D77N</t>
  </si>
  <si>
    <t>AE_D77N</t>
  </si>
  <si>
    <t>D72G</t>
  </si>
  <si>
    <t>CG_D72G</t>
  </si>
  <si>
    <t>K59E</t>
  </si>
  <si>
    <t>BF_K59E</t>
  </si>
  <si>
    <t>E73Q</t>
  </si>
  <si>
    <t>AE_E73Q</t>
  </si>
  <si>
    <t>E73K</t>
  </si>
  <si>
    <t>AE_E73K</t>
  </si>
  <si>
    <t>R134S</t>
  </si>
  <si>
    <t>AE_R134S</t>
  </si>
  <si>
    <t>R52C</t>
  </si>
  <si>
    <t>AE_R52C</t>
  </si>
  <si>
    <t>R134T</t>
  </si>
  <si>
    <t>AE_R134T</t>
  </si>
  <si>
    <t>K120E</t>
  </si>
  <si>
    <t>DH_K120E</t>
  </si>
  <si>
    <t>E74Q</t>
  </si>
  <si>
    <t>BF_E74Q</t>
  </si>
  <si>
    <t>R42C</t>
  </si>
  <si>
    <t>AE_R42C</t>
  </si>
  <si>
    <t>K95T</t>
  </si>
  <si>
    <t>CG_K95T</t>
  </si>
  <si>
    <t>E52Q</t>
  </si>
  <si>
    <t>BF_E52Q</t>
  </si>
  <si>
    <t>R40C</t>
  </si>
  <si>
    <t>AE_R40C</t>
  </si>
  <si>
    <t>R129C</t>
  </si>
  <si>
    <t>AE_R129C</t>
  </si>
  <si>
    <t>R67P</t>
  </si>
  <si>
    <t>BF_R67P</t>
  </si>
  <si>
    <t>Q125K</t>
  </si>
  <si>
    <t>AE_Q125K</t>
  </si>
  <si>
    <t>R40G</t>
  </si>
  <si>
    <t>AE_R40G</t>
  </si>
  <si>
    <t>K74N</t>
  </si>
  <si>
    <t>CG_K74N</t>
  </si>
  <si>
    <t>R129Q</t>
  </si>
  <si>
    <t>AE_R129Q</t>
  </si>
  <si>
    <t>D81N</t>
  </si>
  <si>
    <t>AE_D81N</t>
  </si>
  <si>
    <t>E113Q</t>
  </si>
  <si>
    <t>DH_E113Q</t>
  </si>
  <si>
    <t>D77H</t>
  </si>
  <si>
    <t>AE_D77H</t>
  </si>
  <si>
    <t>Q47H</t>
  </si>
  <si>
    <t>DH_Q47H</t>
  </si>
  <si>
    <t>D81H</t>
  </si>
  <si>
    <t>AE_D81H</t>
  </si>
  <si>
    <t>Q125H</t>
  </si>
  <si>
    <t>AE_Q125H</t>
  </si>
  <si>
    <t>E61K</t>
  </si>
  <si>
    <t>CG_E61K</t>
  </si>
  <si>
    <t>Q47E</t>
  </si>
  <si>
    <t>DH_Q47E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</si>
</sst>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_ "/>
  </numFmts>
  <fonts count="21">
    <font>
      <sz val="12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indexed="8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76" fontId="1" fillId="0" borderId="0" xfId="0" applyNumberFormat="1" applyFont="1" applyFill="1" applyAlignment="1">
      <alignment horizontal="center" vertical="center"/>
    </xf>
    <xf numFmtId="177" fontId="1" fillId="0" borderId="0" xfId="0" applyNumberFormat="1" applyFont="1" applyFill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0"/>
  <sheetViews>
    <sheetView workbookViewId="0">
      <selection activeCell="C2" sqref="C2:C47"/>
    </sheetView>
  </sheetViews>
  <sheetFormatPr defaultColWidth="9" defaultRowHeight="19.8" outlineLevelCol="5"/>
  <cols>
    <col min="3" max="3" width="14.3636363636364" customWidth="1"/>
    <col min="4" max="4" width="16.2727272727273" customWidth="1"/>
    <col min="5" max="5" width="15.0909090909091" customWidth="1"/>
  </cols>
  <sheetData>
    <row r="1" spans="1:6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 t="s">
        <v>5</v>
      </c>
    </row>
    <row r="2" spans="1:6">
      <c r="A2" s="2" t="s">
        <v>6</v>
      </c>
      <c r="B2" s="1" t="s">
        <v>7</v>
      </c>
      <c r="C2" s="1" t="str">
        <f>A2&amp;" "&amp;B2</f>
        <v>H2B Q47HIP</v>
      </c>
      <c r="D2" s="2" t="s">
        <v>8</v>
      </c>
      <c r="E2" s="5">
        <v>899.778223448228</v>
      </c>
      <c r="F2" s="4">
        <f>RANK(E2,$E$2:$E$40,0)</f>
        <v>1</v>
      </c>
    </row>
    <row r="3" spans="1:6">
      <c r="A3" s="2" t="s">
        <v>9</v>
      </c>
      <c r="B3" s="1" t="s">
        <v>10</v>
      </c>
      <c r="C3" s="1" t="str">
        <f>A3&amp;" "&amp;B3</f>
        <v>H3 D81HIP</v>
      </c>
      <c r="D3" s="2" t="s">
        <v>11</v>
      </c>
      <c r="E3" s="5">
        <v>876.046790286864</v>
      </c>
      <c r="F3" s="4">
        <f>RANK(E3,$E$2:$E$40,0)</f>
        <v>2</v>
      </c>
    </row>
    <row r="4" spans="1:6">
      <c r="A4" s="2" t="s">
        <v>6</v>
      </c>
      <c r="B4" s="1" t="s">
        <v>12</v>
      </c>
      <c r="C4" s="1" t="str">
        <f>A4&amp;" "&amp;B4</f>
        <v>H2B E113K</v>
      </c>
      <c r="D4" s="2" t="s">
        <v>13</v>
      </c>
      <c r="E4" s="5">
        <v>832.594802101084</v>
      </c>
      <c r="F4" s="4">
        <f>RANK(E4,$E$2:$E$40,0)</f>
        <v>3</v>
      </c>
    </row>
    <row r="5" spans="1:6">
      <c r="A5" s="2" t="s">
        <v>14</v>
      </c>
      <c r="B5" s="1" t="s">
        <v>15</v>
      </c>
      <c r="C5" s="1" t="str">
        <f>A5&amp;" "&amp;B5</f>
        <v>H4 G56D</v>
      </c>
      <c r="D5" s="2" t="s">
        <v>16</v>
      </c>
      <c r="E5" s="5">
        <v>815.945794109812</v>
      </c>
      <c r="F5" s="4">
        <f>RANK(E5,$E$2:$E$40,0)</f>
        <v>4</v>
      </c>
    </row>
    <row r="6" spans="1:6">
      <c r="A6" s="2" t="s">
        <v>9</v>
      </c>
      <c r="B6" s="1" t="s">
        <v>17</v>
      </c>
      <c r="C6" s="1" t="str">
        <f>A6&amp;" "&amp;B6</f>
        <v>H3 R72P</v>
      </c>
      <c r="D6" s="2" t="s">
        <v>18</v>
      </c>
      <c r="E6" s="5">
        <v>792.628883478282</v>
      </c>
      <c r="F6" s="4">
        <f>RANK(E6,$E$2:$E$40,0)</f>
        <v>5</v>
      </c>
    </row>
    <row r="7" spans="1:6">
      <c r="A7" s="2" t="s">
        <v>9</v>
      </c>
      <c r="B7" s="1" t="s">
        <v>19</v>
      </c>
      <c r="C7" s="1" t="str">
        <f>A7&amp;" "&amp;B7</f>
        <v>H3 R72Q</v>
      </c>
      <c r="D7" s="2" t="s">
        <v>20</v>
      </c>
      <c r="E7" s="5">
        <v>766.934266369939</v>
      </c>
      <c r="F7" s="4">
        <f>RANK(E7,$E$2:$E$40,0)</f>
        <v>6</v>
      </c>
    </row>
    <row r="8" spans="1:6">
      <c r="A8" s="2" t="s">
        <v>14</v>
      </c>
      <c r="B8" s="1" t="s">
        <v>21</v>
      </c>
      <c r="C8" s="1" t="str">
        <f>A8&amp;" "&amp;B8</f>
        <v>H4 K79N</v>
      </c>
      <c r="D8" s="2" t="s">
        <v>22</v>
      </c>
      <c r="E8" s="5">
        <v>672.12212148427</v>
      </c>
      <c r="F8" s="4">
        <f>RANK(E8,$E$2:$E$40,0)</f>
        <v>7</v>
      </c>
    </row>
    <row r="9" spans="1:6">
      <c r="A9" s="2" t="s">
        <v>6</v>
      </c>
      <c r="B9" s="1" t="s">
        <v>23</v>
      </c>
      <c r="C9" s="1" t="str">
        <f>A9&amp;" "&amp;B9</f>
        <v>H2B D51N</v>
      </c>
      <c r="D9" s="2" t="s">
        <v>24</v>
      </c>
      <c r="E9" s="5">
        <v>652.313751900957</v>
      </c>
      <c r="F9" s="4">
        <f>RANK(E9,$E$2:$E$40,0)</f>
        <v>8</v>
      </c>
    </row>
    <row r="10" spans="1:6">
      <c r="A10" s="2" t="s">
        <v>9</v>
      </c>
      <c r="B10" s="1" t="s">
        <v>25</v>
      </c>
      <c r="C10" s="1" t="str">
        <f>A10&amp;" "&amp;B10</f>
        <v>H3 D77HIP</v>
      </c>
      <c r="D10" s="2" t="s">
        <v>26</v>
      </c>
      <c r="E10" s="5">
        <v>641.593232191372</v>
      </c>
      <c r="F10" s="4">
        <f>RANK(E10,$E$2:$E$40,0)</f>
        <v>9</v>
      </c>
    </row>
    <row r="11" spans="1:6">
      <c r="A11" s="2" t="s">
        <v>27</v>
      </c>
      <c r="B11" s="1" t="s">
        <v>28</v>
      </c>
      <c r="C11" s="1" t="str">
        <f>A11&amp;" "&amp;B11</f>
        <v>H2A N73K</v>
      </c>
      <c r="D11" s="2" t="s">
        <v>29</v>
      </c>
      <c r="E11" s="5">
        <v>640.355630136122</v>
      </c>
      <c r="F11" s="4">
        <f>RANK(E11,$E$2:$E$40,0)</f>
        <v>10</v>
      </c>
    </row>
    <row r="12" spans="1:6">
      <c r="A12" s="2" t="s">
        <v>9</v>
      </c>
      <c r="B12" s="1" t="s">
        <v>30</v>
      </c>
      <c r="C12" s="1" t="str">
        <f>A12&amp;" "&amp;B12</f>
        <v>H3 Q125HIP</v>
      </c>
      <c r="D12" s="2" t="s">
        <v>31</v>
      </c>
      <c r="E12" s="5">
        <v>638.751473629516</v>
      </c>
      <c r="F12" s="4">
        <f>RANK(E12,$E$2:$E$40,0)</f>
        <v>11</v>
      </c>
    </row>
    <row r="13" spans="1:6">
      <c r="A13" s="2" t="s">
        <v>9</v>
      </c>
      <c r="B13" s="1" t="s">
        <v>32</v>
      </c>
      <c r="C13" s="1" t="str">
        <f>A13&amp;" "&amp;B13</f>
        <v>H3 D77N</v>
      </c>
      <c r="D13" s="2" t="s">
        <v>33</v>
      </c>
      <c r="E13" s="5">
        <v>626.600439951894</v>
      </c>
      <c r="F13" s="4">
        <f>RANK(E13,$E$2:$E$40,0)</f>
        <v>12</v>
      </c>
    </row>
    <row r="14" spans="1:6">
      <c r="A14" s="2" t="s">
        <v>27</v>
      </c>
      <c r="B14" s="1" t="s">
        <v>34</v>
      </c>
      <c r="C14" s="1" t="str">
        <f>A14&amp;" "&amp;B14</f>
        <v>H2A D72G</v>
      </c>
      <c r="D14" s="2" t="s">
        <v>35</v>
      </c>
      <c r="E14" s="5">
        <v>622.555856408702</v>
      </c>
      <c r="F14" s="4">
        <f>RANK(E14,$E$2:$E$40,0)</f>
        <v>13</v>
      </c>
    </row>
    <row r="15" spans="1:6">
      <c r="A15" s="2" t="s">
        <v>14</v>
      </c>
      <c r="B15" s="1" t="s">
        <v>36</v>
      </c>
      <c r="C15" s="1" t="str">
        <f>A15&amp;" "&amp;B15</f>
        <v>H4 K59E</v>
      </c>
      <c r="D15" s="2" t="s">
        <v>37</v>
      </c>
      <c r="E15" s="5">
        <v>596.326260117158</v>
      </c>
      <c r="F15" s="4">
        <f>RANK(E15,$E$2:$E$40,0)</f>
        <v>14</v>
      </c>
    </row>
    <row r="16" spans="1:6">
      <c r="A16" s="2" t="s">
        <v>9</v>
      </c>
      <c r="B16" s="1" t="s">
        <v>38</v>
      </c>
      <c r="C16" s="1" t="str">
        <f>A16&amp;" "&amp;B16</f>
        <v>H3 E73Q</v>
      </c>
      <c r="D16" s="2" t="s">
        <v>39</v>
      </c>
      <c r="E16" s="5">
        <v>587.144494155246</v>
      </c>
      <c r="F16" s="4">
        <f>RANK(E16,$E$2:$E$40,0)</f>
        <v>15</v>
      </c>
    </row>
    <row r="17" spans="1:6">
      <c r="A17" s="2" t="s">
        <v>9</v>
      </c>
      <c r="B17" s="1" t="s">
        <v>40</v>
      </c>
      <c r="C17" s="1" t="str">
        <f>A17&amp;" "&amp;B17</f>
        <v>H3 E73K</v>
      </c>
      <c r="D17" s="2" t="s">
        <v>41</v>
      </c>
      <c r="E17" s="5">
        <v>572.546534919572</v>
      </c>
      <c r="F17" s="4">
        <f>RANK(E17,$E$2:$E$40,0)</f>
        <v>16</v>
      </c>
    </row>
    <row r="18" spans="1:6">
      <c r="A18" s="2" t="s">
        <v>9</v>
      </c>
      <c r="B18" s="1" t="s">
        <v>42</v>
      </c>
      <c r="C18" s="1" t="str">
        <f>A18&amp;" "&amp;B18</f>
        <v>H3 R134S</v>
      </c>
      <c r="D18" s="2" t="s">
        <v>43</v>
      </c>
      <c r="E18" s="5">
        <v>567.661079056209</v>
      </c>
      <c r="F18" s="4">
        <f>RANK(E18,$E$2:$E$40,0)</f>
        <v>17</v>
      </c>
    </row>
    <row r="19" spans="1:6">
      <c r="A19" s="2" t="s">
        <v>9</v>
      </c>
      <c r="B19" s="1" t="s">
        <v>44</v>
      </c>
      <c r="C19" s="1" t="str">
        <f>A19&amp;" "&amp;B19</f>
        <v>H3 R52C</v>
      </c>
      <c r="D19" s="2" t="s">
        <v>45</v>
      </c>
      <c r="E19" s="5">
        <v>560.524767257748</v>
      </c>
      <c r="F19" s="4">
        <f>RANK(E19,$E$2:$E$40,0)</f>
        <v>18</v>
      </c>
    </row>
    <row r="20" spans="1:6">
      <c r="A20" s="2" t="s">
        <v>9</v>
      </c>
      <c r="B20" s="1" t="s">
        <v>46</v>
      </c>
      <c r="C20" s="1" t="str">
        <f>A20&amp;" "&amp;B20</f>
        <v>H3 R134T</v>
      </c>
      <c r="D20" s="2" t="s">
        <v>47</v>
      </c>
      <c r="E20" s="5">
        <v>560.106188506615</v>
      </c>
      <c r="F20" s="4">
        <f>RANK(E20,$E$2:$E$40,0)</f>
        <v>19</v>
      </c>
    </row>
    <row r="21" spans="1:6">
      <c r="A21" s="2" t="s">
        <v>6</v>
      </c>
      <c r="B21" s="1" t="s">
        <v>48</v>
      </c>
      <c r="C21" s="1" t="str">
        <f>A21&amp;" "&amp;B21</f>
        <v>H2B K120E</v>
      </c>
      <c r="D21" s="2" t="s">
        <v>49</v>
      </c>
      <c r="E21" s="5">
        <v>529.23548425855</v>
      </c>
      <c r="F21" s="4">
        <f>RANK(E21,$E$2:$E$40,0)</f>
        <v>20</v>
      </c>
    </row>
    <row r="22" spans="1:6">
      <c r="A22" s="2" t="s">
        <v>14</v>
      </c>
      <c r="B22" s="1" t="s">
        <v>50</v>
      </c>
      <c r="C22" s="1" t="str">
        <f>A22&amp;" "&amp;B22</f>
        <v>H4 E74Q</v>
      </c>
      <c r="D22" s="2" t="s">
        <v>51</v>
      </c>
      <c r="E22" s="5">
        <v>499.395189889355</v>
      </c>
      <c r="F22" s="4">
        <f>RANK(E22,$E$2:$E$40,0)</f>
        <v>21</v>
      </c>
    </row>
    <row r="23" spans="1:6">
      <c r="A23" s="2" t="s">
        <v>9</v>
      </c>
      <c r="B23" s="1" t="s">
        <v>52</v>
      </c>
      <c r="C23" s="1" t="str">
        <f>A23&amp;" "&amp;B23</f>
        <v>H3 R42C</v>
      </c>
      <c r="D23" s="2" t="s">
        <v>53</v>
      </c>
      <c r="E23" s="5">
        <v>485.757674457276</v>
      </c>
      <c r="F23" s="4">
        <f>RANK(E23,$E$2:$E$40,0)</f>
        <v>22</v>
      </c>
    </row>
    <row r="24" spans="1:6">
      <c r="A24" s="2" t="s">
        <v>27</v>
      </c>
      <c r="B24" s="1" t="s">
        <v>54</v>
      </c>
      <c r="C24" s="1" t="str">
        <f>A24&amp;" "&amp;B24</f>
        <v>H2A K95T</v>
      </c>
      <c r="D24" s="2" t="s">
        <v>55</v>
      </c>
      <c r="E24" s="5">
        <v>451.165373462937</v>
      </c>
      <c r="F24" s="4">
        <f>RANK(E24,$E$2:$E$40,0)</f>
        <v>23</v>
      </c>
    </row>
    <row r="25" spans="1:6">
      <c r="A25" s="2" t="s">
        <v>14</v>
      </c>
      <c r="B25" s="1" t="s">
        <v>56</v>
      </c>
      <c r="C25" s="1" t="str">
        <f>A25&amp;" "&amp;B25</f>
        <v>H4 E52Q</v>
      </c>
      <c r="D25" s="2" t="s">
        <v>57</v>
      </c>
      <c r="E25" s="5">
        <v>435.231008981684</v>
      </c>
      <c r="F25" s="4">
        <f>RANK(E25,$E$2:$E$40,0)</f>
        <v>24</v>
      </c>
    </row>
    <row r="26" spans="1:6">
      <c r="A26" s="2" t="s">
        <v>9</v>
      </c>
      <c r="B26" s="1" t="s">
        <v>58</v>
      </c>
      <c r="C26" s="1" t="str">
        <f>A26&amp;" "&amp;B26</f>
        <v>H3 R40C</v>
      </c>
      <c r="D26" s="2" t="s">
        <v>59</v>
      </c>
      <c r="E26" s="5">
        <v>403.853490990756</v>
      </c>
      <c r="F26" s="4">
        <f>RANK(E26,$E$2:$E$40,0)</f>
        <v>25</v>
      </c>
    </row>
    <row r="27" spans="1:6">
      <c r="A27" s="2" t="s">
        <v>9</v>
      </c>
      <c r="B27" s="1" t="s">
        <v>60</v>
      </c>
      <c r="C27" s="1" t="str">
        <f>A27&amp;" "&amp;B27</f>
        <v>H3 R129C</v>
      </c>
      <c r="D27" s="2" t="s">
        <v>61</v>
      </c>
      <c r="E27" s="5">
        <v>389.521536677233</v>
      </c>
      <c r="F27" s="4">
        <f>RANK(E27,$E$2:$E$40,0)</f>
        <v>26</v>
      </c>
    </row>
    <row r="28" spans="1:6">
      <c r="A28" s="2" t="s">
        <v>14</v>
      </c>
      <c r="B28" s="1" t="s">
        <v>62</v>
      </c>
      <c r="C28" s="1" t="str">
        <f>A28&amp;" "&amp;B28</f>
        <v>H4 R67P</v>
      </c>
      <c r="D28" s="2" t="s">
        <v>63</v>
      </c>
      <c r="E28" s="5">
        <v>364.277372367122</v>
      </c>
      <c r="F28" s="4">
        <f>RANK(E28,$E$2:$E$40,0)</f>
        <v>27</v>
      </c>
    </row>
    <row r="29" spans="1:6">
      <c r="A29" s="2" t="s">
        <v>9</v>
      </c>
      <c r="B29" s="1" t="s">
        <v>64</v>
      </c>
      <c r="C29" s="1" t="str">
        <f>A29&amp;" "&amp;B29</f>
        <v>H3 Q125K</v>
      </c>
      <c r="D29" s="2" t="s">
        <v>65</v>
      </c>
      <c r="E29" s="5">
        <v>361.00825520137</v>
      </c>
      <c r="F29" s="4">
        <f>RANK(E29,$E$2:$E$40,0)</f>
        <v>28</v>
      </c>
    </row>
    <row r="30" spans="1:6">
      <c r="A30" s="2" t="s">
        <v>9</v>
      </c>
      <c r="B30" s="1" t="s">
        <v>66</v>
      </c>
      <c r="C30" s="1" t="str">
        <f>A30&amp;" "&amp;B30</f>
        <v>H3 R40G</v>
      </c>
      <c r="D30" s="2" t="s">
        <v>67</v>
      </c>
      <c r="E30" s="5">
        <v>327.371752205769</v>
      </c>
      <c r="F30" s="4">
        <f>RANK(E30,$E$2:$E$40,0)</f>
        <v>29</v>
      </c>
    </row>
    <row r="31" spans="1:6">
      <c r="A31" s="2" t="s">
        <v>27</v>
      </c>
      <c r="B31" s="1" t="s">
        <v>68</v>
      </c>
      <c r="C31" s="1" t="str">
        <f>A31&amp;" "&amp;B31</f>
        <v>H2A K74N</v>
      </c>
      <c r="D31" s="2" t="s">
        <v>69</v>
      </c>
      <c r="E31" s="5">
        <v>312.759404659168</v>
      </c>
      <c r="F31" s="4">
        <f>RANK(E31,$E$2:$E$40,0)</f>
        <v>30</v>
      </c>
    </row>
    <row r="32" spans="1:6">
      <c r="A32" s="2" t="s">
        <v>9</v>
      </c>
      <c r="B32" s="1" t="s">
        <v>70</v>
      </c>
      <c r="C32" s="1" t="str">
        <f>A32&amp;" "&amp;B32</f>
        <v>H3 R129Q</v>
      </c>
      <c r="D32" s="2" t="s">
        <v>71</v>
      </c>
      <c r="E32" s="5">
        <v>242.27430614901</v>
      </c>
      <c r="F32" s="4">
        <f>RANK(E32,$E$2:$E$40,0)</f>
        <v>31</v>
      </c>
    </row>
    <row r="33" spans="1:6">
      <c r="A33" s="2" t="s">
        <v>9</v>
      </c>
      <c r="B33" s="1" t="s">
        <v>72</v>
      </c>
      <c r="C33" s="1" t="str">
        <f>A33&amp;" "&amp;B33</f>
        <v>H3 D81N</v>
      </c>
      <c r="D33" s="2" t="s">
        <v>73</v>
      </c>
      <c r="E33" s="5">
        <v>239.463139602081</v>
      </c>
      <c r="F33" s="4">
        <f>RANK(E33,$E$2:$E$40,0)</f>
        <v>32</v>
      </c>
    </row>
    <row r="34" spans="1:6">
      <c r="A34" s="2" t="s">
        <v>6</v>
      </c>
      <c r="B34" s="1" t="s">
        <v>74</v>
      </c>
      <c r="C34" s="1" t="str">
        <f>A34&amp;" "&amp;B34</f>
        <v>H2B E113Q</v>
      </c>
      <c r="D34" s="2" t="s">
        <v>75</v>
      </c>
      <c r="E34" s="5">
        <v>215.506682682645</v>
      </c>
      <c r="F34" s="4">
        <f>RANK(E34,$E$2:$E$40,0)</f>
        <v>33</v>
      </c>
    </row>
    <row r="35" spans="1:6">
      <c r="A35" s="2" t="s">
        <v>9</v>
      </c>
      <c r="B35" s="1" t="s">
        <v>76</v>
      </c>
      <c r="C35" s="1" t="str">
        <f>A35&amp;" "&amp;B35</f>
        <v>H3 D77H</v>
      </c>
      <c r="D35" s="2" t="s">
        <v>77</v>
      </c>
      <c r="E35" s="5">
        <v>191.868259786005</v>
      </c>
      <c r="F35" s="4">
        <f>RANK(E35,$E$2:$E$40,0)</f>
        <v>34</v>
      </c>
    </row>
    <row r="36" spans="1:6">
      <c r="A36" s="2" t="s">
        <v>6</v>
      </c>
      <c r="B36" s="1" t="s">
        <v>78</v>
      </c>
      <c r="C36" s="1" t="str">
        <f>A36&amp;" "&amp;B36</f>
        <v>H2B Q47H</v>
      </c>
      <c r="D36" s="2" t="s">
        <v>79</v>
      </c>
      <c r="E36" s="5">
        <v>191.749539077087</v>
      </c>
      <c r="F36" s="4">
        <f>RANK(E36,$E$2:$E$40,0)</f>
        <v>35</v>
      </c>
    </row>
    <row r="37" spans="1:6">
      <c r="A37" s="2" t="s">
        <v>9</v>
      </c>
      <c r="B37" s="1" t="s">
        <v>80</v>
      </c>
      <c r="C37" s="1" t="str">
        <f>A37&amp;" "&amp;B37</f>
        <v>H3 D81H</v>
      </c>
      <c r="D37" s="2" t="s">
        <v>81</v>
      </c>
      <c r="E37" s="5">
        <v>175.40865077045</v>
      </c>
      <c r="F37" s="4">
        <f>RANK(E37,$E$2:$E$40,0)</f>
        <v>36</v>
      </c>
    </row>
    <row r="38" spans="1:6">
      <c r="A38" s="2" t="s">
        <v>9</v>
      </c>
      <c r="B38" s="1" t="s">
        <v>82</v>
      </c>
      <c r="C38" s="1" t="str">
        <f>A38&amp;" "&amp;B38</f>
        <v>H3 Q125H</v>
      </c>
      <c r="D38" s="2" t="s">
        <v>83</v>
      </c>
      <c r="E38" s="5">
        <v>152.84091877816</v>
      </c>
      <c r="F38" s="4">
        <f>RANK(E38,$E$2:$E$40,0)</f>
        <v>37</v>
      </c>
    </row>
    <row r="39" spans="1:6">
      <c r="A39" s="2" t="s">
        <v>27</v>
      </c>
      <c r="B39" s="1" t="s">
        <v>84</v>
      </c>
      <c r="C39" s="1" t="str">
        <f>A39&amp;" "&amp;B39</f>
        <v>H2A E61K</v>
      </c>
      <c r="D39" s="2" t="s">
        <v>85</v>
      </c>
      <c r="E39" s="5">
        <v>132.418218575493</v>
      </c>
      <c r="F39" s="4">
        <f>RANK(E39,$E$2:$E$40,0)</f>
        <v>38</v>
      </c>
    </row>
    <row r="40" spans="1:6">
      <c r="A40" s="2" t="s">
        <v>6</v>
      </c>
      <c r="B40" s="1" t="s">
        <v>86</v>
      </c>
      <c r="C40" s="1" t="str">
        <f>A40&amp;" "&amp;B40</f>
        <v>H2B Q47E</v>
      </c>
      <c r="D40" s="2" t="s">
        <v>87</v>
      </c>
      <c r="E40" s="5">
        <v>32.5196443013723</v>
      </c>
      <c r="F40" s="4">
        <f>RANK(E40,$E$2:$E$40,0)</f>
        <v>39</v>
      </c>
    </row>
  </sheetData>
  <autoFilter xmlns:etc="http://www.wps.cn/officeDocument/2017/etCustomData" ref="A1:F40" etc:filterBottomFollowUsedRange="0">
    <sortState ref="A1:F40">
      <sortCondition ref="F1"/>
    </sortState>
    <extLst/>
  </autoFilter>
  <pageMargins left="0.75" right="0.75" top="1" bottom="1" header="0.511805555555556" footer="0.511805555555556"/>
  <pageSetup paperSize="9" orientation="portrait"/>
  <headerFooter alignWithMargins="0" scaleWithDoc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tabSelected="1" workbookViewId="0">
      <selection activeCell="A1" sqref="A$1:A$1048576"/>
    </sheetView>
  </sheetViews>
  <sheetFormatPr defaultColWidth="9" defaultRowHeight="19.8" outlineLevelCol="5"/>
  <cols>
    <col min="3" max="3" width="14.3636363636364" customWidth="1"/>
    <col min="4" max="4" width="16.2727272727273" customWidth="1"/>
    <col min="5" max="5" width="15.0909090909091" customWidth="1"/>
  </cols>
  <sheetData>
    <row r="1" spans="1:6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 t="s">
        <v>5</v>
      </c>
    </row>
    <row r="2" spans="1:6">
      <c r="A2" s="2" t="s">
        <v>6</v>
      </c>
      <c r="B2" s="1" t="s">
        <v>12</v>
      </c>
      <c r="C2" s="1" t="str">
        <f>A2&amp;" "&amp;B2</f>
        <v>H2B E113K</v>
      </c>
      <c r="D2" s="2" t="s">
        <v>13</v>
      </c>
      <c r="E2" s="5">
        <v>832.594802101084</v>
      </c>
      <c r="F2" s="4">
        <f>RANK(E2,$E$2:$E$36,0)</f>
        <v>1</v>
      </c>
    </row>
    <row r="3" spans="1:6">
      <c r="A3" s="2" t="s">
        <v>14</v>
      </c>
      <c r="B3" s="1" t="s">
        <v>15</v>
      </c>
      <c r="C3" s="1" t="str">
        <f>A3&amp;" "&amp;B3</f>
        <v>H4 G56D</v>
      </c>
      <c r="D3" s="2" t="s">
        <v>16</v>
      </c>
      <c r="E3" s="5">
        <v>815.945794109812</v>
      </c>
      <c r="F3" s="4">
        <f>RANK(E3,$E$2:$E$36,0)</f>
        <v>2</v>
      </c>
    </row>
    <row r="4" spans="1:6">
      <c r="A4" s="2" t="s">
        <v>9</v>
      </c>
      <c r="B4" s="1" t="s">
        <v>17</v>
      </c>
      <c r="C4" s="1" t="str">
        <f>A4&amp;" "&amp;B4</f>
        <v>H3 R72P</v>
      </c>
      <c r="D4" s="2" t="s">
        <v>18</v>
      </c>
      <c r="E4" s="5">
        <v>792.628883478282</v>
      </c>
      <c r="F4" s="4">
        <f>RANK(E4,$E$2:$E$36,0)</f>
        <v>3</v>
      </c>
    </row>
    <row r="5" spans="1:6">
      <c r="A5" s="2" t="s">
        <v>9</v>
      </c>
      <c r="B5" s="1" t="s">
        <v>19</v>
      </c>
      <c r="C5" s="1" t="str">
        <f>A5&amp;" "&amp;B5</f>
        <v>H3 R72Q</v>
      </c>
      <c r="D5" s="2" t="s">
        <v>20</v>
      </c>
      <c r="E5" s="5">
        <v>766.934266369939</v>
      </c>
      <c r="F5" s="4">
        <f>RANK(E5,$E$2:$E$36,0)</f>
        <v>4</v>
      </c>
    </row>
    <row r="6" spans="1:6">
      <c r="A6" s="2" t="s">
        <v>14</v>
      </c>
      <c r="B6" s="1" t="s">
        <v>21</v>
      </c>
      <c r="C6" s="1" t="str">
        <f>A6&amp;" "&amp;B6</f>
        <v>H4 K79N</v>
      </c>
      <c r="D6" s="2" t="s">
        <v>22</v>
      </c>
      <c r="E6" s="5">
        <v>672.12212148427</v>
      </c>
      <c r="F6" s="4">
        <f>RANK(E6,$E$2:$E$36,0)</f>
        <v>5</v>
      </c>
    </row>
    <row r="7" spans="1:6">
      <c r="A7" s="2" t="s">
        <v>6</v>
      </c>
      <c r="B7" s="1" t="s">
        <v>23</v>
      </c>
      <c r="C7" s="1" t="str">
        <f>A7&amp;" "&amp;B7</f>
        <v>H2B D51N</v>
      </c>
      <c r="D7" s="2" t="s">
        <v>24</v>
      </c>
      <c r="E7" s="5">
        <v>652.313751900957</v>
      </c>
      <c r="F7" s="4">
        <f>RANK(E7,$E$2:$E$36,0)</f>
        <v>6</v>
      </c>
    </row>
    <row r="8" spans="1:6">
      <c r="A8" s="2" t="s">
        <v>27</v>
      </c>
      <c r="B8" s="1" t="s">
        <v>28</v>
      </c>
      <c r="C8" s="1" t="str">
        <f>A8&amp;" "&amp;B8</f>
        <v>H2A N73K</v>
      </c>
      <c r="D8" s="2" t="s">
        <v>29</v>
      </c>
      <c r="E8" s="5">
        <v>640.355630136122</v>
      </c>
      <c r="F8" s="4">
        <f>RANK(E8,$E$2:$E$36,0)</f>
        <v>7</v>
      </c>
    </row>
    <row r="9" spans="1:6">
      <c r="A9" s="2" t="s">
        <v>9</v>
      </c>
      <c r="B9" s="1" t="s">
        <v>32</v>
      </c>
      <c r="C9" s="1" t="str">
        <f>A9&amp;" "&amp;B9</f>
        <v>H3 D77N</v>
      </c>
      <c r="D9" s="2" t="s">
        <v>33</v>
      </c>
      <c r="E9" s="5">
        <v>626.600439951894</v>
      </c>
      <c r="F9" s="4">
        <f>RANK(E9,$E$2:$E$36,0)</f>
        <v>8</v>
      </c>
    </row>
    <row r="10" spans="1:6">
      <c r="A10" s="2" t="s">
        <v>27</v>
      </c>
      <c r="B10" s="1" t="s">
        <v>34</v>
      </c>
      <c r="C10" s="1" t="str">
        <f>A10&amp;" "&amp;B10</f>
        <v>H2A D72G</v>
      </c>
      <c r="D10" s="2" t="s">
        <v>35</v>
      </c>
      <c r="E10" s="5">
        <v>622.555856408702</v>
      </c>
      <c r="F10" s="4">
        <f>RANK(E10,$E$2:$E$36,0)</f>
        <v>9</v>
      </c>
    </row>
    <row r="11" spans="1:6">
      <c r="A11" s="2" t="s">
        <v>14</v>
      </c>
      <c r="B11" s="1" t="s">
        <v>36</v>
      </c>
      <c r="C11" s="1" t="str">
        <f>A11&amp;" "&amp;B11</f>
        <v>H4 K59E</v>
      </c>
      <c r="D11" s="2" t="s">
        <v>37</v>
      </c>
      <c r="E11" s="5">
        <v>596.326260117158</v>
      </c>
      <c r="F11" s="4">
        <f>RANK(E11,$E$2:$E$36,0)</f>
        <v>10</v>
      </c>
    </row>
    <row r="12" spans="1:6">
      <c r="A12" s="2" t="s">
        <v>9</v>
      </c>
      <c r="B12" s="1" t="s">
        <v>38</v>
      </c>
      <c r="C12" s="1" t="str">
        <f>A12&amp;" "&amp;B12</f>
        <v>H3 E73Q</v>
      </c>
      <c r="D12" s="2" t="s">
        <v>39</v>
      </c>
      <c r="E12" s="5">
        <v>587.144494155246</v>
      </c>
      <c r="F12" s="4">
        <f>RANK(E12,$E$2:$E$36,0)</f>
        <v>11</v>
      </c>
    </row>
    <row r="13" spans="1:6">
      <c r="A13" s="2" t="s">
        <v>9</v>
      </c>
      <c r="B13" s="1" t="s">
        <v>40</v>
      </c>
      <c r="C13" s="1" t="str">
        <f>A13&amp;" "&amp;B13</f>
        <v>H3 E73K</v>
      </c>
      <c r="D13" s="2" t="s">
        <v>41</v>
      </c>
      <c r="E13" s="5">
        <v>572.546534919572</v>
      </c>
      <c r="F13" s="4">
        <f>RANK(E13,$E$2:$E$36,0)</f>
        <v>12</v>
      </c>
    </row>
    <row r="14" spans="1:6">
      <c r="A14" s="2" t="s">
        <v>9</v>
      </c>
      <c r="B14" s="1" t="s">
        <v>42</v>
      </c>
      <c r="C14" s="1" t="str">
        <f>A14&amp;" "&amp;B14</f>
        <v>H3 R134S</v>
      </c>
      <c r="D14" s="2" t="s">
        <v>43</v>
      </c>
      <c r="E14" s="5">
        <v>567.661079056209</v>
      </c>
      <c r="F14" s="4">
        <f>RANK(E14,$E$2:$E$36,0)</f>
        <v>13</v>
      </c>
    </row>
    <row r="15" spans="1:6">
      <c r="A15" s="2" t="s">
        <v>9</v>
      </c>
      <c r="B15" s="1" t="s">
        <v>44</v>
      </c>
      <c r="C15" s="1" t="str">
        <f>A15&amp;" "&amp;B15</f>
        <v>H3 R52C</v>
      </c>
      <c r="D15" s="2" t="s">
        <v>45</v>
      </c>
      <c r="E15" s="5">
        <v>560.524767257748</v>
      </c>
      <c r="F15" s="4">
        <f>RANK(E15,$E$2:$E$36,0)</f>
        <v>14</v>
      </c>
    </row>
    <row r="16" spans="1:6">
      <c r="A16" s="2" t="s">
        <v>9</v>
      </c>
      <c r="B16" s="1" t="s">
        <v>46</v>
      </c>
      <c r="C16" s="1" t="str">
        <f>A16&amp;" "&amp;B16</f>
        <v>H3 R134T</v>
      </c>
      <c r="D16" s="2" t="s">
        <v>47</v>
      </c>
      <c r="E16" s="5">
        <v>560.106188506615</v>
      </c>
      <c r="F16" s="4">
        <f>RANK(E16,$E$2:$E$36,0)</f>
        <v>15</v>
      </c>
    </row>
    <row r="17" spans="1:6">
      <c r="A17" s="2" t="s">
        <v>6</v>
      </c>
      <c r="B17" s="1" t="s">
        <v>48</v>
      </c>
      <c r="C17" s="1" t="str">
        <f>A17&amp;" "&amp;B17</f>
        <v>H2B K120E</v>
      </c>
      <c r="D17" s="2" t="s">
        <v>49</v>
      </c>
      <c r="E17" s="5">
        <v>529.23548425855</v>
      </c>
      <c r="F17" s="4">
        <f>RANK(E17,$E$2:$E$36,0)</f>
        <v>16</v>
      </c>
    </row>
    <row r="18" spans="1:6">
      <c r="A18" s="2" t="s">
        <v>14</v>
      </c>
      <c r="B18" s="1" t="s">
        <v>50</v>
      </c>
      <c r="C18" s="1" t="str">
        <f>A18&amp;" "&amp;B18</f>
        <v>H4 E74Q</v>
      </c>
      <c r="D18" s="2" t="s">
        <v>51</v>
      </c>
      <c r="E18" s="5">
        <v>499.395189889355</v>
      </c>
      <c r="F18" s="4">
        <f>RANK(E18,$E$2:$E$36,0)</f>
        <v>17</v>
      </c>
    </row>
    <row r="19" spans="1:6">
      <c r="A19" s="2" t="s">
        <v>9</v>
      </c>
      <c r="B19" s="1" t="s">
        <v>52</v>
      </c>
      <c r="C19" s="1" t="str">
        <f>A19&amp;" "&amp;B19</f>
        <v>H3 R42C</v>
      </c>
      <c r="D19" s="2" t="s">
        <v>53</v>
      </c>
      <c r="E19" s="5">
        <v>485.757674457276</v>
      </c>
      <c r="F19" s="4">
        <f>RANK(E19,$E$2:$E$36,0)</f>
        <v>18</v>
      </c>
    </row>
    <row r="20" spans="1:6">
      <c r="A20" s="2" t="s">
        <v>27</v>
      </c>
      <c r="B20" s="1" t="s">
        <v>54</v>
      </c>
      <c r="C20" s="1" t="str">
        <f>A20&amp;" "&amp;B20</f>
        <v>H2A K95T</v>
      </c>
      <c r="D20" s="2" t="s">
        <v>55</v>
      </c>
      <c r="E20" s="5">
        <v>451.165373462937</v>
      </c>
      <c r="F20" s="4">
        <f>RANK(E20,$E$2:$E$36,0)</f>
        <v>19</v>
      </c>
    </row>
    <row r="21" spans="1:6">
      <c r="A21" s="2" t="s">
        <v>14</v>
      </c>
      <c r="B21" s="1" t="s">
        <v>56</v>
      </c>
      <c r="C21" s="1" t="str">
        <f>A21&amp;" "&amp;B21</f>
        <v>H4 E52Q</v>
      </c>
      <c r="D21" s="2" t="s">
        <v>57</v>
      </c>
      <c r="E21" s="5">
        <v>435.231008981684</v>
      </c>
      <c r="F21" s="4">
        <f>RANK(E21,$E$2:$E$36,0)</f>
        <v>20</v>
      </c>
    </row>
    <row r="22" spans="1:6">
      <c r="A22" s="2" t="s">
        <v>9</v>
      </c>
      <c r="B22" s="1" t="s">
        <v>58</v>
      </c>
      <c r="C22" s="1" t="str">
        <f>A22&amp;" "&amp;B22</f>
        <v>H3 R40C</v>
      </c>
      <c r="D22" s="2" t="s">
        <v>59</v>
      </c>
      <c r="E22" s="5">
        <v>403.853490990756</v>
      </c>
      <c r="F22" s="4">
        <f>RANK(E22,$E$2:$E$36,0)</f>
        <v>21</v>
      </c>
    </row>
    <row r="23" spans="1:6">
      <c r="A23" s="2" t="s">
        <v>9</v>
      </c>
      <c r="B23" s="1" t="s">
        <v>60</v>
      </c>
      <c r="C23" s="1" t="str">
        <f>A23&amp;" "&amp;B23</f>
        <v>H3 R129C</v>
      </c>
      <c r="D23" s="2" t="s">
        <v>61</v>
      </c>
      <c r="E23" s="5">
        <v>389.521536677233</v>
      </c>
      <c r="F23" s="4">
        <f>RANK(E23,$E$2:$E$36,0)</f>
        <v>22</v>
      </c>
    </row>
    <row r="24" spans="1:6">
      <c r="A24" s="2" t="s">
        <v>14</v>
      </c>
      <c r="B24" s="1" t="s">
        <v>62</v>
      </c>
      <c r="C24" s="1" t="str">
        <f>A24&amp;" "&amp;B24</f>
        <v>H4 R67P</v>
      </c>
      <c r="D24" s="2" t="s">
        <v>63</v>
      </c>
      <c r="E24" s="5">
        <v>364.277372367122</v>
      </c>
      <c r="F24" s="4">
        <f>RANK(E24,$E$2:$E$36,0)</f>
        <v>23</v>
      </c>
    </row>
    <row r="25" spans="1:6">
      <c r="A25" s="2" t="s">
        <v>9</v>
      </c>
      <c r="B25" s="1" t="s">
        <v>64</v>
      </c>
      <c r="C25" s="1" t="str">
        <f>A25&amp;" "&amp;B25</f>
        <v>H3 Q125K</v>
      </c>
      <c r="D25" s="2" t="s">
        <v>65</v>
      </c>
      <c r="E25" s="5">
        <v>361.00825520137</v>
      </c>
      <c r="F25" s="4">
        <f>RANK(E25,$E$2:$E$36,0)</f>
        <v>24</v>
      </c>
    </row>
    <row r="26" spans="1:6">
      <c r="A26" s="2" t="s">
        <v>9</v>
      </c>
      <c r="B26" s="1" t="s">
        <v>66</v>
      </c>
      <c r="C26" s="1" t="str">
        <f>A26&amp;" "&amp;B26</f>
        <v>H3 R40G</v>
      </c>
      <c r="D26" s="2" t="s">
        <v>67</v>
      </c>
      <c r="E26" s="5">
        <v>327.371752205769</v>
      </c>
      <c r="F26" s="4">
        <f>RANK(E26,$E$2:$E$36,0)</f>
        <v>25</v>
      </c>
    </row>
    <row r="27" spans="1:6">
      <c r="A27" s="2" t="s">
        <v>27</v>
      </c>
      <c r="B27" s="1" t="s">
        <v>68</v>
      </c>
      <c r="C27" s="1" t="str">
        <f>A27&amp;" "&amp;B27</f>
        <v>H2A K74N</v>
      </c>
      <c r="D27" s="2" t="s">
        <v>69</v>
      </c>
      <c r="E27" s="5">
        <v>312.759404659168</v>
      </c>
      <c r="F27" s="4">
        <f>RANK(E27,$E$2:$E$36,0)</f>
        <v>26</v>
      </c>
    </row>
    <row r="28" spans="1:6">
      <c r="A28" s="2" t="s">
        <v>9</v>
      </c>
      <c r="B28" s="1" t="s">
        <v>70</v>
      </c>
      <c r="C28" s="1" t="str">
        <f>A28&amp;" "&amp;B28</f>
        <v>H3 R129Q</v>
      </c>
      <c r="D28" s="2" t="s">
        <v>71</v>
      </c>
      <c r="E28" s="5">
        <v>242.27430614901</v>
      </c>
      <c r="F28" s="4">
        <f>RANK(E28,$E$2:$E$36,0)</f>
        <v>27</v>
      </c>
    </row>
    <row r="29" spans="1:6">
      <c r="A29" s="2" t="s">
        <v>9</v>
      </c>
      <c r="B29" s="1" t="s">
        <v>72</v>
      </c>
      <c r="C29" s="1" t="str">
        <f>A29&amp;" "&amp;B29</f>
        <v>H3 D81N</v>
      </c>
      <c r="D29" s="2" t="s">
        <v>73</v>
      </c>
      <c r="E29" s="5">
        <v>239.463139602081</v>
      </c>
      <c r="F29" s="4">
        <f>RANK(E29,$E$2:$E$36,0)</f>
        <v>28</v>
      </c>
    </row>
    <row r="30" spans="1:6">
      <c r="A30" s="2" t="s">
        <v>6</v>
      </c>
      <c r="B30" s="1" t="s">
        <v>74</v>
      </c>
      <c r="C30" s="1" t="str">
        <f>A30&amp;" "&amp;B30</f>
        <v>H2B E113Q</v>
      </c>
      <c r="D30" s="2" t="s">
        <v>75</v>
      </c>
      <c r="E30" s="5">
        <v>215.506682682645</v>
      </c>
      <c r="F30" s="4">
        <f>RANK(E30,$E$2:$E$36,0)</f>
        <v>29</v>
      </c>
    </row>
    <row r="31" spans="1:6">
      <c r="A31" s="2" t="s">
        <v>9</v>
      </c>
      <c r="B31" s="1" t="s">
        <v>76</v>
      </c>
      <c r="C31" s="1" t="str">
        <f>A31&amp;" "&amp;B31</f>
        <v>H3 D77H</v>
      </c>
      <c r="D31" s="2" t="s">
        <v>77</v>
      </c>
      <c r="E31" s="5">
        <v>191.868259786005</v>
      </c>
      <c r="F31" s="4">
        <f>RANK(E31,$E$2:$E$36,0)</f>
        <v>30</v>
      </c>
    </row>
    <row r="32" spans="1:6">
      <c r="A32" s="2" t="s">
        <v>6</v>
      </c>
      <c r="B32" s="1" t="s">
        <v>78</v>
      </c>
      <c r="C32" s="1" t="str">
        <f>A32&amp;" "&amp;B32</f>
        <v>H2B Q47H</v>
      </c>
      <c r="D32" s="2" t="s">
        <v>79</v>
      </c>
      <c r="E32" s="5">
        <v>191.749539077087</v>
      </c>
      <c r="F32" s="4">
        <f>RANK(E32,$E$2:$E$36,0)</f>
        <v>31</v>
      </c>
    </row>
    <row r="33" spans="1:6">
      <c r="A33" s="2" t="s">
        <v>9</v>
      </c>
      <c r="B33" s="1" t="s">
        <v>80</v>
      </c>
      <c r="C33" s="1" t="str">
        <f>A33&amp;" "&amp;B33</f>
        <v>H3 D81H</v>
      </c>
      <c r="D33" s="2" t="s">
        <v>81</v>
      </c>
      <c r="E33" s="5">
        <v>175.40865077045</v>
      </c>
      <c r="F33" s="4">
        <f>RANK(E33,$E$2:$E$36,0)</f>
        <v>32</v>
      </c>
    </row>
    <row r="34" spans="1:6">
      <c r="A34" s="2" t="s">
        <v>9</v>
      </c>
      <c r="B34" s="1" t="s">
        <v>82</v>
      </c>
      <c r="C34" s="1" t="str">
        <f>A34&amp;" "&amp;B34</f>
        <v>H3 Q125H</v>
      </c>
      <c r="D34" s="2" t="s">
        <v>83</v>
      </c>
      <c r="E34" s="5">
        <v>152.84091877816</v>
      </c>
      <c r="F34" s="4">
        <f>RANK(E34,$E$2:$E$36,0)</f>
        <v>33</v>
      </c>
    </row>
    <row r="35" spans="1:6">
      <c r="A35" s="2" t="s">
        <v>27</v>
      </c>
      <c r="B35" s="1" t="s">
        <v>84</v>
      </c>
      <c r="C35" s="1" t="str">
        <f>A35&amp;" "&amp;B35</f>
        <v>H2A E61K</v>
      </c>
      <c r="D35" s="2" t="s">
        <v>85</v>
      </c>
      <c r="E35" s="5">
        <v>132.418218575493</v>
      </c>
      <c r="F35" s="4">
        <f>RANK(E35,$E$2:$E$36,0)</f>
        <v>34</v>
      </c>
    </row>
    <row r="36" spans="1:6">
      <c r="A36" s="2" t="s">
        <v>6</v>
      </c>
      <c r="B36" s="1" t="s">
        <v>86</v>
      </c>
      <c r="C36" s="1" t="str">
        <f>A36&amp;" "&amp;B36</f>
        <v>H2B Q47E</v>
      </c>
      <c r="D36" s="2" t="s">
        <v>87</v>
      </c>
      <c r="E36" s="5">
        <v>32.5196443013723</v>
      </c>
      <c r="F36" s="4">
        <f>RANK(E36,$E$2:$E$36,0)</f>
        <v>35</v>
      </c>
    </row>
  </sheetData>
  <autoFilter xmlns:etc="http://www.wps.cn/officeDocument/2017/etCustomData" ref="A1:F36" etc:filterBottomFollowUsedRange="0">
    <sortState ref="A1:F36">
      <sortCondition ref="F1:F50"/>
    </sortState>
    <extLst/>
  </autoFilter>
  <pageMargins left="0.75" right="0.75" top="1" bottom="1" header="0.511805555555556" footer="0.511805555555556"/>
  <pageSetup paperSize="9" orientation="portrait"/>
  <headerFooter alignWithMargins="0" scaleWithDoc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16" sqref="C16"/>
    </sheetView>
  </sheetViews>
  <sheetFormatPr defaultColWidth="9" defaultRowHeight="19.8"/>
  <sheetData/>
  <pageMargins left="0.75" right="0.75" top="1" bottom="1" header="0.511805555555556" footer="0.511805555555556"/>
  <pageSetup paperSize="9" orientation="portrait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Office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RMS</vt:lpstr>
      <vt:lpstr>RMS-without_HIP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wps</dc:creator>
  <cp:lastModifiedBy>张后芳</cp:lastModifiedBy>
  <dcterms:created xsi:type="dcterms:W3CDTF">2018-05-28T11:28:00Z</dcterms:created>
  <dcterms:modified xsi:type="dcterms:W3CDTF">2025-11-28T16:54:26Z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2052-12.1.2.23578</vt:lpwstr>
  </property>
  <property fmtid="{D5CDD505-2E9C-101B-9397-08002B2CF9AE}" pid="3" name="ICV">
    <vt:lpwstr>2F9C378E3E425690E0C201697DFE1115_43</vt:lpwstr>
  </property>
</Properties>
</file>