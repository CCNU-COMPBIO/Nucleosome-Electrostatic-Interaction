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355" windowHeight="9420" firstSheet="1" activeTab="4"/>
  </bookViews>
  <sheets>
    <sheet name="3MVD" sheetId="32" r:id="rId1"/>
    <sheet name="3TU4" sheetId="33" r:id="rId2"/>
    <sheet name="5KGF" sheetId="34" r:id="rId3"/>
    <sheet name="7Y7I" sheetId="35" r:id="rId4"/>
    <sheet name="8GRM" sheetId="36" r:id="rId5"/>
  </sheets>
  <definedNames>
    <definedName name="_xlnm._FilterDatabase" localSheetId="0" hidden="1">'3MVD'!$A$1:$R$36</definedName>
    <definedName name="_xlnm._FilterDatabase" localSheetId="1" hidden="1">'3TU4'!$A$1:$R$61</definedName>
    <definedName name="_xlnm._FilterDatabase" localSheetId="2" hidden="1">'5KGF'!$A$1:$R$41</definedName>
    <definedName name="_xlnm._FilterDatabase" localSheetId="3" hidden="1">'7Y7I'!$A$1:$R$68</definedName>
    <definedName name="_xlnm._FilterDatabase" localSheetId="4" hidden="1">'8GRM'!$A$1:$R$36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<sst xmlns="http://schemas.openxmlformats.org/spreadsheetml/2006/main" count="2934" uniqueCount="205">
  <si>
    <t>PDB</t>
  </si>
  <si>
    <t>Mutation-chain</t>
  </si>
  <si>
    <t>mutation</t>
  </si>
  <si>
    <t>histone_mutation</t>
  </si>
  <si>
    <t>Donor-Acceptor</t>
  </si>
  <si>
    <t>Hbond</t>
  </si>
  <si>
    <t>Occupancy</t>
  </si>
  <si>
    <t>Donor_residue</t>
  </si>
  <si>
    <t>Donor</t>
  </si>
  <si>
    <t>Donor_site</t>
  </si>
  <si>
    <t>Donor_strusture_chain</t>
  </si>
  <si>
    <t>Donor_strusture_site</t>
  </si>
  <si>
    <t>Acceptor_residue</t>
  </si>
  <si>
    <t>Acceptor</t>
  </si>
  <si>
    <t>Acceptor_site</t>
  </si>
  <si>
    <t>Acceptor_strusture_chain</t>
  </si>
  <si>
    <t>histone_type</t>
  </si>
  <si>
    <t>Acceptor_strusture_site</t>
  </si>
  <si>
    <t>3MVD</t>
  </si>
  <si>
    <t>WT</t>
  </si>
  <si>
    <t>ARG1249-Side - ASP640-Side</t>
  </si>
  <si>
    <t>R</t>
  </si>
  <si>
    <t>ARG1249</t>
  </si>
  <si>
    <t>K</t>
  </si>
  <si>
    <t>D</t>
  </si>
  <si>
    <t>ASP640</t>
  </si>
  <si>
    <t>G</t>
  </si>
  <si>
    <t>H2A</t>
  </si>
  <si>
    <t>ARG1242-Side - GLU611-Side</t>
  </si>
  <si>
    <t>ARG1242</t>
  </si>
  <si>
    <t>E</t>
  </si>
  <si>
    <t>GLU611</t>
  </si>
  <si>
    <t>ARG1249-Side - GLU611-Side</t>
  </si>
  <si>
    <t>ARG1242-Side - GLU614-Side</t>
  </si>
  <si>
    <t>GLU614</t>
  </si>
  <si>
    <t>SER1240-Side - GLU614-Side</t>
  </si>
  <si>
    <t>S</t>
  </si>
  <si>
    <t>SER1240</t>
  </si>
  <si>
    <t>ARG1265-Side - DG1038-Side</t>
  </si>
  <si>
    <t>ARG1265</t>
  </si>
  <si>
    <t>DG</t>
  </si>
  <si>
    <t>DG1038</t>
  </si>
  <si>
    <t>J</t>
  </si>
  <si>
    <t>DNA</t>
  </si>
  <si>
    <t>ARG1250-Side - GLU614-Side</t>
  </si>
  <si>
    <t>ARG1250</t>
  </si>
  <si>
    <t>D72G</t>
  </si>
  <si>
    <t>H2A D72G</t>
  </si>
  <si>
    <t>E61K</t>
  </si>
  <si>
    <t>H2A E61K</t>
  </si>
  <si>
    <t>K74N</t>
  </si>
  <si>
    <t>H2A K74N</t>
  </si>
  <si>
    <t>H</t>
  </si>
  <si>
    <t>D48N</t>
  </si>
  <si>
    <t>H2B D48N</t>
  </si>
  <si>
    <t>Q44E</t>
  </si>
  <si>
    <t>H2B Q44E</t>
  </si>
  <si>
    <t>3TU4</t>
  </si>
  <si>
    <t>ARG1092-Side - GLU622-Side</t>
  </si>
  <si>
    <t>ARG1092</t>
  </si>
  <si>
    <t>L</t>
  </si>
  <si>
    <t>GLU622</t>
  </si>
  <si>
    <t>ASN1143-Side - GLU544-Main</t>
  </si>
  <si>
    <t>N</t>
  </si>
  <si>
    <t>ASN1143</t>
  </si>
  <si>
    <t>GLU544</t>
  </si>
  <si>
    <t>F</t>
  </si>
  <si>
    <t>H4</t>
  </si>
  <si>
    <t>ARG1091-Side - GLU625-Side</t>
  </si>
  <si>
    <t>ARG1091</t>
  </si>
  <si>
    <t>GLU625</t>
  </si>
  <si>
    <t>ARG1273-Side - ASP494-Side</t>
  </si>
  <si>
    <t>ARG1273</t>
  </si>
  <si>
    <t>ASP494</t>
  </si>
  <si>
    <t>ARG1092-Side - ASP651-Side</t>
  </si>
  <si>
    <t>ASP651</t>
  </si>
  <si>
    <t>ARG740-Side - ASN1143-Side</t>
  </si>
  <si>
    <t>ARG740</t>
  </si>
  <si>
    <t>H2B</t>
  </si>
  <si>
    <t>ARG493-Side - GLU1241-Side</t>
  </si>
  <si>
    <t>ARG493</t>
  </si>
  <si>
    <t>GLU1241</t>
  </si>
  <si>
    <t>LYS486-Side - GLU1158-Side</t>
  </si>
  <si>
    <t>LYS486</t>
  </si>
  <si>
    <t>GLU1158</t>
  </si>
  <si>
    <t>ARG493-Side - LYS1272-Main</t>
  </si>
  <si>
    <t>LYS1272</t>
  </si>
  <si>
    <t>THR428-Side - GLU1203-Side</t>
  </si>
  <si>
    <t>T</t>
  </si>
  <si>
    <t>THR428</t>
  </si>
  <si>
    <t>GLU1203</t>
  </si>
  <si>
    <t>H3</t>
  </si>
  <si>
    <t>ARG1093-Side - GLU625-Side</t>
  </si>
  <si>
    <t>ARG1093</t>
  </si>
  <si>
    <t>D77N</t>
  </si>
  <si>
    <t>H3 D77N</t>
  </si>
  <si>
    <t>E74Q</t>
  </si>
  <si>
    <t>H4 E74Q</t>
  </si>
  <si>
    <t>ARG1091-Main - GLU625-Side</t>
  </si>
  <si>
    <t>ARG1092-Main - GLU625-Side</t>
  </si>
  <si>
    <t>E110K</t>
  </si>
  <si>
    <t>H2B E110K</t>
  </si>
  <si>
    <t>E110Q</t>
  </si>
  <si>
    <t>H2B E110Q</t>
  </si>
  <si>
    <t>5KGF</t>
  </si>
  <si>
    <t>ARG1175-Side - ASP664-Side</t>
  </si>
  <si>
    <t>ARG1175</t>
  </si>
  <si>
    <t>ASP664</t>
  </si>
  <si>
    <t>GLN762-Side - LYS1161-Main</t>
  </si>
  <si>
    <t>Q</t>
  </si>
  <si>
    <t>GLN762</t>
  </si>
  <si>
    <t>LYS1161</t>
  </si>
  <si>
    <t>ARG1175-Side - GLU635-Side</t>
  </si>
  <si>
    <t>GLU635</t>
  </si>
  <si>
    <t>ARG1175-Side - GLU666-Side</t>
  </si>
  <si>
    <t>GLU666</t>
  </si>
  <si>
    <t>THR1160-Main - PHE441-Main</t>
  </si>
  <si>
    <t>THR1160</t>
  </si>
  <si>
    <t>PHE441</t>
  </si>
  <si>
    <t>THR1160-Side - GLU554-Side</t>
  </si>
  <si>
    <t>GLU554</t>
  </si>
  <si>
    <t>ARG1178-Side - GLU666-Side</t>
  </si>
  <si>
    <t>ARG1178</t>
  </si>
  <si>
    <t>LYS1176-Side - GLU638-Side</t>
  </si>
  <si>
    <t>LYS1176</t>
  </si>
  <si>
    <t>GLU638</t>
  </si>
  <si>
    <t>GLN762-Side - ASP1164-Main</t>
  </si>
  <si>
    <t>ASP1164</t>
  </si>
  <si>
    <t>ARG1154-Side - LYS792-Main</t>
  </si>
  <si>
    <t>ARG1154</t>
  </si>
  <si>
    <t>O</t>
  </si>
  <si>
    <t>LYS792</t>
  </si>
  <si>
    <t>LEU1155-Main - SER790-Main</t>
  </si>
  <si>
    <t>LEU1155</t>
  </si>
  <si>
    <t>SER790</t>
  </si>
  <si>
    <t>K117E</t>
  </si>
  <si>
    <t>H2B K117E</t>
  </si>
  <si>
    <t>7Y7I</t>
  </si>
  <si>
    <t>ARG1049-Side - ASP262-Side</t>
  </si>
  <si>
    <t>ARG1049</t>
  </si>
  <si>
    <t>ASP262</t>
  </si>
  <si>
    <t>C</t>
  </si>
  <si>
    <t>ARG1062-Side - GLU143-Side</t>
  </si>
  <si>
    <t>ARG1062</t>
  </si>
  <si>
    <t>GLU143</t>
  </si>
  <si>
    <t>B</t>
  </si>
  <si>
    <t>SER1047-Side - GLU233-Side</t>
  </si>
  <si>
    <t>SER1047</t>
  </si>
  <si>
    <t>GLU233</t>
  </si>
  <si>
    <t>ARG1049-Side - GLU233-Side</t>
  </si>
  <si>
    <t>ARG1067-Main - PHE41-Main</t>
  </si>
  <si>
    <t>ARG1067</t>
  </si>
  <si>
    <t>P</t>
  </si>
  <si>
    <t>PHE41</t>
  </si>
  <si>
    <t>A</t>
  </si>
  <si>
    <t>ARG1067-Side - GLU154-Side</t>
  </si>
  <si>
    <t>GLU154</t>
  </si>
  <si>
    <t>ARG43-Side - ASP1066-Side</t>
  </si>
  <si>
    <t>ARG43</t>
  </si>
  <si>
    <t>ASP1066</t>
  </si>
  <si>
    <t>ARG1046-Side - GLU236-Side</t>
  </si>
  <si>
    <t>ARG1046</t>
  </si>
  <si>
    <t>GLU236</t>
  </si>
  <si>
    <t>GLU263-Main - LYS1052-Main</t>
  </si>
  <si>
    <t>GLU263</t>
  </si>
  <si>
    <t>LYS1052</t>
  </si>
  <si>
    <t>LEU1055-Main - GLU263-Side</t>
  </si>
  <si>
    <t>LEU1055</t>
  </si>
  <si>
    <t>THR1045-Side - GLU233-Side</t>
  </si>
  <si>
    <t>THR1045</t>
  </si>
  <si>
    <t>R67P</t>
  </si>
  <si>
    <t>H4 R67P</t>
  </si>
  <si>
    <t>E62K</t>
  </si>
  <si>
    <t>H2A E62K</t>
  </si>
  <si>
    <t>Q47E</t>
  </si>
  <si>
    <t>H2B Q47E</t>
  </si>
  <si>
    <t>Q47HIP</t>
  </si>
  <si>
    <t>H2B Q47HIP</t>
  </si>
  <si>
    <t>Q47H</t>
  </si>
  <si>
    <t>H2B Q47H</t>
  </si>
  <si>
    <t>8GRM</t>
  </si>
  <si>
    <t>ARG955-Side - ASP647-Side</t>
  </si>
  <si>
    <t>ARG955</t>
  </si>
  <si>
    <t>ASP647</t>
  </si>
  <si>
    <t>ARG834-Side - GLU421-Side</t>
  </si>
  <si>
    <t>ARG834</t>
  </si>
  <si>
    <t>M</t>
  </si>
  <si>
    <t>GLU421</t>
  </si>
  <si>
    <t>THR833-Side - GLN424-Main</t>
  </si>
  <si>
    <t>THR833</t>
  </si>
  <si>
    <t>GLN424</t>
  </si>
  <si>
    <t>ARG955-Side - GLU618-Side</t>
  </si>
  <si>
    <t>GLU618</t>
  </si>
  <si>
    <t>ARG834-Side - ASP425-Side</t>
  </si>
  <si>
    <t>ASP425</t>
  </si>
  <si>
    <t>ARG938-Side - ASP629-Side</t>
  </si>
  <si>
    <t>ARG938</t>
  </si>
  <si>
    <t>ASP629</t>
  </si>
  <si>
    <t>LYS832-Side - GLU539-Side</t>
  </si>
  <si>
    <t>LYS832</t>
  </si>
  <si>
    <t>GLU539</t>
  </si>
  <si>
    <t>D77HIP</t>
  </si>
  <si>
    <t>H3 D77HIP</t>
  </si>
  <si>
    <t>D77H</t>
  </si>
  <si>
    <t>H3 D77H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</si>
</sst>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"/>
  <sheetViews>
    <sheetView zoomScale="55" zoomScaleNormal="55" workbookViewId="0">
      <selection activeCell="A1" sqref="A1:R36"/>
    </sheetView>
  </sheetViews>
  <sheetFormatPr defaultColWidth="8.8" defaultRowHeight="18"/>
  <cols>
    <col min="1" max="1" width="7" customWidth="1"/>
    <col min="2" max="2" width="16.4" customWidth="1"/>
    <col min="3" max="3" width="9.9" customWidth="1"/>
    <col min="4" max="4" width="18.6" customWidth="1"/>
    <col min="5" max="5" width="27.9" customWidth="1"/>
    <col min="6" max="6" width="15.5" customWidth="1"/>
    <col min="7" max="7" width="11.8" customWidth="1"/>
    <col min="8" max="8" width="15.7" style="1" customWidth="1"/>
    <col min="9" max="9" width="9.2" customWidth="1"/>
    <col min="10" max="10" width="11.7" customWidth="1"/>
    <col min="11" max="11" width="23.7" customWidth="1"/>
    <col min="12" max="12" width="21.7" customWidth="1"/>
    <col min="13" max="13" width="17.9" style="1" customWidth="1"/>
    <col min="14" max="14" width="9.5" customWidth="1"/>
    <col min="15" max="15" width="14.2" customWidth="1"/>
    <col min="16" max="16" width="26.4" customWidth="1"/>
    <col min="17" max="17" width="13.4" customWidth="1"/>
    <col min="18" max="18" width="24.4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4" t="s">
        <v>18</v>
      </c>
      <c r="B2" s="4" t="s">
        <v>19</v>
      </c>
      <c r="C2" s="4" t="s">
        <v>19</v>
      </c>
      <c r="D2" s="4" t="s">
        <v>19</v>
      </c>
      <c r="E2" s="4" t="s">
        <v>20</v>
      </c>
      <c r="F2" s="3" t="str">
        <f>Q2&amp;":"&amp;M2&amp;R2&amp;"-"&amp;H2&amp;L2</f>
        <v>H2A:D90-R223</v>
      </c>
      <c r="G2" s="4">
        <v>0.9204</v>
      </c>
      <c r="H2" s="3" t="s">
        <v>21</v>
      </c>
      <c r="I2" s="4" t="s">
        <v>22</v>
      </c>
      <c r="J2" s="5">
        <v>1249</v>
      </c>
      <c r="K2" s="4" t="s">
        <v>23</v>
      </c>
      <c r="L2" s="4">
        <v>223</v>
      </c>
      <c r="M2" s="3" t="s">
        <v>24</v>
      </c>
      <c r="N2" s="4" t="s">
        <v>25</v>
      </c>
      <c r="O2" s="5">
        <v>640</v>
      </c>
      <c r="P2" s="4" t="s">
        <v>26</v>
      </c>
      <c r="Q2" s="4" t="s">
        <v>27</v>
      </c>
      <c r="R2" s="4">
        <v>90</v>
      </c>
    </row>
    <row r="3" spans="1:18">
      <c r="A3" s="4" t="s">
        <v>18</v>
      </c>
      <c r="B3" s="4" t="s">
        <v>19</v>
      </c>
      <c r="C3" s="4" t="s">
        <v>19</v>
      </c>
      <c r="D3" s="4" t="s">
        <v>19</v>
      </c>
      <c r="E3" s="4" t="s">
        <v>28</v>
      </c>
      <c r="F3" s="3" t="str">
        <f t="shared" ref="F3:F36" si="0">Q3&amp;":"&amp;M3&amp;R3&amp;"-"&amp;H3&amp;L3</f>
        <v>H2A:E61-R216</v>
      </c>
      <c r="G3" s="4">
        <v>0.8019</v>
      </c>
      <c r="H3" s="3" t="s">
        <v>21</v>
      </c>
      <c r="I3" s="4" t="s">
        <v>29</v>
      </c>
      <c r="J3" s="5">
        <v>1242</v>
      </c>
      <c r="K3" s="4" t="s">
        <v>23</v>
      </c>
      <c r="L3" s="4">
        <v>216</v>
      </c>
      <c r="M3" s="3" t="s">
        <v>30</v>
      </c>
      <c r="N3" s="4" t="s">
        <v>31</v>
      </c>
      <c r="O3" s="5">
        <v>611</v>
      </c>
      <c r="P3" s="4" t="s">
        <v>26</v>
      </c>
      <c r="Q3" s="4" t="s">
        <v>27</v>
      </c>
      <c r="R3" s="4">
        <v>61</v>
      </c>
    </row>
    <row r="4" spans="1:18">
      <c r="A4" s="4" t="s">
        <v>18</v>
      </c>
      <c r="B4" s="4" t="s">
        <v>19</v>
      </c>
      <c r="C4" s="4" t="s">
        <v>19</v>
      </c>
      <c r="D4" s="4" t="s">
        <v>19</v>
      </c>
      <c r="E4" s="4" t="s">
        <v>32</v>
      </c>
      <c r="F4" s="3" t="str">
        <f t="shared" si="0"/>
        <v>H2A:E61-R223</v>
      </c>
      <c r="G4" s="4">
        <v>0.7833</v>
      </c>
      <c r="H4" s="3" t="s">
        <v>21</v>
      </c>
      <c r="I4" s="4" t="s">
        <v>22</v>
      </c>
      <c r="J4" s="5">
        <v>1249</v>
      </c>
      <c r="K4" s="4" t="s">
        <v>23</v>
      </c>
      <c r="L4" s="4">
        <v>223</v>
      </c>
      <c r="M4" s="3" t="s">
        <v>30</v>
      </c>
      <c r="N4" s="4" t="s">
        <v>31</v>
      </c>
      <c r="O4" s="5">
        <v>611</v>
      </c>
      <c r="P4" s="4" t="s">
        <v>26</v>
      </c>
      <c r="Q4" s="4" t="s">
        <v>27</v>
      </c>
      <c r="R4" s="4">
        <v>61</v>
      </c>
    </row>
    <row r="5" spans="1:18">
      <c r="A5" s="4" t="s">
        <v>18</v>
      </c>
      <c r="B5" s="4" t="s">
        <v>19</v>
      </c>
      <c r="C5" s="4" t="s">
        <v>19</v>
      </c>
      <c r="D5" s="4" t="s">
        <v>19</v>
      </c>
      <c r="E5" s="4" t="s">
        <v>33</v>
      </c>
      <c r="F5" s="3" t="str">
        <f t="shared" si="0"/>
        <v>H2A:E64-R216</v>
      </c>
      <c r="G5" s="4">
        <v>0.7296</v>
      </c>
      <c r="H5" s="3" t="s">
        <v>21</v>
      </c>
      <c r="I5" s="4" t="s">
        <v>29</v>
      </c>
      <c r="J5" s="5">
        <v>1242</v>
      </c>
      <c r="K5" s="4" t="s">
        <v>23</v>
      </c>
      <c r="L5" s="4">
        <v>216</v>
      </c>
      <c r="M5" s="3" t="s">
        <v>30</v>
      </c>
      <c r="N5" s="4" t="s">
        <v>34</v>
      </c>
      <c r="O5" s="5">
        <v>614</v>
      </c>
      <c r="P5" s="4" t="s">
        <v>26</v>
      </c>
      <c r="Q5" s="4" t="s">
        <v>27</v>
      </c>
      <c r="R5" s="4">
        <v>64</v>
      </c>
    </row>
    <row r="6" spans="1:18">
      <c r="A6" s="4" t="s">
        <v>18</v>
      </c>
      <c r="B6" s="4" t="s">
        <v>19</v>
      </c>
      <c r="C6" s="4" t="s">
        <v>19</v>
      </c>
      <c r="D6" s="4" t="s">
        <v>19</v>
      </c>
      <c r="E6" s="4" t="s">
        <v>35</v>
      </c>
      <c r="F6" s="3" t="str">
        <f t="shared" si="0"/>
        <v>H2A:E64-S214</v>
      </c>
      <c r="G6" s="4">
        <v>0.6167</v>
      </c>
      <c r="H6" s="3" t="s">
        <v>36</v>
      </c>
      <c r="I6" s="4" t="s">
        <v>37</v>
      </c>
      <c r="J6" s="5">
        <v>1240</v>
      </c>
      <c r="K6" s="4" t="s">
        <v>23</v>
      </c>
      <c r="L6" s="4">
        <v>214</v>
      </c>
      <c r="M6" s="3" t="s">
        <v>30</v>
      </c>
      <c r="N6" s="4" t="s">
        <v>34</v>
      </c>
      <c r="O6" s="5">
        <v>614</v>
      </c>
      <c r="P6" s="4" t="s">
        <v>26</v>
      </c>
      <c r="Q6" s="4" t="s">
        <v>27</v>
      </c>
      <c r="R6" s="4">
        <v>64</v>
      </c>
    </row>
    <row r="7" spans="1:18">
      <c r="A7" s="4" t="s">
        <v>18</v>
      </c>
      <c r="B7" s="4" t="s">
        <v>19</v>
      </c>
      <c r="C7" s="4" t="s">
        <v>19</v>
      </c>
      <c r="D7" s="4" t="s">
        <v>19</v>
      </c>
      <c r="E7" s="4" t="s">
        <v>38</v>
      </c>
      <c r="F7" s="3" t="str">
        <f t="shared" si="0"/>
        <v>DNA:DG131-R239</v>
      </c>
      <c r="G7" s="4">
        <v>0.5037</v>
      </c>
      <c r="H7" s="3" t="s">
        <v>21</v>
      </c>
      <c r="I7" s="4" t="s">
        <v>39</v>
      </c>
      <c r="J7" s="5">
        <v>1265</v>
      </c>
      <c r="K7" s="4" t="s">
        <v>23</v>
      </c>
      <c r="L7" s="4">
        <v>239</v>
      </c>
      <c r="M7" s="3" t="s">
        <v>40</v>
      </c>
      <c r="N7" s="4" t="s">
        <v>41</v>
      </c>
      <c r="O7" s="5">
        <v>1038</v>
      </c>
      <c r="P7" s="4" t="s">
        <v>42</v>
      </c>
      <c r="Q7" s="4" t="s">
        <v>43</v>
      </c>
      <c r="R7" s="4">
        <v>131</v>
      </c>
    </row>
    <row r="8" spans="1:18">
      <c r="A8" s="4" t="s">
        <v>18</v>
      </c>
      <c r="B8" s="4" t="s">
        <v>19</v>
      </c>
      <c r="C8" s="4" t="s">
        <v>19</v>
      </c>
      <c r="D8" s="4" t="s">
        <v>19</v>
      </c>
      <c r="E8" s="4" t="s">
        <v>44</v>
      </c>
      <c r="F8" s="3" t="str">
        <f t="shared" si="0"/>
        <v>H2A:E64-R224</v>
      </c>
      <c r="G8" s="4">
        <v>0.2685</v>
      </c>
      <c r="H8" s="3" t="s">
        <v>21</v>
      </c>
      <c r="I8" s="4" t="s">
        <v>45</v>
      </c>
      <c r="J8" s="5">
        <v>1250</v>
      </c>
      <c r="K8" s="4" t="s">
        <v>23</v>
      </c>
      <c r="L8" s="4">
        <v>224</v>
      </c>
      <c r="M8" s="3" t="s">
        <v>30</v>
      </c>
      <c r="N8" s="4" t="s">
        <v>34</v>
      </c>
      <c r="O8" s="5">
        <v>614</v>
      </c>
      <c r="P8" s="4" t="s">
        <v>26</v>
      </c>
      <c r="Q8" s="4" t="s">
        <v>27</v>
      </c>
      <c r="R8" s="4">
        <v>64</v>
      </c>
    </row>
    <row r="9" spans="1:18">
      <c r="A9" s="4" t="s">
        <v>18</v>
      </c>
      <c r="B9" s="4" t="s">
        <v>26</v>
      </c>
      <c r="C9" s="4" t="s">
        <v>46</v>
      </c>
      <c r="D9" s="4" t="s">
        <v>47</v>
      </c>
      <c r="E9" s="4" t="s">
        <v>20</v>
      </c>
      <c r="F9" s="3" t="str">
        <f t="shared" si="0"/>
        <v>H2A:D90-R223</v>
      </c>
      <c r="G9" s="4">
        <v>0.9227</v>
      </c>
      <c r="H9" s="3" t="s">
        <v>21</v>
      </c>
      <c r="I9" s="4" t="s">
        <v>22</v>
      </c>
      <c r="J9" s="5">
        <v>1249</v>
      </c>
      <c r="K9" s="4" t="s">
        <v>23</v>
      </c>
      <c r="L9" s="4">
        <v>223</v>
      </c>
      <c r="M9" s="3" t="s">
        <v>24</v>
      </c>
      <c r="N9" s="4" t="s">
        <v>25</v>
      </c>
      <c r="O9" s="5">
        <v>640</v>
      </c>
      <c r="P9" s="4" t="s">
        <v>26</v>
      </c>
      <c r="Q9" s="4" t="s">
        <v>27</v>
      </c>
      <c r="R9" s="4">
        <v>90</v>
      </c>
    </row>
    <row r="10" spans="1:18">
      <c r="A10" s="4" t="s">
        <v>18</v>
      </c>
      <c r="B10" s="4" t="s">
        <v>26</v>
      </c>
      <c r="C10" s="4" t="s">
        <v>46</v>
      </c>
      <c r="D10" s="4" t="s">
        <v>47</v>
      </c>
      <c r="E10" s="4" t="s">
        <v>32</v>
      </c>
      <c r="F10" s="3" t="str">
        <f t="shared" si="0"/>
        <v>H2A:E61-R223</v>
      </c>
      <c r="G10" s="4">
        <v>0.7274</v>
      </c>
      <c r="H10" s="3" t="s">
        <v>21</v>
      </c>
      <c r="I10" s="4" t="s">
        <v>22</v>
      </c>
      <c r="J10" s="5">
        <v>1249</v>
      </c>
      <c r="K10" s="4" t="s">
        <v>23</v>
      </c>
      <c r="L10" s="4">
        <v>223</v>
      </c>
      <c r="M10" s="3" t="s">
        <v>30</v>
      </c>
      <c r="N10" s="4" t="s">
        <v>31</v>
      </c>
      <c r="O10" s="5">
        <v>611</v>
      </c>
      <c r="P10" s="4" t="s">
        <v>26</v>
      </c>
      <c r="Q10" s="4" t="s">
        <v>27</v>
      </c>
      <c r="R10" s="4">
        <v>61</v>
      </c>
    </row>
    <row r="11" spans="1:18">
      <c r="A11" s="4" t="s">
        <v>18</v>
      </c>
      <c r="B11" s="4" t="s">
        <v>26</v>
      </c>
      <c r="C11" s="4" t="s">
        <v>46</v>
      </c>
      <c r="D11" s="4" t="s">
        <v>47</v>
      </c>
      <c r="E11" s="4" t="s">
        <v>38</v>
      </c>
      <c r="F11" s="3" t="str">
        <f t="shared" si="0"/>
        <v>DNA:DG131-R239</v>
      </c>
      <c r="G11" s="4">
        <v>0.5746</v>
      </c>
      <c r="H11" s="3" t="s">
        <v>21</v>
      </c>
      <c r="I11" s="4" t="s">
        <v>39</v>
      </c>
      <c r="J11" s="5">
        <v>1265</v>
      </c>
      <c r="K11" s="4" t="s">
        <v>23</v>
      </c>
      <c r="L11" s="4">
        <v>239</v>
      </c>
      <c r="M11" s="3" t="s">
        <v>40</v>
      </c>
      <c r="N11" s="4" t="s">
        <v>41</v>
      </c>
      <c r="O11" s="5">
        <v>1038</v>
      </c>
      <c r="P11" s="4" t="s">
        <v>42</v>
      </c>
      <c r="Q11" s="4" t="s">
        <v>43</v>
      </c>
      <c r="R11" s="4">
        <v>131</v>
      </c>
    </row>
    <row r="12" spans="1:18">
      <c r="A12" s="4" t="s">
        <v>18</v>
      </c>
      <c r="B12" s="4" t="s">
        <v>26</v>
      </c>
      <c r="C12" s="4" t="s">
        <v>46</v>
      </c>
      <c r="D12" s="4" t="s">
        <v>47</v>
      </c>
      <c r="E12" s="4" t="s">
        <v>28</v>
      </c>
      <c r="F12" s="3" t="str">
        <f t="shared" si="0"/>
        <v>H2A:E61-R216</v>
      </c>
      <c r="G12" s="4">
        <v>0.3757</v>
      </c>
      <c r="H12" s="3" t="s">
        <v>21</v>
      </c>
      <c r="I12" s="4" t="s">
        <v>29</v>
      </c>
      <c r="J12" s="5">
        <v>1242</v>
      </c>
      <c r="K12" s="4" t="s">
        <v>23</v>
      </c>
      <c r="L12" s="4">
        <v>216</v>
      </c>
      <c r="M12" s="3" t="s">
        <v>30</v>
      </c>
      <c r="N12" s="4" t="s">
        <v>31</v>
      </c>
      <c r="O12" s="5">
        <v>611</v>
      </c>
      <c r="P12" s="4" t="s">
        <v>26</v>
      </c>
      <c r="Q12" s="4" t="s">
        <v>27</v>
      </c>
      <c r="R12" s="4">
        <v>61</v>
      </c>
    </row>
    <row r="13" spans="1:18">
      <c r="A13" s="4" t="s">
        <v>18</v>
      </c>
      <c r="B13" s="4" t="s">
        <v>26</v>
      </c>
      <c r="C13" s="4" t="s">
        <v>46</v>
      </c>
      <c r="D13" s="4" t="s">
        <v>47</v>
      </c>
      <c r="E13" s="4" t="s">
        <v>33</v>
      </c>
      <c r="F13" s="3" t="str">
        <f t="shared" si="0"/>
        <v>H2A:E64-R216</v>
      </c>
      <c r="G13" s="4">
        <v>0.3481</v>
      </c>
      <c r="H13" s="3" t="s">
        <v>21</v>
      </c>
      <c r="I13" s="4" t="s">
        <v>29</v>
      </c>
      <c r="J13" s="5">
        <v>1242</v>
      </c>
      <c r="K13" s="4" t="s">
        <v>23</v>
      </c>
      <c r="L13" s="4">
        <v>216</v>
      </c>
      <c r="M13" s="3" t="s">
        <v>30</v>
      </c>
      <c r="N13" s="4" t="s">
        <v>34</v>
      </c>
      <c r="O13" s="5">
        <v>614</v>
      </c>
      <c r="P13" s="4" t="s">
        <v>26</v>
      </c>
      <c r="Q13" s="4" t="s">
        <v>27</v>
      </c>
      <c r="R13" s="4">
        <v>64</v>
      </c>
    </row>
    <row r="14" spans="1:18">
      <c r="A14" s="4" t="s">
        <v>18</v>
      </c>
      <c r="B14" s="4" t="s">
        <v>26</v>
      </c>
      <c r="C14" s="4" t="s">
        <v>46</v>
      </c>
      <c r="D14" s="4" t="s">
        <v>47</v>
      </c>
      <c r="E14" s="4" t="s">
        <v>35</v>
      </c>
      <c r="F14" s="3" t="str">
        <f t="shared" si="0"/>
        <v>H2A:E64-S214</v>
      </c>
      <c r="G14" s="4">
        <v>0.1602</v>
      </c>
      <c r="H14" s="3" t="s">
        <v>36</v>
      </c>
      <c r="I14" s="4" t="s">
        <v>37</v>
      </c>
      <c r="J14" s="5">
        <v>1240</v>
      </c>
      <c r="K14" s="4" t="s">
        <v>23</v>
      </c>
      <c r="L14" s="4">
        <v>214</v>
      </c>
      <c r="M14" s="3" t="s">
        <v>30</v>
      </c>
      <c r="N14" s="4" t="s">
        <v>34</v>
      </c>
      <c r="O14" s="5">
        <v>614</v>
      </c>
      <c r="P14" s="4" t="s">
        <v>26</v>
      </c>
      <c r="Q14" s="4" t="s">
        <v>27</v>
      </c>
      <c r="R14" s="4">
        <v>64</v>
      </c>
    </row>
    <row r="15" spans="1:18">
      <c r="A15" s="4" t="s">
        <v>18</v>
      </c>
      <c r="B15" s="4" t="s">
        <v>26</v>
      </c>
      <c r="C15" s="4" t="s">
        <v>48</v>
      </c>
      <c r="D15" s="4" t="s">
        <v>49</v>
      </c>
      <c r="E15" s="4" t="s">
        <v>38</v>
      </c>
      <c r="F15" s="3" t="str">
        <f t="shared" si="0"/>
        <v>DNA:DG131-R239</v>
      </c>
      <c r="G15" s="4">
        <v>0.5304</v>
      </c>
      <c r="H15" s="3" t="s">
        <v>21</v>
      </c>
      <c r="I15" s="4" t="s">
        <v>39</v>
      </c>
      <c r="J15" s="5">
        <v>1265</v>
      </c>
      <c r="K15" s="4" t="s">
        <v>23</v>
      </c>
      <c r="L15" s="4">
        <v>239</v>
      </c>
      <c r="M15" s="3" t="s">
        <v>40</v>
      </c>
      <c r="N15" s="4" t="s">
        <v>41</v>
      </c>
      <c r="O15" s="5">
        <v>1038</v>
      </c>
      <c r="P15" s="4" t="s">
        <v>42</v>
      </c>
      <c r="Q15" s="4" t="s">
        <v>43</v>
      </c>
      <c r="R15" s="4">
        <v>131</v>
      </c>
    </row>
    <row r="16" spans="1:18">
      <c r="A16" s="4" t="s">
        <v>18</v>
      </c>
      <c r="B16" s="4" t="s">
        <v>26</v>
      </c>
      <c r="C16" s="4" t="s">
        <v>48</v>
      </c>
      <c r="D16" s="4" t="s">
        <v>49</v>
      </c>
      <c r="E16" s="4" t="s">
        <v>44</v>
      </c>
      <c r="F16" s="3" t="str">
        <f t="shared" si="0"/>
        <v>H2A:E64-R224</v>
      </c>
      <c r="G16" s="4">
        <v>0.5304</v>
      </c>
      <c r="H16" s="3" t="s">
        <v>21</v>
      </c>
      <c r="I16" s="4" t="s">
        <v>45</v>
      </c>
      <c r="J16" s="5">
        <v>1250</v>
      </c>
      <c r="K16" s="4" t="s">
        <v>23</v>
      </c>
      <c r="L16" s="4">
        <v>224</v>
      </c>
      <c r="M16" s="3" t="s">
        <v>30</v>
      </c>
      <c r="N16" s="4" t="s">
        <v>34</v>
      </c>
      <c r="O16" s="5">
        <v>614</v>
      </c>
      <c r="P16" s="4" t="s">
        <v>26</v>
      </c>
      <c r="Q16" s="4" t="s">
        <v>27</v>
      </c>
      <c r="R16" s="4">
        <v>64</v>
      </c>
    </row>
    <row r="17" spans="1:18">
      <c r="A17" s="4" t="s">
        <v>18</v>
      </c>
      <c r="B17" s="4" t="s">
        <v>26</v>
      </c>
      <c r="C17" s="4" t="s">
        <v>48</v>
      </c>
      <c r="D17" s="4" t="s">
        <v>49</v>
      </c>
      <c r="E17" s="4" t="s">
        <v>20</v>
      </c>
      <c r="F17" s="3" t="str">
        <f t="shared" si="0"/>
        <v>H2A:D90-R223</v>
      </c>
      <c r="G17" s="4">
        <v>0.4751</v>
      </c>
      <c r="H17" s="3" t="s">
        <v>21</v>
      </c>
      <c r="I17" s="4" t="s">
        <v>22</v>
      </c>
      <c r="J17" s="5">
        <v>1249</v>
      </c>
      <c r="K17" s="4" t="s">
        <v>23</v>
      </c>
      <c r="L17" s="4">
        <v>223</v>
      </c>
      <c r="M17" s="3" t="s">
        <v>24</v>
      </c>
      <c r="N17" s="4" t="s">
        <v>25</v>
      </c>
      <c r="O17" s="5">
        <v>640</v>
      </c>
      <c r="P17" s="4" t="s">
        <v>26</v>
      </c>
      <c r="Q17" s="4" t="s">
        <v>27</v>
      </c>
      <c r="R17" s="4">
        <v>90</v>
      </c>
    </row>
    <row r="18" spans="1:18">
      <c r="A18" s="4" t="s">
        <v>18</v>
      </c>
      <c r="B18" s="4" t="s">
        <v>26</v>
      </c>
      <c r="C18" s="4" t="s">
        <v>48</v>
      </c>
      <c r="D18" s="4" t="s">
        <v>49</v>
      </c>
      <c r="E18" s="4" t="s">
        <v>35</v>
      </c>
      <c r="F18" s="3" t="str">
        <f t="shared" si="0"/>
        <v>H2A:E64-S214</v>
      </c>
      <c r="G18" s="4">
        <v>0.1657</v>
      </c>
      <c r="H18" s="3" t="s">
        <v>36</v>
      </c>
      <c r="I18" s="4" t="s">
        <v>37</v>
      </c>
      <c r="J18" s="5">
        <v>1240</v>
      </c>
      <c r="K18" s="4" t="s">
        <v>23</v>
      </c>
      <c r="L18" s="4">
        <v>214</v>
      </c>
      <c r="M18" s="3" t="s">
        <v>30</v>
      </c>
      <c r="N18" s="4" t="s">
        <v>34</v>
      </c>
      <c r="O18" s="5">
        <v>614</v>
      </c>
      <c r="P18" s="4" t="s">
        <v>26</v>
      </c>
      <c r="Q18" s="4" t="s">
        <v>27</v>
      </c>
      <c r="R18" s="4">
        <v>64</v>
      </c>
    </row>
    <row r="19" spans="1:18">
      <c r="A19" s="4" t="s">
        <v>18</v>
      </c>
      <c r="B19" s="4" t="s">
        <v>26</v>
      </c>
      <c r="C19" s="4" t="s">
        <v>50</v>
      </c>
      <c r="D19" s="4" t="s">
        <v>51</v>
      </c>
      <c r="E19" s="4" t="s">
        <v>20</v>
      </c>
      <c r="F19" s="3" t="str">
        <f t="shared" si="0"/>
        <v>H2A:D90-R223</v>
      </c>
      <c r="G19" s="4">
        <v>0.9761</v>
      </c>
      <c r="H19" s="3" t="s">
        <v>21</v>
      </c>
      <c r="I19" s="4" t="s">
        <v>22</v>
      </c>
      <c r="J19" s="5">
        <v>1249</v>
      </c>
      <c r="K19" s="4" t="s">
        <v>23</v>
      </c>
      <c r="L19" s="4">
        <v>223</v>
      </c>
      <c r="M19" s="3" t="s">
        <v>24</v>
      </c>
      <c r="N19" s="4" t="s">
        <v>25</v>
      </c>
      <c r="O19" s="5">
        <v>640</v>
      </c>
      <c r="P19" s="4" t="s">
        <v>26</v>
      </c>
      <c r="Q19" s="4" t="s">
        <v>27</v>
      </c>
      <c r="R19" s="4">
        <v>90</v>
      </c>
    </row>
    <row r="20" spans="1:18">
      <c r="A20" s="4" t="s">
        <v>18</v>
      </c>
      <c r="B20" s="4" t="s">
        <v>26</v>
      </c>
      <c r="C20" s="4" t="s">
        <v>50</v>
      </c>
      <c r="D20" s="4" t="s">
        <v>51</v>
      </c>
      <c r="E20" s="4" t="s">
        <v>32</v>
      </c>
      <c r="F20" s="3" t="str">
        <f t="shared" si="0"/>
        <v>H2A:E61-R223</v>
      </c>
      <c r="G20" s="4">
        <v>0.7864</v>
      </c>
      <c r="H20" s="3" t="s">
        <v>21</v>
      </c>
      <c r="I20" s="4" t="s">
        <v>22</v>
      </c>
      <c r="J20" s="5">
        <v>1249</v>
      </c>
      <c r="K20" s="4" t="s">
        <v>23</v>
      </c>
      <c r="L20" s="4">
        <v>223</v>
      </c>
      <c r="M20" s="3" t="s">
        <v>30</v>
      </c>
      <c r="N20" s="4" t="s">
        <v>31</v>
      </c>
      <c r="O20" s="5">
        <v>611</v>
      </c>
      <c r="P20" s="4" t="s">
        <v>26</v>
      </c>
      <c r="Q20" s="4" t="s">
        <v>27</v>
      </c>
      <c r="R20" s="4">
        <v>61</v>
      </c>
    </row>
    <row r="21" spans="1:18">
      <c r="A21" s="4" t="s">
        <v>18</v>
      </c>
      <c r="B21" s="4" t="s">
        <v>26</v>
      </c>
      <c r="C21" s="4" t="s">
        <v>50</v>
      </c>
      <c r="D21" s="4" t="s">
        <v>51</v>
      </c>
      <c r="E21" s="4" t="s">
        <v>33</v>
      </c>
      <c r="F21" s="3" t="str">
        <f t="shared" si="0"/>
        <v>H2A:E64-R216</v>
      </c>
      <c r="G21" s="4">
        <v>0.6169</v>
      </c>
      <c r="H21" s="3" t="s">
        <v>21</v>
      </c>
      <c r="I21" s="4" t="s">
        <v>29</v>
      </c>
      <c r="J21" s="5">
        <v>1242</v>
      </c>
      <c r="K21" s="4" t="s">
        <v>23</v>
      </c>
      <c r="L21" s="4">
        <v>216</v>
      </c>
      <c r="M21" s="3" t="s">
        <v>30</v>
      </c>
      <c r="N21" s="4" t="s">
        <v>34</v>
      </c>
      <c r="O21" s="5">
        <v>614</v>
      </c>
      <c r="P21" s="4" t="s">
        <v>26</v>
      </c>
      <c r="Q21" s="4" t="s">
        <v>27</v>
      </c>
      <c r="R21" s="4">
        <v>64</v>
      </c>
    </row>
    <row r="22" spans="1:18">
      <c r="A22" s="4" t="s">
        <v>18</v>
      </c>
      <c r="B22" s="4" t="s">
        <v>26</v>
      </c>
      <c r="C22" s="4" t="s">
        <v>50</v>
      </c>
      <c r="D22" s="4" t="s">
        <v>51</v>
      </c>
      <c r="E22" s="4" t="s">
        <v>28</v>
      </c>
      <c r="F22" s="3" t="str">
        <f t="shared" si="0"/>
        <v>H2A:E61-R216</v>
      </c>
      <c r="G22" s="4">
        <v>0.6004</v>
      </c>
      <c r="H22" s="3" t="s">
        <v>21</v>
      </c>
      <c r="I22" s="4" t="s">
        <v>29</v>
      </c>
      <c r="J22" s="5">
        <v>1242</v>
      </c>
      <c r="K22" s="4" t="s">
        <v>23</v>
      </c>
      <c r="L22" s="4">
        <v>216</v>
      </c>
      <c r="M22" s="3" t="s">
        <v>30</v>
      </c>
      <c r="N22" s="4" t="s">
        <v>31</v>
      </c>
      <c r="O22" s="5">
        <v>611</v>
      </c>
      <c r="P22" s="4" t="s">
        <v>26</v>
      </c>
      <c r="Q22" s="4" t="s">
        <v>27</v>
      </c>
      <c r="R22" s="4">
        <v>61</v>
      </c>
    </row>
    <row r="23" spans="1:18">
      <c r="A23" s="4" t="s">
        <v>18</v>
      </c>
      <c r="B23" s="4" t="s">
        <v>26</v>
      </c>
      <c r="C23" s="4" t="s">
        <v>50</v>
      </c>
      <c r="D23" s="4" t="s">
        <v>51</v>
      </c>
      <c r="E23" s="4" t="s">
        <v>38</v>
      </c>
      <c r="F23" s="3" t="str">
        <f t="shared" si="0"/>
        <v>DNA:DG131-R239</v>
      </c>
      <c r="G23" s="4">
        <v>0.5709</v>
      </c>
      <c r="H23" s="3" t="s">
        <v>21</v>
      </c>
      <c r="I23" s="4" t="s">
        <v>39</v>
      </c>
      <c r="J23" s="5">
        <v>1265</v>
      </c>
      <c r="K23" s="4" t="s">
        <v>23</v>
      </c>
      <c r="L23" s="4">
        <v>239</v>
      </c>
      <c r="M23" s="3" t="s">
        <v>40</v>
      </c>
      <c r="N23" s="4" t="s">
        <v>41</v>
      </c>
      <c r="O23" s="5">
        <v>1038</v>
      </c>
      <c r="P23" s="4" t="s">
        <v>42</v>
      </c>
      <c r="Q23" s="4" t="s">
        <v>43</v>
      </c>
      <c r="R23" s="4">
        <v>131</v>
      </c>
    </row>
    <row r="24" spans="1:18">
      <c r="A24" s="4" t="s">
        <v>18</v>
      </c>
      <c r="B24" s="4" t="s">
        <v>26</v>
      </c>
      <c r="C24" s="4" t="s">
        <v>50</v>
      </c>
      <c r="D24" s="4" t="s">
        <v>51</v>
      </c>
      <c r="E24" s="4" t="s">
        <v>35</v>
      </c>
      <c r="F24" s="3" t="str">
        <f t="shared" si="0"/>
        <v>H2A:E64-S214</v>
      </c>
      <c r="G24" s="4">
        <v>0.5028</v>
      </c>
      <c r="H24" s="3" t="s">
        <v>36</v>
      </c>
      <c r="I24" s="4" t="s">
        <v>37</v>
      </c>
      <c r="J24" s="5">
        <v>1240</v>
      </c>
      <c r="K24" s="4" t="s">
        <v>23</v>
      </c>
      <c r="L24" s="4">
        <v>214</v>
      </c>
      <c r="M24" s="3" t="s">
        <v>30</v>
      </c>
      <c r="N24" s="4" t="s">
        <v>34</v>
      </c>
      <c r="O24" s="5">
        <v>614</v>
      </c>
      <c r="P24" s="4" t="s">
        <v>26</v>
      </c>
      <c r="Q24" s="4" t="s">
        <v>27</v>
      </c>
      <c r="R24" s="4">
        <v>64</v>
      </c>
    </row>
    <row r="25" spans="1:18">
      <c r="A25" s="4" t="s">
        <v>18</v>
      </c>
      <c r="B25" s="4" t="s">
        <v>52</v>
      </c>
      <c r="C25" s="4" t="s">
        <v>53</v>
      </c>
      <c r="D25" s="4" t="s">
        <v>54</v>
      </c>
      <c r="E25" s="4" t="s">
        <v>20</v>
      </c>
      <c r="F25" s="3" t="str">
        <f t="shared" si="0"/>
        <v>H2A:D90-R223</v>
      </c>
      <c r="G25" s="4">
        <v>0.9705</v>
      </c>
      <c r="H25" s="3" t="s">
        <v>21</v>
      </c>
      <c r="I25" s="4" t="s">
        <v>22</v>
      </c>
      <c r="J25" s="5">
        <v>1249</v>
      </c>
      <c r="K25" s="4" t="s">
        <v>23</v>
      </c>
      <c r="L25" s="4">
        <v>223</v>
      </c>
      <c r="M25" s="3" t="s">
        <v>24</v>
      </c>
      <c r="N25" s="4" t="s">
        <v>25</v>
      </c>
      <c r="O25" s="5">
        <v>640</v>
      </c>
      <c r="P25" s="4" t="s">
        <v>26</v>
      </c>
      <c r="Q25" s="4" t="s">
        <v>27</v>
      </c>
      <c r="R25" s="4">
        <v>90</v>
      </c>
    </row>
    <row r="26" spans="1:18">
      <c r="A26" s="4" t="s">
        <v>18</v>
      </c>
      <c r="B26" s="4" t="s">
        <v>52</v>
      </c>
      <c r="C26" s="4" t="s">
        <v>53</v>
      </c>
      <c r="D26" s="4" t="s">
        <v>54</v>
      </c>
      <c r="E26" s="4" t="s">
        <v>32</v>
      </c>
      <c r="F26" s="3" t="str">
        <f t="shared" si="0"/>
        <v>H2A:E61-R223</v>
      </c>
      <c r="G26" s="4">
        <v>0.8122</v>
      </c>
      <c r="H26" s="3" t="s">
        <v>21</v>
      </c>
      <c r="I26" s="4" t="s">
        <v>22</v>
      </c>
      <c r="J26" s="5">
        <v>1249</v>
      </c>
      <c r="K26" s="4" t="s">
        <v>23</v>
      </c>
      <c r="L26" s="4">
        <v>223</v>
      </c>
      <c r="M26" s="3" t="s">
        <v>30</v>
      </c>
      <c r="N26" s="4" t="s">
        <v>31</v>
      </c>
      <c r="O26" s="5">
        <v>611</v>
      </c>
      <c r="P26" s="4" t="s">
        <v>26</v>
      </c>
      <c r="Q26" s="4" t="s">
        <v>27</v>
      </c>
      <c r="R26" s="4">
        <v>61</v>
      </c>
    </row>
    <row r="27" spans="1:18">
      <c r="A27" s="4" t="s">
        <v>18</v>
      </c>
      <c r="B27" s="4" t="s">
        <v>52</v>
      </c>
      <c r="C27" s="4" t="s">
        <v>53</v>
      </c>
      <c r="D27" s="4" t="s">
        <v>54</v>
      </c>
      <c r="E27" s="4" t="s">
        <v>28</v>
      </c>
      <c r="F27" s="3" t="str">
        <f t="shared" si="0"/>
        <v>H2A:E61-R216</v>
      </c>
      <c r="G27" s="4">
        <v>0.7698</v>
      </c>
      <c r="H27" s="3" t="s">
        <v>21</v>
      </c>
      <c r="I27" s="4" t="s">
        <v>29</v>
      </c>
      <c r="J27" s="5">
        <v>1242</v>
      </c>
      <c r="K27" s="4" t="s">
        <v>23</v>
      </c>
      <c r="L27" s="4">
        <v>216</v>
      </c>
      <c r="M27" s="3" t="s">
        <v>30</v>
      </c>
      <c r="N27" s="4" t="s">
        <v>31</v>
      </c>
      <c r="O27" s="5">
        <v>611</v>
      </c>
      <c r="P27" s="4" t="s">
        <v>26</v>
      </c>
      <c r="Q27" s="4" t="s">
        <v>27</v>
      </c>
      <c r="R27" s="4">
        <v>61</v>
      </c>
    </row>
    <row r="28" spans="1:18">
      <c r="A28" s="4" t="s">
        <v>18</v>
      </c>
      <c r="B28" s="4" t="s">
        <v>52</v>
      </c>
      <c r="C28" s="4" t="s">
        <v>53</v>
      </c>
      <c r="D28" s="4" t="s">
        <v>54</v>
      </c>
      <c r="E28" s="4" t="s">
        <v>38</v>
      </c>
      <c r="F28" s="3" t="str">
        <f t="shared" si="0"/>
        <v>DNA:DG131-R239</v>
      </c>
      <c r="G28" s="4">
        <v>0.6133</v>
      </c>
      <c r="H28" s="3" t="s">
        <v>21</v>
      </c>
      <c r="I28" s="4" t="s">
        <v>39</v>
      </c>
      <c r="J28" s="5">
        <v>1265</v>
      </c>
      <c r="K28" s="4" t="s">
        <v>23</v>
      </c>
      <c r="L28" s="4">
        <v>239</v>
      </c>
      <c r="M28" s="3" t="s">
        <v>40</v>
      </c>
      <c r="N28" s="4" t="s">
        <v>41</v>
      </c>
      <c r="O28" s="5">
        <v>1038</v>
      </c>
      <c r="P28" s="4" t="s">
        <v>42</v>
      </c>
      <c r="Q28" s="4" t="s">
        <v>43</v>
      </c>
      <c r="R28" s="4">
        <v>131</v>
      </c>
    </row>
    <row r="29" spans="1:18">
      <c r="A29" s="4" t="s">
        <v>18</v>
      </c>
      <c r="B29" s="4" t="s">
        <v>52</v>
      </c>
      <c r="C29" s="4" t="s">
        <v>53</v>
      </c>
      <c r="D29" s="4" t="s">
        <v>54</v>
      </c>
      <c r="E29" s="4" t="s">
        <v>33</v>
      </c>
      <c r="F29" s="3" t="str">
        <f t="shared" si="0"/>
        <v>H2A:E64-R216</v>
      </c>
      <c r="G29" s="4">
        <v>0.5543</v>
      </c>
      <c r="H29" s="3" t="s">
        <v>21</v>
      </c>
      <c r="I29" s="4" t="s">
        <v>29</v>
      </c>
      <c r="J29" s="5">
        <v>1242</v>
      </c>
      <c r="K29" s="4" t="s">
        <v>23</v>
      </c>
      <c r="L29" s="4">
        <v>216</v>
      </c>
      <c r="M29" s="3" t="s">
        <v>30</v>
      </c>
      <c r="N29" s="4" t="s">
        <v>34</v>
      </c>
      <c r="O29" s="5">
        <v>614</v>
      </c>
      <c r="P29" s="4" t="s">
        <v>26</v>
      </c>
      <c r="Q29" s="4" t="s">
        <v>27</v>
      </c>
      <c r="R29" s="4">
        <v>64</v>
      </c>
    </row>
    <row r="30" spans="1:18">
      <c r="A30" s="4" t="s">
        <v>18</v>
      </c>
      <c r="B30" s="4" t="s">
        <v>52</v>
      </c>
      <c r="C30" s="4" t="s">
        <v>53</v>
      </c>
      <c r="D30" s="4" t="s">
        <v>54</v>
      </c>
      <c r="E30" s="4" t="s">
        <v>35</v>
      </c>
      <c r="F30" s="3" t="str">
        <f t="shared" si="0"/>
        <v>H2A:E64-S214</v>
      </c>
      <c r="G30" s="4">
        <v>0.4162</v>
      </c>
      <c r="H30" s="3" t="s">
        <v>36</v>
      </c>
      <c r="I30" s="4" t="s">
        <v>37</v>
      </c>
      <c r="J30" s="5">
        <v>1240</v>
      </c>
      <c r="K30" s="4" t="s">
        <v>23</v>
      </c>
      <c r="L30" s="4">
        <v>214</v>
      </c>
      <c r="M30" s="3" t="s">
        <v>30</v>
      </c>
      <c r="N30" s="4" t="s">
        <v>34</v>
      </c>
      <c r="O30" s="5">
        <v>614</v>
      </c>
      <c r="P30" s="4" t="s">
        <v>26</v>
      </c>
      <c r="Q30" s="4" t="s">
        <v>27</v>
      </c>
      <c r="R30" s="4">
        <v>64</v>
      </c>
    </row>
    <row r="31" spans="1:18">
      <c r="A31" s="4" t="s">
        <v>18</v>
      </c>
      <c r="B31" s="4" t="s">
        <v>52</v>
      </c>
      <c r="C31" s="4" t="s">
        <v>55</v>
      </c>
      <c r="D31" s="4" t="s">
        <v>56</v>
      </c>
      <c r="E31" s="4" t="s">
        <v>20</v>
      </c>
      <c r="F31" s="3" t="str">
        <f t="shared" si="0"/>
        <v>H2A:D90-R223</v>
      </c>
      <c r="G31" s="4">
        <v>0.8729</v>
      </c>
      <c r="H31" s="3" t="s">
        <v>21</v>
      </c>
      <c r="I31" s="4" t="s">
        <v>22</v>
      </c>
      <c r="J31" s="5">
        <v>1249</v>
      </c>
      <c r="K31" s="4" t="s">
        <v>23</v>
      </c>
      <c r="L31" s="4">
        <v>223</v>
      </c>
      <c r="M31" s="3" t="s">
        <v>24</v>
      </c>
      <c r="N31" s="4" t="s">
        <v>25</v>
      </c>
      <c r="O31" s="5">
        <v>640</v>
      </c>
      <c r="P31" s="4" t="s">
        <v>26</v>
      </c>
      <c r="Q31" s="4" t="s">
        <v>27</v>
      </c>
      <c r="R31" s="4">
        <v>90</v>
      </c>
    </row>
    <row r="32" spans="1:18">
      <c r="A32" s="4" t="s">
        <v>18</v>
      </c>
      <c r="B32" s="4" t="s">
        <v>52</v>
      </c>
      <c r="C32" s="4" t="s">
        <v>55</v>
      </c>
      <c r="D32" s="4" t="s">
        <v>56</v>
      </c>
      <c r="E32" s="4" t="s">
        <v>32</v>
      </c>
      <c r="F32" s="3" t="str">
        <f t="shared" si="0"/>
        <v>H2A:E61-R223</v>
      </c>
      <c r="G32" s="4">
        <v>0.849</v>
      </c>
      <c r="H32" s="3" t="s">
        <v>21</v>
      </c>
      <c r="I32" s="4" t="s">
        <v>22</v>
      </c>
      <c r="J32" s="5">
        <v>1249</v>
      </c>
      <c r="K32" s="4" t="s">
        <v>23</v>
      </c>
      <c r="L32" s="4">
        <v>223</v>
      </c>
      <c r="M32" s="3" t="s">
        <v>30</v>
      </c>
      <c r="N32" s="4" t="s">
        <v>31</v>
      </c>
      <c r="O32" s="5">
        <v>611</v>
      </c>
      <c r="P32" s="4" t="s">
        <v>26</v>
      </c>
      <c r="Q32" s="4" t="s">
        <v>27</v>
      </c>
      <c r="R32" s="4">
        <v>61</v>
      </c>
    </row>
    <row r="33" spans="1:18">
      <c r="A33" s="4" t="s">
        <v>18</v>
      </c>
      <c r="B33" s="4" t="s">
        <v>52</v>
      </c>
      <c r="C33" s="4" t="s">
        <v>55</v>
      </c>
      <c r="D33" s="4" t="s">
        <v>56</v>
      </c>
      <c r="E33" s="4" t="s">
        <v>28</v>
      </c>
      <c r="F33" s="3" t="str">
        <f t="shared" si="0"/>
        <v>H2A:E61-R216</v>
      </c>
      <c r="G33" s="4">
        <v>0.7035</v>
      </c>
      <c r="H33" s="3" t="s">
        <v>21</v>
      </c>
      <c r="I33" s="4" t="s">
        <v>29</v>
      </c>
      <c r="J33" s="5">
        <v>1242</v>
      </c>
      <c r="K33" s="4" t="s">
        <v>23</v>
      </c>
      <c r="L33" s="4">
        <v>216</v>
      </c>
      <c r="M33" s="3" t="s">
        <v>30</v>
      </c>
      <c r="N33" s="4" t="s">
        <v>31</v>
      </c>
      <c r="O33" s="5">
        <v>611</v>
      </c>
      <c r="P33" s="4" t="s">
        <v>26</v>
      </c>
      <c r="Q33" s="4" t="s">
        <v>27</v>
      </c>
      <c r="R33" s="4">
        <v>61</v>
      </c>
    </row>
    <row r="34" spans="1:18">
      <c r="A34" s="4" t="s">
        <v>18</v>
      </c>
      <c r="B34" s="4" t="s">
        <v>52</v>
      </c>
      <c r="C34" s="4" t="s">
        <v>55</v>
      </c>
      <c r="D34" s="4" t="s">
        <v>56</v>
      </c>
      <c r="E34" s="4" t="s">
        <v>33</v>
      </c>
      <c r="F34" s="3" t="str">
        <f t="shared" si="0"/>
        <v>H2A:E64-R216</v>
      </c>
      <c r="G34" s="4">
        <v>0.5948</v>
      </c>
      <c r="H34" s="3" t="s">
        <v>21</v>
      </c>
      <c r="I34" s="4" t="s">
        <v>29</v>
      </c>
      <c r="J34" s="5">
        <v>1242</v>
      </c>
      <c r="K34" s="4" t="s">
        <v>23</v>
      </c>
      <c r="L34" s="4">
        <v>216</v>
      </c>
      <c r="M34" s="3" t="s">
        <v>30</v>
      </c>
      <c r="N34" s="4" t="s">
        <v>34</v>
      </c>
      <c r="O34" s="5">
        <v>614</v>
      </c>
      <c r="P34" s="4" t="s">
        <v>26</v>
      </c>
      <c r="Q34" s="4" t="s">
        <v>27</v>
      </c>
      <c r="R34" s="4">
        <v>64</v>
      </c>
    </row>
    <row r="35" spans="1:18">
      <c r="A35" s="4" t="s">
        <v>18</v>
      </c>
      <c r="B35" s="4" t="s">
        <v>52</v>
      </c>
      <c r="C35" s="4" t="s">
        <v>55</v>
      </c>
      <c r="D35" s="4" t="s">
        <v>56</v>
      </c>
      <c r="E35" s="4" t="s">
        <v>38</v>
      </c>
      <c r="F35" s="3" t="str">
        <f t="shared" si="0"/>
        <v>DNA:DG131-R239</v>
      </c>
      <c r="G35" s="4">
        <v>0.4494</v>
      </c>
      <c r="H35" s="3" t="s">
        <v>21</v>
      </c>
      <c r="I35" s="4" t="s">
        <v>39</v>
      </c>
      <c r="J35" s="5">
        <v>1265</v>
      </c>
      <c r="K35" s="4" t="s">
        <v>23</v>
      </c>
      <c r="L35" s="4">
        <v>239</v>
      </c>
      <c r="M35" s="3" t="s">
        <v>40</v>
      </c>
      <c r="N35" s="4" t="s">
        <v>41</v>
      </c>
      <c r="O35" s="5">
        <v>1038</v>
      </c>
      <c r="P35" s="4" t="s">
        <v>42</v>
      </c>
      <c r="Q35" s="4" t="s">
        <v>43</v>
      </c>
      <c r="R35" s="4">
        <v>131</v>
      </c>
    </row>
    <row r="36" spans="1:18">
      <c r="A36" s="4" t="s">
        <v>18</v>
      </c>
      <c r="B36" s="4" t="s">
        <v>52</v>
      </c>
      <c r="C36" s="4" t="s">
        <v>55</v>
      </c>
      <c r="D36" s="4" t="s">
        <v>56</v>
      </c>
      <c r="E36" s="4" t="s">
        <v>35</v>
      </c>
      <c r="F36" s="3" t="str">
        <f t="shared" si="0"/>
        <v>H2A:E64-S214</v>
      </c>
      <c r="G36" s="4">
        <v>0.1768</v>
      </c>
      <c r="H36" s="3" t="s">
        <v>36</v>
      </c>
      <c r="I36" s="4" t="s">
        <v>37</v>
      </c>
      <c r="J36" s="5">
        <v>1240</v>
      </c>
      <c r="K36" s="4" t="s">
        <v>23</v>
      </c>
      <c r="L36" s="4">
        <v>214</v>
      </c>
      <c r="M36" s="3" t="s">
        <v>30</v>
      </c>
      <c r="N36" s="4" t="s">
        <v>34</v>
      </c>
      <c r="O36" s="5">
        <v>614</v>
      </c>
      <c r="P36" s="4" t="s">
        <v>26</v>
      </c>
      <c r="Q36" s="4" t="s">
        <v>27</v>
      </c>
      <c r="R36" s="4">
        <v>64</v>
      </c>
    </row>
  </sheetData>
  <autoFilter xmlns:etc="http://www.wps.cn/officeDocument/2017/etCustomData" ref="A1:R3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1"/>
  <sheetViews>
    <sheetView zoomScale="85" zoomScaleNormal="85" topLeftCell="C1" workbookViewId="0">
      <selection activeCell="C1" sqref="A1:R61"/>
    </sheetView>
  </sheetViews>
  <sheetFormatPr defaultColWidth="8.8" defaultRowHeight="18"/>
  <cols>
    <col min="1" max="1" width="6.1" customWidth="1"/>
    <col min="2" max="2" width="16.4" customWidth="1"/>
    <col min="3" max="3" width="9.9" customWidth="1"/>
    <col min="4" max="4" width="18.6" customWidth="1"/>
    <col min="5" max="5" width="29.1" customWidth="1"/>
    <col min="6" max="6" width="18.5833333333333" customWidth="1"/>
    <col min="7" max="7" width="11.8" customWidth="1"/>
    <col min="8" max="8" width="15.7" style="1" customWidth="1"/>
    <col min="9" max="9" width="9.2" customWidth="1"/>
    <col min="10" max="10" width="11.7" customWidth="1"/>
    <col min="11" max="11" width="23.7" customWidth="1"/>
    <col min="12" max="12" width="21.7" customWidth="1"/>
    <col min="13" max="13" width="17.9" style="1" customWidth="1"/>
    <col min="14" max="14" width="9.5" customWidth="1"/>
    <col min="15" max="15" width="14.2" customWidth="1"/>
    <col min="16" max="16" width="26.4" customWidth="1"/>
    <col min="17" max="17" width="13.4" customWidth="1"/>
    <col min="18" max="18" width="24.4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4" t="s">
        <v>57</v>
      </c>
      <c r="B2" s="4" t="s">
        <v>19</v>
      </c>
      <c r="C2" s="4" t="s">
        <v>19</v>
      </c>
      <c r="D2" s="4" t="s">
        <v>19</v>
      </c>
      <c r="E2" s="4" t="s">
        <v>58</v>
      </c>
      <c r="F2" s="3" t="str">
        <f>Q2&amp;":"&amp;M2&amp;R2&amp;"-"&amp;H2&amp;L2</f>
        <v>H2A:E61-R29</v>
      </c>
      <c r="G2" s="4">
        <v>0.954</v>
      </c>
      <c r="H2" s="3" t="s">
        <v>21</v>
      </c>
      <c r="I2" s="4" t="s">
        <v>59</v>
      </c>
      <c r="J2" s="5">
        <v>1092</v>
      </c>
      <c r="K2" s="4" t="s">
        <v>60</v>
      </c>
      <c r="L2" s="4">
        <v>29</v>
      </c>
      <c r="M2" s="3" t="s">
        <v>30</v>
      </c>
      <c r="N2" s="4" t="s">
        <v>61</v>
      </c>
      <c r="O2" s="5">
        <v>622</v>
      </c>
      <c r="P2" s="4" t="s">
        <v>26</v>
      </c>
      <c r="Q2" s="4" t="s">
        <v>27</v>
      </c>
      <c r="R2" s="4">
        <v>61</v>
      </c>
    </row>
    <row r="3" spans="1:18">
      <c r="A3" s="4" t="s">
        <v>57</v>
      </c>
      <c r="B3" s="4" t="s">
        <v>19</v>
      </c>
      <c r="C3" s="4" t="s">
        <v>19</v>
      </c>
      <c r="D3" s="4" t="s">
        <v>19</v>
      </c>
      <c r="E3" s="4" t="s">
        <v>62</v>
      </c>
      <c r="F3" s="3" t="str">
        <f t="shared" ref="F3:F34" si="0">Q3&amp;":"&amp;M3&amp;R3&amp;"-"&amp;H3&amp;L3</f>
        <v>H4:E74-N80</v>
      </c>
      <c r="G3" s="4">
        <v>0.7201</v>
      </c>
      <c r="H3" s="3" t="s">
        <v>63</v>
      </c>
      <c r="I3" s="4" t="s">
        <v>64</v>
      </c>
      <c r="J3" s="5">
        <v>1143</v>
      </c>
      <c r="K3" s="4" t="s">
        <v>60</v>
      </c>
      <c r="L3" s="4">
        <v>80</v>
      </c>
      <c r="M3" s="3" t="s">
        <v>30</v>
      </c>
      <c r="N3" s="4" t="s">
        <v>65</v>
      </c>
      <c r="O3" s="5">
        <v>544</v>
      </c>
      <c r="P3" s="4" t="s">
        <v>66</v>
      </c>
      <c r="Q3" s="4" t="s">
        <v>67</v>
      </c>
      <c r="R3" s="4">
        <v>74</v>
      </c>
    </row>
    <row r="4" spans="1:18">
      <c r="A4" s="4" t="s">
        <v>57</v>
      </c>
      <c r="B4" s="4" t="s">
        <v>19</v>
      </c>
      <c r="C4" s="4" t="s">
        <v>19</v>
      </c>
      <c r="D4" s="4" t="s">
        <v>19</v>
      </c>
      <c r="E4" s="4" t="s">
        <v>68</v>
      </c>
      <c r="F4" s="3" t="str">
        <f t="shared" si="0"/>
        <v>H2A:E64-R28</v>
      </c>
      <c r="G4" s="4">
        <v>0.7053</v>
      </c>
      <c r="H4" s="3" t="s">
        <v>21</v>
      </c>
      <c r="I4" s="4" t="s">
        <v>69</v>
      </c>
      <c r="J4" s="5">
        <v>1091</v>
      </c>
      <c r="K4" s="4" t="s">
        <v>60</v>
      </c>
      <c r="L4" s="4">
        <v>28</v>
      </c>
      <c r="M4" s="3" t="s">
        <v>30</v>
      </c>
      <c r="N4" s="4" t="s">
        <v>70</v>
      </c>
      <c r="O4" s="5">
        <v>625</v>
      </c>
      <c r="P4" s="4" t="s">
        <v>26</v>
      </c>
      <c r="Q4" s="4" t="s">
        <v>27</v>
      </c>
      <c r="R4" s="4">
        <v>64</v>
      </c>
    </row>
    <row r="5" spans="1:18">
      <c r="A5" s="4" t="s">
        <v>57</v>
      </c>
      <c r="B5" s="4" t="s">
        <v>19</v>
      </c>
      <c r="C5" s="4" t="s">
        <v>19</v>
      </c>
      <c r="D5" s="4" t="s">
        <v>19</v>
      </c>
      <c r="E5" s="4" t="s">
        <v>71</v>
      </c>
      <c r="F5" s="3" t="str">
        <f t="shared" si="0"/>
        <v>H4:D24-R210</v>
      </c>
      <c r="G5" s="4">
        <v>0.6538</v>
      </c>
      <c r="H5" s="3" t="s">
        <v>21</v>
      </c>
      <c r="I5" s="4" t="s">
        <v>72</v>
      </c>
      <c r="J5" s="5">
        <v>1273</v>
      </c>
      <c r="K5" s="4" t="s">
        <v>60</v>
      </c>
      <c r="L5" s="4">
        <v>210</v>
      </c>
      <c r="M5" s="3" t="s">
        <v>24</v>
      </c>
      <c r="N5" s="4" t="s">
        <v>73</v>
      </c>
      <c r="O5" s="5">
        <v>494</v>
      </c>
      <c r="P5" s="4" t="s">
        <v>66</v>
      </c>
      <c r="Q5" s="4" t="s">
        <v>67</v>
      </c>
      <c r="R5" s="4">
        <v>24</v>
      </c>
    </row>
    <row r="6" spans="1:18">
      <c r="A6" s="4" t="s">
        <v>57</v>
      </c>
      <c r="B6" s="4" t="s">
        <v>19</v>
      </c>
      <c r="C6" s="4" t="s">
        <v>19</v>
      </c>
      <c r="D6" s="4" t="s">
        <v>19</v>
      </c>
      <c r="E6" s="4" t="s">
        <v>74</v>
      </c>
      <c r="F6" s="3" t="str">
        <f t="shared" si="0"/>
        <v>H2A:D90-R29</v>
      </c>
      <c r="G6" s="4">
        <v>0.639</v>
      </c>
      <c r="H6" s="3" t="s">
        <v>21</v>
      </c>
      <c r="I6" s="4" t="s">
        <v>59</v>
      </c>
      <c r="J6" s="5">
        <v>1092</v>
      </c>
      <c r="K6" s="4" t="s">
        <v>60</v>
      </c>
      <c r="L6" s="4">
        <v>29</v>
      </c>
      <c r="M6" s="3" t="s">
        <v>24</v>
      </c>
      <c r="N6" s="4" t="s">
        <v>75</v>
      </c>
      <c r="O6" s="5">
        <v>651</v>
      </c>
      <c r="P6" s="4" t="s">
        <v>26</v>
      </c>
      <c r="Q6" s="4" t="s">
        <v>27</v>
      </c>
      <c r="R6" s="4">
        <v>90</v>
      </c>
    </row>
    <row r="7" spans="1:18">
      <c r="A7" s="4" t="s">
        <v>57</v>
      </c>
      <c r="B7" s="4" t="s">
        <v>19</v>
      </c>
      <c r="C7" s="4" t="s">
        <v>19</v>
      </c>
      <c r="D7" s="4" t="s">
        <v>19</v>
      </c>
      <c r="E7" s="4" t="s">
        <v>76</v>
      </c>
      <c r="F7" s="3" t="str">
        <f>"H2B"&amp;":"&amp;H7&amp;L7&amp;"-"&amp;M7&amp;R7</f>
        <v>H2B:R89-N80</v>
      </c>
      <c r="G7" s="4">
        <v>0.6335</v>
      </c>
      <c r="H7" s="3" t="s">
        <v>21</v>
      </c>
      <c r="I7" s="4" t="s">
        <v>77</v>
      </c>
      <c r="J7" s="5">
        <v>740</v>
      </c>
      <c r="K7" s="4" t="s">
        <v>52</v>
      </c>
      <c r="L7" s="4">
        <v>89</v>
      </c>
      <c r="M7" s="3" t="s">
        <v>63</v>
      </c>
      <c r="N7" s="4" t="s">
        <v>64</v>
      </c>
      <c r="O7" s="5">
        <v>1143</v>
      </c>
      <c r="P7" s="4" t="s">
        <v>60</v>
      </c>
      <c r="Q7" s="4" t="s">
        <v>78</v>
      </c>
      <c r="R7" s="4">
        <v>80</v>
      </c>
    </row>
    <row r="8" spans="1:18">
      <c r="A8" s="4" t="s">
        <v>57</v>
      </c>
      <c r="B8" s="4" t="s">
        <v>19</v>
      </c>
      <c r="C8" s="4" t="s">
        <v>19</v>
      </c>
      <c r="D8" s="4" t="s">
        <v>19</v>
      </c>
      <c r="E8" s="4" t="s">
        <v>79</v>
      </c>
      <c r="F8" s="3" t="str">
        <f t="shared" ref="F8:F11" si="1">"H4"&amp;":"&amp;H8&amp;L8&amp;"-"&amp;M8&amp;R8</f>
        <v>H4:R23-E178</v>
      </c>
      <c r="G8" s="4">
        <v>0.5856</v>
      </c>
      <c r="H8" s="3" t="s">
        <v>21</v>
      </c>
      <c r="I8" s="4" t="s">
        <v>80</v>
      </c>
      <c r="J8" s="5">
        <v>493</v>
      </c>
      <c r="K8" s="4" t="s">
        <v>66</v>
      </c>
      <c r="L8" s="4">
        <v>23</v>
      </c>
      <c r="M8" s="3" t="s">
        <v>30</v>
      </c>
      <c r="N8" s="4" t="s">
        <v>81</v>
      </c>
      <c r="O8" s="5">
        <v>1241</v>
      </c>
      <c r="P8" s="4" t="s">
        <v>60</v>
      </c>
      <c r="Q8" s="4" t="s">
        <v>67</v>
      </c>
      <c r="R8" s="4">
        <v>178</v>
      </c>
    </row>
    <row r="9" spans="1:18">
      <c r="A9" s="4" t="s">
        <v>57</v>
      </c>
      <c r="B9" s="4" t="s">
        <v>19</v>
      </c>
      <c r="C9" s="4" t="s">
        <v>19</v>
      </c>
      <c r="D9" s="4" t="s">
        <v>19</v>
      </c>
      <c r="E9" s="4" t="s">
        <v>82</v>
      </c>
      <c r="F9" s="3" t="str">
        <f t="shared" si="1"/>
        <v>H4:K16-E95</v>
      </c>
      <c r="G9" s="4">
        <v>0.5801</v>
      </c>
      <c r="H9" s="3" t="s">
        <v>23</v>
      </c>
      <c r="I9" s="4" t="s">
        <v>83</v>
      </c>
      <c r="J9" s="5">
        <v>486</v>
      </c>
      <c r="K9" s="4" t="s">
        <v>66</v>
      </c>
      <c r="L9" s="4">
        <v>16</v>
      </c>
      <c r="M9" s="3" t="s">
        <v>30</v>
      </c>
      <c r="N9" s="4" t="s">
        <v>84</v>
      </c>
      <c r="O9" s="5">
        <v>1158</v>
      </c>
      <c r="P9" s="4" t="s">
        <v>60</v>
      </c>
      <c r="Q9" s="4" t="s">
        <v>67</v>
      </c>
      <c r="R9" s="4">
        <v>95</v>
      </c>
    </row>
    <row r="10" spans="1:18">
      <c r="A10" s="4" t="s">
        <v>57</v>
      </c>
      <c r="B10" s="4" t="s">
        <v>19</v>
      </c>
      <c r="C10" s="4" t="s">
        <v>19</v>
      </c>
      <c r="D10" s="4" t="s">
        <v>19</v>
      </c>
      <c r="E10" s="4" t="s">
        <v>85</v>
      </c>
      <c r="F10" s="3" t="str">
        <f t="shared" si="1"/>
        <v>H4:R23-K209</v>
      </c>
      <c r="G10" s="4">
        <v>0.512</v>
      </c>
      <c r="H10" s="3" t="s">
        <v>21</v>
      </c>
      <c r="I10" s="4" t="s">
        <v>80</v>
      </c>
      <c r="J10" s="5">
        <v>493</v>
      </c>
      <c r="K10" s="4" t="s">
        <v>66</v>
      </c>
      <c r="L10" s="4">
        <v>23</v>
      </c>
      <c r="M10" s="3" t="s">
        <v>23</v>
      </c>
      <c r="N10" s="4" t="s">
        <v>86</v>
      </c>
      <c r="O10" s="5">
        <v>1272</v>
      </c>
      <c r="P10" s="4" t="s">
        <v>60</v>
      </c>
      <c r="Q10" s="4" t="s">
        <v>67</v>
      </c>
      <c r="R10" s="4">
        <v>209</v>
      </c>
    </row>
    <row r="11" spans="1:18">
      <c r="A11" s="4" t="s">
        <v>57</v>
      </c>
      <c r="B11" s="4" t="s">
        <v>19</v>
      </c>
      <c r="C11" s="4" t="s">
        <v>19</v>
      </c>
      <c r="D11" s="4" t="s">
        <v>19</v>
      </c>
      <c r="E11" s="4" t="s">
        <v>87</v>
      </c>
      <c r="F11" s="3" t="str">
        <f>"H3"&amp;":"&amp;H11&amp;L11&amp;"-"&amp;M11&amp;R11</f>
        <v>H3:T80-E140</v>
      </c>
      <c r="G11" s="4">
        <v>0.175</v>
      </c>
      <c r="H11" s="3" t="s">
        <v>88</v>
      </c>
      <c r="I11" s="4" t="s">
        <v>89</v>
      </c>
      <c r="J11" s="5">
        <v>428</v>
      </c>
      <c r="K11" s="4" t="s">
        <v>30</v>
      </c>
      <c r="L11" s="4">
        <v>80</v>
      </c>
      <c r="M11" s="3" t="s">
        <v>30</v>
      </c>
      <c r="N11" s="4" t="s">
        <v>90</v>
      </c>
      <c r="O11" s="5">
        <v>1203</v>
      </c>
      <c r="P11" s="4" t="s">
        <v>60</v>
      </c>
      <c r="Q11" s="4" t="s">
        <v>91</v>
      </c>
      <c r="R11" s="4">
        <v>140</v>
      </c>
    </row>
    <row r="12" spans="1:18">
      <c r="A12" s="4" t="s">
        <v>57</v>
      </c>
      <c r="B12" s="4" t="s">
        <v>19</v>
      </c>
      <c r="C12" s="4" t="s">
        <v>19</v>
      </c>
      <c r="D12" s="4" t="s">
        <v>19</v>
      </c>
      <c r="E12" s="4" t="s">
        <v>92</v>
      </c>
      <c r="F12" s="3" t="str">
        <f t="shared" si="0"/>
        <v>H2A:E64-R30</v>
      </c>
      <c r="G12" s="4">
        <v>0.1418</v>
      </c>
      <c r="H12" s="3" t="s">
        <v>21</v>
      </c>
      <c r="I12" s="4" t="s">
        <v>93</v>
      </c>
      <c r="J12" s="5">
        <v>1093</v>
      </c>
      <c r="K12" s="4" t="s">
        <v>60</v>
      </c>
      <c r="L12" s="4">
        <v>30</v>
      </c>
      <c r="M12" s="3" t="s">
        <v>30</v>
      </c>
      <c r="N12" s="4" t="s">
        <v>70</v>
      </c>
      <c r="O12" s="5">
        <v>625</v>
      </c>
      <c r="P12" s="4" t="s">
        <v>26</v>
      </c>
      <c r="Q12" s="4" t="s">
        <v>27</v>
      </c>
      <c r="R12" s="4">
        <v>64</v>
      </c>
    </row>
    <row r="13" spans="1:18">
      <c r="A13" s="4" t="s">
        <v>57</v>
      </c>
      <c r="B13" s="4" t="s">
        <v>30</v>
      </c>
      <c r="C13" s="4" t="s">
        <v>94</v>
      </c>
      <c r="D13" s="4" t="s">
        <v>95</v>
      </c>
      <c r="E13" s="4" t="s">
        <v>74</v>
      </c>
      <c r="F13" s="3" t="str">
        <f t="shared" si="0"/>
        <v>H2A:D90-R29</v>
      </c>
      <c r="G13" s="4">
        <v>0.9466</v>
      </c>
      <c r="H13" s="3" t="s">
        <v>21</v>
      </c>
      <c r="I13" s="4" t="s">
        <v>59</v>
      </c>
      <c r="J13" s="5">
        <v>1092</v>
      </c>
      <c r="K13" s="4" t="s">
        <v>60</v>
      </c>
      <c r="L13" s="4">
        <v>29</v>
      </c>
      <c r="M13" s="3" t="s">
        <v>24</v>
      </c>
      <c r="N13" s="4" t="s">
        <v>75</v>
      </c>
      <c r="O13" s="5">
        <v>651</v>
      </c>
      <c r="P13" s="4" t="s">
        <v>26</v>
      </c>
      <c r="Q13" s="4" t="s">
        <v>27</v>
      </c>
      <c r="R13" s="4">
        <v>90</v>
      </c>
    </row>
    <row r="14" spans="1:18">
      <c r="A14" s="4" t="s">
        <v>57</v>
      </c>
      <c r="B14" s="4" t="s">
        <v>30</v>
      </c>
      <c r="C14" s="4" t="s">
        <v>94</v>
      </c>
      <c r="D14" s="4" t="s">
        <v>95</v>
      </c>
      <c r="E14" s="4" t="s">
        <v>87</v>
      </c>
      <c r="F14" s="3" t="str">
        <f>"H3"&amp;":"&amp;H14&amp;L14&amp;"-"&amp;M14&amp;R14</f>
        <v>H3:T80-E140</v>
      </c>
      <c r="G14" s="4">
        <v>0.9079</v>
      </c>
      <c r="H14" s="3" t="s">
        <v>88</v>
      </c>
      <c r="I14" s="4" t="s">
        <v>89</v>
      </c>
      <c r="J14" s="5">
        <v>428</v>
      </c>
      <c r="K14" s="4" t="s">
        <v>30</v>
      </c>
      <c r="L14" s="4">
        <v>80</v>
      </c>
      <c r="M14" s="3" t="s">
        <v>30</v>
      </c>
      <c r="N14" s="4" t="s">
        <v>90</v>
      </c>
      <c r="O14" s="5">
        <v>1203</v>
      </c>
      <c r="P14" s="4" t="s">
        <v>60</v>
      </c>
      <c r="Q14" s="4" t="s">
        <v>91</v>
      </c>
      <c r="R14" s="4">
        <v>140</v>
      </c>
    </row>
    <row r="15" spans="1:18">
      <c r="A15" s="4" t="s">
        <v>57</v>
      </c>
      <c r="B15" s="4" t="s">
        <v>30</v>
      </c>
      <c r="C15" s="4" t="s">
        <v>94</v>
      </c>
      <c r="D15" s="4" t="s">
        <v>95</v>
      </c>
      <c r="E15" s="4" t="s">
        <v>58</v>
      </c>
      <c r="F15" s="3" t="str">
        <f t="shared" si="0"/>
        <v>H2A:E61-R29</v>
      </c>
      <c r="G15" s="4">
        <v>0.8619</v>
      </c>
      <c r="H15" s="3" t="s">
        <v>21</v>
      </c>
      <c r="I15" s="4" t="s">
        <v>59</v>
      </c>
      <c r="J15" s="5">
        <v>1092</v>
      </c>
      <c r="K15" s="4" t="s">
        <v>60</v>
      </c>
      <c r="L15" s="4">
        <v>29</v>
      </c>
      <c r="M15" s="3" t="s">
        <v>30</v>
      </c>
      <c r="N15" s="4" t="s">
        <v>61</v>
      </c>
      <c r="O15" s="5">
        <v>622</v>
      </c>
      <c r="P15" s="4" t="s">
        <v>26</v>
      </c>
      <c r="Q15" s="4" t="s">
        <v>27</v>
      </c>
      <c r="R15" s="4">
        <v>61</v>
      </c>
    </row>
    <row r="16" spans="1:18">
      <c r="A16" s="4" t="s">
        <v>57</v>
      </c>
      <c r="B16" s="4" t="s">
        <v>30</v>
      </c>
      <c r="C16" s="4" t="s">
        <v>94</v>
      </c>
      <c r="D16" s="4" t="s">
        <v>95</v>
      </c>
      <c r="E16" s="4" t="s">
        <v>62</v>
      </c>
      <c r="F16" s="3" t="str">
        <f t="shared" si="0"/>
        <v>H4:E74-N80</v>
      </c>
      <c r="G16" s="4">
        <v>0.7495</v>
      </c>
      <c r="H16" s="3" t="s">
        <v>63</v>
      </c>
      <c r="I16" s="4" t="s">
        <v>64</v>
      </c>
      <c r="J16" s="5">
        <v>1143</v>
      </c>
      <c r="K16" s="4" t="s">
        <v>60</v>
      </c>
      <c r="L16" s="4">
        <v>80</v>
      </c>
      <c r="M16" s="3" t="s">
        <v>30</v>
      </c>
      <c r="N16" s="4" t="s">
        <v>65</v>
      </c>
      <c r="O16" s="5">
        <v>544</v>
      </c>
      <c r="P16" s="4" t="s">
        <v>66</v>
      </c>
      <c r="Q16" s="4" t="s">
        <v>67</v>
      </c>
      <c r="R16" s="4">
        <v>74</v>
      </c>
    </row>
    <row r="17" spans="1:18">
      <c r="A17" s="4" t="s">
        <v>57</v>
      </c>
      <c r="B17" s="4" t="s">
        <v>30</v>
      </c>
      <c r="C17" s="4" t="s">
        <v>94</v>
      </c>
      <c r="D17" s="4" t="s">
        <v>95</v>
      </c>
      <c r="E17" s="4" t="s">
        <v>68</v>
      </c>
      <c r="F17" s="3" t="str">
        <f t="shared" si="0"/>
        <v>H2A:E64-R28</v>
      </c>
      <c r="G17" s="4">
        <v>0.7145</v>
      </c>
      <c r="H17" s="3" t="s">
        <v>21</v>
      </c>
      <c r="I17" s="4" t="s">
        <v>69</v>
      </c>
      <c r="J17" s="5">
        <v>1091</v>
      </c>
      <c r="K17" s="4" t="s">
        <v>60</v>
      </c>
      <c r="L17" s="4">
        <v>28</v>
      </c>
      <c r="M17" s="3" t="s">
        <v>30</v>
      </c>
      <c r="N17" s="4" t="s">
        <v>70</v>
      </c>
      <c r="O17" s="5">
        <v>625</v>
      </c>
      <c r="P17" s="4" t="s">
        <v>26</v>
      </c>
      <c r="Q17" s="4" t="s">
        <v>27</v>
      </c>
      <c r="R17" s="4">
        <v>64</v>
      </c>
    </row>
    <row r="18" spans="1:18">
      <c r="A18" s="4" t="s">
        <v>57</v>
      </c>
      <c r="B18" s="4" t="s">
        <v>30</v>
      </c>
      <c r="C18" s="4" t="s">
        <v>94</v>
      </c>
      <c r="D18" s="4" t="s">
        <v>95</v>
      </c>
      <c r="E18" s="4" t="s">
        <v>76</v>
      </c>
      <c r="F18" s="3" t="str">
        <f>"H2B"&amp;":"&amp;H18&amp;L18&amp;"-"&amp;M18&amp;R18</f>
        <v>H2B:R89-N80</v>
      </c>
      <c r="G18" s="4">
        <v>0.4936</v>
      </c>
      <c r="H18" s="3" t="s">
        <v>21</v>
      </c>
      <c r="I18" s="4" t="s">
        <v>77</v>
      </c>
      <c r="J18" s="5">
        <v>740</v>
      </c>
      <c r="K18" s="4" t="s">
        <v>52</v>
      </c>
      <c r="L18" s="4">
        <v>89</v>
      </c>
      <c r="M18" s="3" t="s">
        <v>63</v>
      </c>
      <c r="N18" s="4" t="s">
        <v>64</v>
      </c>
      <c r="O18" s="5">
        <v>1143</v>
      </c>
      <c r="P18" s="4" t="s">
        <v>60</v>
      </c>
      <c r="Q18" s="4" t="s">
        <v>78</v>
      </c>
      <c r="R18" s="4">
        <v>80</v>
      </c>
    </row>
    <row r="19" spans="1:18">
      <c r="A19" s="4" t="s">
        <v>57</v>
      </c>
      <c r="B19" s="4" t="s">
        <v>30</v>
      </c>
      <c r="C19" s="4" t="s">
        <v>94</v>
      </c>
      <c r="D19" s="4" t="s">
        <v>95</v>
      </c>
      <c r="E19" s="4" t="s">
        <v>92</v>
      </c>
      <c r="F19" s="3" t="str">
        <f t="shared" si="0"/>
        <v>H2A:E64-R30</v>
      </c>
      <c r="G19" s="4">
        <v>0.2228</v>
      </c>
      <c r="H19" s="3" t="s">
        <v>21</v>
      </c>
      <c r="I19" s="4" t="s">
        <v>93</v>
      </c>
      <c r="J19" s="5">
        <v>1093</v>
      </c>
      <c r="K19" s="4" t="s">
        <v>60</v>
      </c>
      <c r="L19" s="4">
        <v>30</v>
      </c>
      <c r="M19" s="3" t="s">
        <v>30</v>
      </c>
      <c r="N19" s="4" t="s">
        <v>70</v>
      </c>
      <c r="O19" s="5">
        <v>625</v>
      </c>
      <c r="P19" s="4" t="s">
        <v>26</v>
      </c>
      <c r="Q19" s="4" t="s">
        <v>27</v>
      </c>
      <c r="R19" s="4">
        <v>64</v>
      </c>
    </row>
    <row r="20" spans="1:18">
      <c r="A20" s="4" t="s">
        <v>57</v>
      </c>
      <c r="B20" s="4" t="s">
        <v>30</v>
      </c>
      <c r="C20" s="4" t="s">
        <v>94</v>
      </c>
      <c r="D20" s="4" t="s">
        <v>95</v>
      </c>
      <c r="E20" s="4" t="s">
        <v>71</v>
      </c>
      <c r="F20" s="3" t="str">
        <f t="shared" si="0"/>
        <v>H4:D24-R210</v>
      </c>
      <c r="G20" s="4">
        <v>0.1492</v>
      </c>
      <c r="H20" s="3" t="s">
        <v>21</v>
      </c>
      <c r="I20" s="4" t="s">
        <v>72</v>
      </c>
      <c r="J20" s="5">
        <v>1273</v>
      </c>
      <c r="K20" s="4" t="s">
        <v>60</v>
      </c>
      <c r="L20" s="4">
        <v>210</v>
      </c>
      <c r="M20" s="3" t="s">
        <v>24</v>
      </c>
      <c r="N20" s="4" t="s">
        <v>73</v>
      </c>
      <c r="O20" s="5">
        <v>494</v>
      </c>
      <c r="P20" s="4" t="s">
        <v>66</v>
      </c>
      <c r="Q20" s="4" t="s">
        <v>67</v>
      </c>
      <c r="R20" s="4">
        <v>24</v>
      </c>
    </row>
    <row r="21" spans="1:18">
      <c r="A21" s="4" t="s">
        <v>57</v>
      </c>
      <c r="B21" s="4" t="s">
        <v>30</v>
      </c>
      <c r="C21" s="4" t="s">
        <v>94</v>
      </c>
      <c r="D21" s="4" t="s">
        <v>95</v>
      </c>
      <c r="E21" s="4" t="s">
        <v>82</v>
      </c>
      <c r="F21" s="3" t="str">
        <f>"H4"&amp;":"&amp;H21&amp;L21&amp;"-"&amp;M21&amp;R21</f>
        <v>H4:K16-E95</v>
      </c>
      <c r="G21" s="4">
        <v>0.1308</v>
      </c>
      <c r="H21" s="3" t="s">
        <v>23</v>
      </c>
      <c r="I21" s="4" t="s">
        <v>83</v>
      </c>
      <c r="J21" s="5">
        <v>486</v>
      </c>
      <c r="K21" s="4" t="s">
        <v>66</v>
      </c>
      <c r="L21" s="4">
        <v>16</v>
      </c>
      <c r="M21" s="3" t="s">
        <v>30</v>
      </c>
      <c r="N21" s="4" t="s">
        <v>84</v>
      </c>
      <c r="O21" s="5">
        <v>1158</v>
      </c>
      <c r="P21" s="4" t="s">
        <v>60</v>
      </c>
      <c r="Q21" s="4" t="s">
        <v>67</v>
      </c>
      <c r="R21" s="4">
        <v>95</v>
      </c>
    </row>
    <row r="22" spans="1:18">
      <c r="A22" s="4" t="s">
        <v>57</v>
      </c>
      <c r="B22" s="4" t="s">
        <v>66</v>
      </c>
      <c r="C22" s="4" t="s">
        <v>96</v>
      </c>
      <c r="D22" s="4" t="s">
        <v>97</v>
      </c>
      <c r="E22" s="4" t="s">
        <v>58</v>
      </c>
      <c r="F22" s="3" t="str">
        <f t="shared" si="0"/>
        <v>H2A:E61-R29</v>
      </c>
      <c r="G22" s="4">
        <v>0.9024</v>
      </c>
      <c r="H22" s="3" t="s">
        <v>21</v>
      </c>
      <c r="I22" s="4" t="s">
        <v>59</v>
      </c>
      <c r="J22" s="5">
        <v>1092</v>
      </c>
      <c r="K22" s="4" t="s">
        <v>60</v>
      </c>
      <c r="L22" s="4">
        <v>29</v>
      </c>
      <c r="M22" s="3" t="s">
        <v>30</v>
      </c>
      <c r="N22" s="4" t="s">
        <v>61</v>
      </c>
      <c r="O22" s="5">
        <v>622</v>
      </c>
      <c r="P22" s="4" t="s">
        <v>26</v>
      </c>
      <c r="Q22" s="4" t="s">
        <v>27</v>
      </c>
      <c r="R22" s="4">
        <v>61</v>
      </c>
    </row>
    <row r="23" spans="1:18">
      <c r="A23" s="4" t="s">
        <v>57</v>
      </c>
      <c r="B23" s="4" t="s">
        <v>66</v>
      </c>
      <c r="C23" s="4" t="s">
        <v>96</v>
      </c>
      <c r="D23" s="4" t="s">
        <v>97</v>
      </c>
      <c r="E23" s="4" t="s">
        <v>71</v>
      </c>
      <c r="F23" s="3" t="str">
        <f t="shared" si="0"/>
        <v>H4:D24-R210</v>
      </c>
      <c r="G23" s="4">
        <v>0.6851</v>
      </c>
      <c r="H23" s="3" t="s">
        <v>21</v>
      </c>
      <c r="I23" s="4" t="s">
        <v>72</v>
      </c>
      <c r="J23" s="5">
        <v>1273</v>
      </c>
      <c r="K23" s="4" t="s">
        <v>60</v>
      </c>
      <c r="L23" s="4">
        <v>210</v>
      </c>
      <c r="M23" s="3" t="s">
        <v>24</v>
      </c>
      <c r="N23" s="4" t="s">
        <v>73</v>
      </c>
      <c r="O23" s="5">
        <v>494</v>
      </c>
      <c r="P23" s="4" t="s">
        <v>66</v>
      </c>
      <c r="Q23" s="4" t="s">
        <v>67</v>
      </c>
      <c r="R23" s="4">
        <v>24</v>
      </c>
    </row>
    <row r="24" spans="1:18">
      <c r="A24" s="4" t="s">
        <v>57</v>
      </c>
      <c r="B24" s="4" t="s">
        <v>66</v>
      </c>
      <c r="C24" s="4" t="s">
        <v>96</v>
      </c>
      <c r="D24" s="4" t="s">
        <v>97</v>
      </c>
      <c r="E24" s="4" t="s">
        <v>68</v>
      </c>
      <c r="F24" s="3" t="str">
        <f t="shared" si="0"/>
        <v>H2A:E64-R28</v>
      </c>
      <c r="G24" s="4">
        <v>0.4899</v>
      </c>
      <c r="H24" s="3" t="s">
        <v>21</v>
      </c>
      <c r="I24" s="4" t="s">
        <v>69</v>
      </c>
      <c r="J24" s="5">
        <v>1091</v>
      </c>
      <c r="K24" s="4" t="s">
        <v>60</v>
      </c>
      <c r="L24" s="4">
        <v>28</v>
      </c>
      <c r="M24" s="3" t="s">
        <v>30</v>
      </c>
      <c r="N24" s="4" t="s">
        <v>70</v>
      </c>
      <c r="O24" s="5">
        <v>625</v>
      </c>
      <c r="P24" s="4" t="s">
        <v>26</v>
      </c>
      <c r="Q24" s="4" t="s">
        <v>27</v>
      </c>
      <c r="R24" s="4">
        <v>64</v>
      </c>
    </row>
    <row r="25" spans="1:18">
      <c r="A25" s="4" t="s">
        <v>57</v>
      </c>
      <c r="B25" s="4" t="s">
        <v>66</v>
      </c>
      <c r="C25" s="4" t="s">
        <v>96</v>
      </c>
      <c r="D25" s="4" t="s">
        <v>97</v>
      </c>
      <c r="E25" s="4" t="s">
        <v>74</v>
      </c>
      <c r="F25" s="3" t="str">
        <f t="shared" si="0"/>
        <v>H2A:D90-R29</v>
      </c>
      <c r="G25" s="4">
        <v>0.4751</v>
      </c>
      <c r="H25" s="3" t="s">
        <v>21</v>
      </c>
      <c r="I25" s="4" t="s">
        <v>59</v>
      </c>
      <c r="J25" s="5">
        <v>1092</v>
      </c>
      <c r="K25" s="4" t="s">
        <v>60</v>
      </c>
      <c r="L25" s="4">
        <v>29</v>
      </c>
      <c r="M25" s="3" t="s">
        <v>24</v>
      </c>
      <c r="N25" s="4" t="s">
        <v>75</v>
      </c>
      <c r="O25" s="5">
        <v>651</v>
      </c>
      <c r="P25" s="4" t="s">
        <v>26</v>
      </c>
      <c r="Q25" s="4" t="s">
        <v>27</v>
      </c>
      <c r="R25" s="4">
        <v>90</v>
      </c>
    </row>
    <row r="26" spans="1:18">
      <c r="A26" s="4" t="s">
        <v>57</v>
      </c>
      <c r="B26" s="4" t="s">
        <v>66</v>
      </c>
      <c r="C26" s="4" t="s">
        <v>96</v>
      </c>
      <c r="D26" s="4" t="s">
        <v>97</v>
      </c>
      <c r="E26" s="4" t="s">
        <v>79</v>
      </c>
      <c r="F26" s="3" t="str">
        <f>"H4"&amp;":"&amp;H26&amp;L26&amp;"-"&amp;M26&amp;R26</f>
        <v>H4:R23-E178</v>
      </c>
      <c r="G26" s="4">
        <v>0.2615</v>
      </c>
      <c r="H26" s="3" t="s">
        <v>21</v>
      </c>
      <c r="I26" s="4" t="s">
        <v>80</v>
      </c>
      <c r="J26" s="5">
        <v>493</v>
      </c>
      <c r="K26" s="4" t="s">
        <v>66</v>
      </c>
      <c r="L26" s="4">
        <v>23</v>
      </c>
      <c r="M26" s="3" t="s">
        <v>30</v>
      </c>
      <c r="N26" s="4" t="s">
        <v>81</v>
      </c>
      <c r="O26" s="5">
        <v>1241</v>
      </c>
      <c r="P26" s="4" t="s">
        <v>60</v>
      </c>
      <c r="Q26" s="4" t="s">
        <v>67</v>
      </c>
      <c r="R26" s="4">
        <v>178</v>
      </c>
    </row>
    <row r="27" spans="1:18">
      <c r="A27" s="4" t="s">
        <v>57</v>
      </c>
      <c r="B27" s="4" t="s">
        <v>66</v>
      </c>
      <c r="C27" s="4" t="s">
        <v>96</v>
      </c>
      <c r="D27" s="4" t="s">
        <v>97</v>
      </c>
      <c r="E27" s="4" t="s">
        <v>87</v>
      </c>
      <c r="F27" s="3" t="str">
        <f>"H3"&amp;":"&amp;H27&amp;L27&amp;"-"&amp;M27&amp;R27</f>
        <v>H3:T80-E140</v>
      </c>
      <c r="G27" s="4">
        <v>0.2247</v>
      </c>
      <c r="H27" s="3" t="s">
        <v>88</v>
      </c>
      <c r="I27" s="4" t="s">
        <v>89</v>
      </c>
      <c r="J27" s="5">
        <v>428</v>
      </c>
      <c r="K27" s="4" t="s">
        <v>30</v>
      </c>
      <c r="L27" s="4">
        <v>80</v>
      </c>
      <c r="M27" s="3" t="s">
        <v>30</v>
      </c>
      <c r="N27" s="4" t="s">
        <v>90</v>
      </c>
      <c r="O27" s="5">
        <v>1203</v>
      </c>
      <c r="P27" s="4" t="s">
        <v>60</v>
      </c>
      <c r="Q27" s="4" t="s">
        <v>91</v>
      </c>
      <c r="R27" s="4">
        <v>140</v>
      </c>
    </row>
    <row r="28" spans="1:18">
      <c r="A28" s="4" t="s">
        <v>57</v>
      </c>
      <c r="B28" s="4" t="s">
        <v>66</v>
      </c>
      <c r="C28" s="4" t="s">
        <v>96</v>
      </c>
      <c r="D28" s="4" t="s">
        <v>97</v>
      </c>
      <c r="E28" s="4" t="s">
        <v>82</v>
      </c>
      <c r="F28" s="3" t="str">
        <f>"H4"&amp;":"&amp;H28&amp;L28&amp;"-"&amp;M28&amp;R28</f>
        <v>H4:K16-E95</v>
      </c>
      <c r="G28" s="4">
        <v>0.2099</v>
      </c>
      <c r="H28" s="3" t="s">
        <v>23</v>
      </c>
      <c r="I28" s="4" t="s">
        <v>83</v>
      </c>
      <c r="J28" s="5">
        <v>486</v>
      </c>
      <c r="K28" s="4" t="s">
        <v>66</v>
      </c>
      <c r="L28" s="4">
        <v>16</v>
      </c>
      <c r="M28" s="3" t="s">
        <v>30</v>
      </c>
      <c r="N28" s="4" t="s">
        <v>84</v>
      </c>
      <c r="O28" s="5">
        <v>1158</v>
      </c>
      <c r="P28" s="4" t="s">
        <v>60</v>
      </c>
      <c r="Q28" s="4" t="s">
        <v>67</v>
      </c>
      <c r="R28" s="4">
        <v>95</v>
      </c>
    </row>
    <row r="29" spans="1:18">
      <c r="A29" s="4" t="s">
        <v>57</v>
      </c>
      <c r="B29" s="4" t="s">
        <v>66</v>
      </c>
      <c r="C29" s="4" t="s">
        <v>96</v>
      </c>
      <c r="D29" s="4" t="s">
        <v>97</v>
      </c>
      <c r="E29" s="4" t="s">
        <v>85</v>
      </c>
      <c r="F29" s="3" t="str">
        <f>"H4"&amp;":"&amp;H29&amp;L29&amp;"-"&amp;M29&amp;R29</f>
        <v>H4:R23-K209</v>
      </c>
      <c r="G29" s="4">
        <v>0.2099</v>
      </c>
      <c r="H29" s="3" t="s">
        <v>21</v>
      </c>
      <c r="I29" s="4" t="s">
        <v>80</v>
      </c>
      <c r="J29" s="5">
        <v>493</v>
      </c>
      <c r="K29" s="4" t="s">
        <v>66</v>
      </c>
      <c r="L29" s="4">
        <v>23</v>
      </c>
      <c r="M29" s="3" t="s">
        <v>23</v>
      </c>
      <c r="N29" s="4" t="s">
        <v>86</v>
      </c>
      <c r="O29" s="5">
        <v>1272</v>
      </c>
      <c r="P29" s="4" t="s">
        <v>60</v>
      </c>
      <c r="Q29" s="4" t="s">
        <v>67</v>
      </c>
      <c r="R29" s="4">
        <v>209</v>
      </c>
    </row>
    <row r="30" spans="1:18">
      <c r="A30" s="4" t="s">
        <v>57</v>
      </c>
      <c r="B30" s="4" t="s">
        <v>66</v>
      </c>
      <c r="C30" s="4" t="s">
        <v>96</v>
      </c>
      <c r="D30" s="4" t="s">
        <v>97</v>
      </c>
      <c r="E30" s="4" t="s">
        <v>92</v>
      </c>
      <c r="F30" s="3" t="str">
        <f t="shared" si="0"/>
        <v>H2A:E64-R30</v>
      </c>
      <c r="G30" s="4">
        <v>0.2007</v>
      </c>
      <c r="H30" s="3" t="s">
        <v>21</v>
      </c>
      <c r="I30" s="4" t="s">
        <v>93</v>
      </c>
      <c r="J30" s="5">
        <v>1093</v>
      </c>
      <c r="K30" s="4" t="s">
        <v>60</v>
      </c>
      <c r="L30" s="4">
        <v>30</v>
      </c>
      <c r="M30" s="3" t="s">
        <v>30</v>
      </c>
      <c r="N30" s="4" t="s">
        <v>70</v>
      </c>
      <c r="O30" s="5">
        <v>625</v>
      </c>
      <c r="P30" s="4" t="s">
        <v>26</v>
      </c>
      <c r="Q30" s="4" t="s">
        <v>27</v>
      </c>
      <c r="R30" s="4">
        <v>64</v>
      </c>
    </row>
    <row r="31" spans="1:18">
      <c r="A31" s="4" t="s">
        <v>57</v>
      </c>
      <c r="B31" s="4" t="s">
        <v>66</v>
      </c>
      <c r="C31" s="4" t="s">
        <v>96</v>
      </c>
      <c r="D31" s="4" t="s">
        <v>97</v>
      </c>
      <c r="E31" s="4" t="s">
        <v>76</v>
      </c>
      <c r="F31" s="3" t="str">
        <f>"H2B"&amp;":"&amp;H31&amp;L31&amp;"-"&amp;M31&amp;R31</f>
        <v>H2B:R89-N80</v>
      </c>
      <c r="G31" s="4">
        <v>0.1308</v>
      </c>
      <c r="H31" s="3" t="s">
        <v>21</v>
      </c>
      <c r="I31" s="4" t="s">
        <v>77</v>
      </c>
      <c r="J31" s="5">
        <v>740</v>
      </c>
      <c r="K31" s="4" t="s">
        <v>52</v>
      </c>
      <c r="L31" s="4">
        <v>89</v>
      </c>
      <c r="M31" s="3" t="s">
        <v>63</v>
      </c>
      <c r="N31" s="4" t="s">
        <v>64</v>
      </c>
      <c r="O31" s="5">
        <v>1143</v>
      </c>
      <c r="P31" s="4" t="s">
        <v>60</v>
      </c>
      <c r="Q31" s="4" t="s">
        <v>78</v>
      </c>
      <c r="R31" s="4">
        <v>80</v>
      </c>
    </row>
    <row r="32" spans="1:18">
      <c r="A32" s="4" t="s">
        <v>57</v>
      </c>
      <c r="B32" s="4" t="s">
        <v>26</v>
      </c>
      <c r="C32" s="4" t="s">
        <v>48</v>
      </c>
      <c r="D32" s="4" t="s">
        <v>49</v>
      </c>
      <c r="E32" s="4" t="s">
        <v>92</v>
      </c>
      <c r="F32" s="3" t="str">
        <f t="shared" si="0"/>
        <v>H2A:E64-R30</v>
      </c>
      <c r="G32" s="4">
        <v>0.558</v>
      </c>
      <c r="H32" s="3" t="s">
        <v>21</v>
      </c>
      <c r="I32" s="4" t="s">
        <v>93</v>
      </c>
      <c r="J32" s="5">
        <v>1093</v>
      </c>
      <c r="K32" s="4" t="s">
        <v>60</v>
      </c>
      <c r="L32" s="4">
        <v>30</v>
      </c>
      <c r="M32" s="3" t="s">
        <v>30</v>
      </c>
      <c r="N32" s="4" t="s">
        <v>70</v>
      </c>
      <c r="O32" s="5">
        <v>625</v>
      </c>
      <c r="P32" s="4" t="s">
        <v>26</v>
      </c>
      <c r="Q32" s="4" t="s">
        <v>27</v>
      </c>
      <c r="R32" s="4">
        <v>64</v>
      </c>
    </row>
    <row r="33" spans="1:18">
      <c r="A33" s="4" t="s">
        <v>57</v>
      </c>
      <c r="B33" s="4" t="s">
        <v>26</v>
      </c>
      <c r="C33" s="4" t="s">
        <v>48</v>
      </c>
      <c r="D33" s="4" t="s">
        <v>49</v>
      </c>
      <c r="E33" s="4" t="s">
        <v>98</v>
      </c>
      <c r="F33" s="3" t="str">
        <f t="shared" si="0"/>
        <v>H2A:E64-R28</v>
      </c>
      <c r="G33" s="4">
        <v>0.5506</v>
      </c>
      <c r="H33" s="3" t="s">
        <v>21</v>
      </c>
      <c r="I33" s="4" t="s">
        <v>69</v>
      </c>
      <c r="J33" s="5">
        <v>1091</v>
      </c>
      <c r="K33" s="4" t="s">
        <v>60</v>
      </c>
      <c r="L33" s="4">
        <v>28</v>
      </c>
      <c r="M33" s="3" t="s">
        <v>30</v>
      </c>
      <c r="N33" s="4" t="s">
        <v>70</v>
      </c>
      <c r="O33" s="5">
        <v>625</v>
      </c>
      <c r="P33" s="4" t="s">
        <v>26</v>
      </c>
      <c r="Q33" s="4" t="s">
        <v>27</v>
      </c>
      <c r="R33" s="4">
        <v>64</v>
      </c>
    </row>
    <row r="34" spans="1:18">
      <c r="A34" s="4" t="s">
        <v>57</v>
      </c>
      <c r="B34" s="4" t="s">
        <v>26</v>
      </c>
      <c r="C34" s="4" t="s">
        <v>48</v>
      </c>
      <c r="D34" s="4" t="s">
        <v>49</v>
      </c>
      <c r="E34" s="4" t="s">
        <v>79</v>
      </c>
      <c r="F34" s="3" t="str">
        <f>"H4"&amp;":"&amp;H34&amp;L34&amp;"-"&amp;M34&amp;R34</f>
        <v>H4:R23-E178</v>
      </c>
      <c r="G34" s="4">
        <v>0.5488</v>
      </c>
      <c r="H34" s="3" t="s">
        <v>21</v>
      </c>
      <c r="I34" s="4" t="s">
        <v>80</v>
      </c>
      <c r="J34" s="5">
        <v>493</v>
      </c>
      <c r="K34" s="4" t="s">
        <v>66</v>
      </c>
      <c r="L34" s="4">
        <v>23</v>
      </c>
      <c r="M34" s="3" t="s">
        <v>30</v>
      </c>
      <c r="N34" s="4" t="s">
        <v>81</v>
      </c>
      <c r="O34" s="5">
        <v>1241</v>
      </c>
      <c r="P34" s="4" t="s">
        <v>60</v>
      </c>
      <c r="Q34" s="4" t="s">
        <v>67</v>
      </c>
      <c r="R34" s="4">
        <v>178</v>
      </c>
    </row>
    <row r="35" spans="1:18">
      <c r="A35" s="4" t="s">
        <v>57</v>
      </c>
      <c r="B35" s="4" t="s">
        <v>26</v>
      </c>
      <c r="C35" s="4" t="s">
        <v>48</v>
      </c>
      <c r="D35" s="4" t="s">
        <v>49</v>
      </c>
      <c r="E35" s="4" t="s">
        <v>99</v>
      </c>
      <c r="F35" s="3" t="str">
        <f t="shared" ref="F35:F61" si="2">Q35&amp;":"&amp;M35&amp;R35&amp;"-"&amp;H35&amp;L35</f>
        <v>H2A:E64-R29</v>
      </c>
      <c r="G35" s="4">
        <v>0.5009</v>
      </c>
      <c r="H35" s="3" t="s">
        <v>21</v>
      </c>
      <c r="I35" s="4" t="s">
        <v>59</v>
      </c>
      <c r="J35" s="5">
        <v>1092</v>
      </c>
      <c r="K35" s="4" t="s">
        <v>60</v>
      </c>
      <c r="L35" s="4">
        <v>29</v>
      </c>
      <c r="M35" s="3" t="s">
        <v>30</v>
      </c>
      <c r="N35" s="4" t="s">
        <v>70</v>
      </c>
      <c r="O35" s="5">
        <v>625</v>
      </c>
      <c r="P35" s="4" t="s">
        <v>26</v>
      </c>
      <c r="Q35" s="4" t="s">
        <v>27</v>
      </c>
      <c r="R35" s="4">
        <v>64</v>
      </c>
    </row>
    <row r="36" spans="1:18">
      <c r="A36" s="4" t="s">
        <v>57</v>
      </c>
      <c r="B36" s="4" t="s">
        <v>26</v>
      </c>
      <c r="C36" s="4" t="s">
        <v>48</v>
      </c>
      <c r="D36" s="4" t="s">
        <v>49</v>
      </c>
      <c r="E36" s="4" t="s">
        <v>71</v>
      </c>
      <c r="F36" s="3" t="str">
        <f t="shared" si="2"/>
        <v>H4:D24-R210</v>
      </c>
      <c r="G36" s="4">
        <v>0.4015</v>
      </c>
      <c r="H36" s="3" t="s">
        <v>21</v>
      </c>
      <c r="I36" s="4" t="s">
        <v>72</v>
      </c>
      <c r="J36" s="5">
        <v>1273</v>
      </c>
      <c r="K36" s="4" t="s">
        <v>60</v>
      </c>
      <c r="L36" s="4">
        <v>210</v>
      </c>
      <c r="M36" s="3" t="s">
        <v>24</v>
      </c>
      <c r="N36" s="4" t="s">
        <v>73</v>
      </c>
      <c r="O36" s="5">
        <v>494</v>
      </c>
      <c r="P36" s="4" t="s">
        <v>66</v>
      </c>
      <c r="Q36" s="4" t="s">
        <v>67</v>
      </c>
      <c r="R36" s="4">
        <v>24</v>
      </c>
    </row>
    <row r="37" spans="1:18">
      <c r="A37" s="4" t="s">
        <v>57</v>
      </c>
      <c r="B37" s="4" t="s">
        <v>26</v>
      </c>
      <c r="C37" s="4" t="s">
        <v>48</v>
      </c>
      <c r="D37" s="4" t="s">
        <v>49</v>
      </c>
      <c r="E37" s="4" t="s">
        <v>74</v>
      </c>
      <c r="F37" s="3" t="str">
        <f t="shared" si="2"/>
        <v>H2A:D90-R29</v>
      </c>
      <c r="G37" s="4">
        <v>0.3665</v>
      </c>
      <c r="H37" s="3" t="s">
        <v>21</v>
      </c>
      <c r="I37" s="4" t="s">
        <v>59</v>
      </c>
      <c r="J37" s="5">
        <v>1092</v>
      </c>
      <c r="K37" s="4" t="s">
        <v>60</v>
      </c>
      <c r="L37" s="4">
        <v>29</v>
      </c>
      <c r="M37" s="3" t="s">
        <v>24</v>
      </c>
      <c r="N37" s="4" t="s">
        <v>75</v>
      </c>
      <c r="O37" s="5">
        <v>651</v>
      </c>
      <c r="P37" s="4" t="s">
        <v>26</v>
      </c>
      <c r="Q37" s="4" t="s">
        <v>27</v>
      </c>
      <c r="R37" s="4">
        <v>90</v>
      </c>
    </row>
    <row r="38" spans="1:18">
      <c r="A38" s="4" t="s">
        <v>57</v>
      </c>
      <c r="B38" s="4" t="s">
        <v>26</v>
      </c>
      <c r="C38" s="4" t="s">
        <v>48</v>
      </c>
      <c r="D38" s="4" t="s">
        <v>49</v>
      </c>
      <c r="E38" s="4" t="s">
        <v>62</v>
      </c>
      <c r="F38" s="3" t="str">
        <f t="shared" si="2"/>
        <v>H4:E74-N80</v>
      </c>
      <c r="G38" s="4">
        <v>0.2597</v>
      </c>
      <c r="H38" s="3" t="s">
        <v>63</v>
      </c>
      <c r="I38" s="4" t="s">
        <v>64</v>
      </c>
      <c r="J38" s="5">
        <v>1143</v>
      </c>
      <c r="K38" s="4" t="s">
        <v>60</v>
      </c>
      <c r="L38" s="4">
        <v>80</v>
      </c>
      <c r="M38" s="3" t="s">
        <v>30</v>
      </c>
      <c r="N38" s="4" t="s">
        <v>65</v>
      </c>
      <c r="O38" s="5">
        <v>544</v>
      </c>
      <c r="P38" s="4" t="s">
        <v>66</v>
      </c>
      <c r="Q38" s="4" t="s">
        <v>67</v>
      </c>
      <c r="R38" s="4">
        <v>74</v>
      </c>
    </row>
    <row r="39" spans="1:18">
      <c r="A39" s="4" t="s">
        <v>57</v>
      </c>
      <c r="B39" s="4" t="s">
        <v>26</v>
      </c>
      <c r="C39" s="4" t="s">
        <v>48</v>
      </c>
      <c r="D39" s="4" t="s">
        <v>49</v>
      </c>
      <c r="E39" s="4" t="s">
        <v>82</v>
      </c>
      <c r="F39" s="3" t="str">
        <f>"H4"&amp;":"&amp;H39&amp;L39&amp;"-"&amp;M39&amp;R39</f>
        <v>H4:K16-E95</v>
      </c>
      <c r="G39" s="4">
        <v>0.1234</v>
      </c>
      <c r="H39" s="3" t="s">
        <v>23</v>
      </c>
      <c r="I39" s="4" t="s">
        <v>83</v>
      </c>
      <c r="J39" s="5">
        <v>486</v>
      </c>
      <c r="K39" s="4" t="s">
        <v>66</v>
      </c>
      <c r="L39" s="4">
        <v>16</v>
      </c>
      <c r="M39" s="3" t="s">
        <v>30</v>
      </c>
      <c r="N39" s="4" t="s">
        <v>84</v>
      </c>
      <c r="O39" s="5">
        <v>1158</v>
      </c>
      <c r="P39" s="4" t="s">
        <v>60</v>
      </c>
      <c r="Q39" s="4" t="s">
        <v>67</v>
      </c>
      <c r="R39" s="4">
        <v>95</v>
      </c>
    </row>
    <row r="40" spans="1:18">
      <c r="A40" s="4" t="s">
        <v>57</v>
      </c>
      <c r="B40" s="4" t="s">
        <v>52</v>
      </c>
      <c r="C40" s="4" t="s">
        <v>100</v>
      </c>
      <c r="D40" s="4" t="s">
        <v>101</v>
      </c>
      <c r="E40" s="4" t="s">
        <v>58</v>
      </c>
      <c r="F40" s="3" t="str">
        <f t="shared" si="2"/>
        <v>H2A:E61-R29</v>
      </c>
      <c r="G40" s="4">
        <v>0.8766</v>
      </c>
      <c r="H40" s="3" t="s">
        <v>21</v>
      </c>
      <c r="I40" s="4" t="s">
        <v>59</v>
      </c>
      <c r="J40" s="5">
        <v>1092</v>
      </c>
      <c r="K40" s="4" t="s">
        <v>60</v>
      </c>
      <c r="L40" s="4">
        <v>29</v>
      </c>
      <c r="M40" s="3" t="s">
        <v>30</v>
      </c>
      <c r="N40" s="4" t="s">
        <v>61</v>
      </c>
      <c r="O40" s="5">
        <v>622</v>
      </c>
      <c r="P40" s="4" t="s">
        <v>26</v>
      </c>
      <c r="Q40" s="4" t="s">
        <v>27</v>
      </c>
      <c r="R40" s="4">
        <v>61</v>
      </c>
    </row>
    <row r="41" spans="1:18">
      <c r="A41" s="4" t="s">
        <v>57</v>
      </c>
      <c r="B41" s="4" t="s">
        <v>52</v>
      </c>
      <c r="C41" s="4" t="s">
        <v>100</v>
      </c>
      <c r="D41" s="4" t="s">
        <v>101</v>
      </c>
      <c r="E41" s="4" t="s">
        <v>74</v>
      </c>
      <c r="F41" s="3" t="str">
        <f t="shared" si="2"/>
        <v>H2A:D90-R29</v>
      </c>
      <c r="G41" s="4">
        <v>0.8527</v>
      </c>
      <c r="H41" s="3" t="s">
        <v>21</v>
      </c>
      <c r="I41" s="4" t="s">
        <v>59</v>
      </c>
      <c r="J41" s="5">
        <v>1092</v>
      </c>
      <c r="K41" s="4" t="s">
        <v>60</v>
      </c>
      <c r="L41" s="4">
        <v>29</v>
      </c>
      <c r="M41" s="3" t="s">
        <v>24</v>
      </c>
      <c r="N41" s="4" t="s">
        <v>75</v>
      </c>
      <c r="O41" s="5">
        <v>651</v>
      </c>
      <c r="P41" s="4" t="s">
        <v>26</v>
      </c>
      <c r="Q41" s="4" t="s">
        <v>27</v>
      </c>
      <c r="R41" s="4">
        <v>90</v>
      </c>
    </row>
    <row r="42" spans="1:18">
      <c r="A42" s="4" t="s">
        <v>57</v>
      </c>
      <c r="B42" s="4" t="s">
        <v>52</v>
      </c>
      <c r="C42" s="4" t="s">
        <v>100</v>
      </c>
      <c r="D42" s="4" t="s">
        <v>101</v>
      </c>
      <c r="E42" s="4" t="s">
        <v>71</v>
      </c>
      <c r="F42" s="3" t="str">
        <f t="shared" si="2"/>
        <v>H4:D24-R210</v>
      </c>
      <c r="G42" s="4">
        <v>0.6906</v>
      </c>
      <c r="H42" s="3" t="s">
        <v>21</v>
      </c>
      <c r="I42" s="4" t="s">
        <v>72</v>
      </c>
      <c r="J42" s="5">
        <v>1273</v>
      </c>
      <c r="K42" s="4" t="s">
        <v>60</v>
      </c>
      <c r="L42" s="4">
        <v>210</v>
      </c>
      <c r="M42" s="3" t="s">
        <v>24</v>
      </c>
      <c r="N42" s="4" t="s">
        <v>73</v>
      </c>
      <c r="O42" s="5">
        <v>494</v>
      </c>
      <c r="P42" s="4" t="s">
        <v>66</v>
      </c>
      <c r="Q42" s="4" t="s">
        <v>67</v>
      </c>
      <c r="R42" s="4">
        <v>24</v>
      </c>
    </row>
    <row r="43" spans="1:18">
      <c r="A43" s="4" t="s">
        <v>57</v>
      </c>
      <c r="B43" s="4" t="s">
        <v>52</v>
      </c>
      <c r="C43" s="4" t="s">
        <v>100</v>
      </c>
      <c r="D43" s="4" t="s">
        <v>101</v>
      </c>
      <c r="E43" s="4" t="s">
        <v>85</v>
      </c>
      <c r="F43" s="3" t="str">
        <f>"H4"&amp;":"&amp;H43&amp;L43&amp;"-"&amp;M43&amp;R43</f>
        <v>H4:R23-K209</v>
      </c>
      <c r="G43" s="4">
        <v>0.6317</v>
      </c>
      <c r="H43" s="3" t="s">
        <v>21</v>
      </c>
      <c r="I43" s="4" t="s">
        <v>80</v>
      </c>
      <c r="J43" s="5">
        <v>493</v>
      </c>
      <c r="K43" s="4" t="s">
        <v>66</v>
      </c>
      <c r="L43" s="4">
        <v>23</v>
      </c>
      <c r="M43" s="3" t="s">
        <v>23</v>
      </c>
      <c r="N43" s="4" t="s">
        <v>86</v>
      </c>
      <c r="O43" s="5">
        <v>1272</v>
      </c>
      <c r="P43" s="4" t="s">
        <v>60</v>
      </c>
      <c r="Q43" s="4" t="s">
        <v>67</v>
      </c>
      <c r="R43" s="4">
        <v>209</v>
      </c>
    </row>
    <row r="44" spans="1:18">
      <c r="A44" s="4" t="s">
        <v>57</v>
      </c>
      <c r="B44" s="4" t="s">
        <v>52</v>
      </c>
      <c r="C44" s="4" t="s">
        <v>100</v>
      </c>
      <c r="D44" s="4" t="s">
        <v>101</v>
      </c>
      <c r="E44" s="4" t="s">
        <v>62</v>
      </c>
      <c r="F44" s="3" t="str">
        <f t="shared" si="2"/>
        <v>H4:E74-N80</v>
      </c>
      <c r="G44" s="4">
        <v>0.6262</v>
      </c>
      <c r="H44" s="3" t="s">
        <v>63</v>
      </c>
      <c r="I44" s="4" t="s">
        <v>64</v>
      </c>
      <c r="J44" s="5">
        <v>1143</v>
      </c>
      <c r="K44" s="4" t="s">
        <v>60</v>
      </c>
      <c r="L44" s="4">
        <v>80</v>
      </c>
      <c r="M44" s="3" t="s">
        <v>30</v>
      </c>
      <c r="N44" s="4" t="s">
        <v>65</v>
      </c>
      <c r="O44" s="5">
        <v>544</v>
      </c>
      <c r="P44" s="4" t="s">
        <v>66</v>
      </c>
      <c r="Q44" s="4" t="s">
        <v>67</v>
      </c>
      <c r="R44" s="4">
        <v>74</v>
      </c>
    </row>
    <row r="45" spans="1:18">
      <c r="A45" s="4" t="s">
        <v>57</v>
      </c>
      <c r="B45" s="4" t="s">
        <v>52</v>
      </c>
      <c r="C45" s="4" t="s">
        <v>100</v>
      </c>
      <c r="D45" s="4" t="s">
        <v>101</v>
      </c>
      <c r="E45" s="4" t="s">
        <v>79</v>
      </c>
      <c r="F45" s="3" t="str">
        <f>"H4"&amp;":"&amp;H45&amp;L45&amp;"-"&amp;M45&amp;R45</f>
        <v>H4:R23-E178</v>
      </c>
      <c r="G45" s="4">
        <v>0.5157</v>
      </c>
      <c r="H45" s="3" t="s">
        <v>21</v>
      </c>
      <c r="I45" s="4" t="s">
        <v>80</v>
      </c>
      <c r="J45" s="5">
        <v>493</v>
      </c>
      <c r="K45" s="4" t="s">
        <v>66</v>
      </c>
      <c r="L45" s="4">
        <v>23</v>
      </c>
      <c r="M45" s="3" t="s">
        <v>30</v>
      </c>
      <c r="N45" s="4" t="s">
        <v>81</v>
      </c>
      <c r="O45" s="5">
        <v>1241</v>
      </c>
      <c r="P45" s="4" t="s">
        <v>60</v>
      </c>
      <c r="Q45" s="4" t="s">
        <v>67</v>
      </c>
      <c r="R45" s="4">
        <v>178</v>
      </c>
    </row>
    <row r="46" spans="1:18">
      <c r="A46" s="4" t="s">
        <v>57</v>
      </c>
      <c r="B46" s="4" t="s">
        <v>52</v>
      </c>
      <c r="C46" s="4" t="s">
        <v>100</v>
      </c>
      <c r="D46" s="4" t="s">
        <v>101</v>
      </c>
      <c r="E46" s="4" t="s">
        <v>76</v>
      </c>
      <c r="F46" s="3" t="str">
        <f>"H2B"&amp;":"&amp;H46&amp;L46&amp;"-"&amp;M46&amp;R46</f>
        <v>H2B:R89-N80</v>
      </c>
      <c r="G46" s="4">
        <v>0.4954</v>
      </c>
      <c r="H46" s="3" t="s">
        <v>21</v>
      </c>
      <c r="I46" s="4" t="s">
        <v>77</v>
      </c>
      <c r="J46" s="5">
        <v>740</v>
      </c>
      <c r="K46" s="4" t="s">
        <v>52</v>
      </c>
      <c r="L46" s="4">
        <v>89</v>
      </c>
      <c r="M46" s="3" t="s">
        <v>63</v>
      </c>
      <c r="N46" s="4" t="s">
        <v>64</v>
      </c>
      <c r="O46" s="5">
        <v>1143</v>
      </c>
      <c r="P46" s="4" t="s">
        <v>60</v>
      </c>
      <c r="Q46" s="4" t="s">
        <v>78</v>
      </c>
      <c r="R46" s="4">
        <v>80</v>
      </c>
    </row>
    <row r="47" spans="1:18">
      <c r="A47" s="4" t="s">
        <v>57</v>
      </c>
      <c r="B47" s="4" t="s">
        <v>52</v>
      </c>
      <c r="C47" s="4" t="s">
        <v>100</v>
      </c>
      <c r="D47" s="4" t="s">
        <v>101</v>
      </c>
      <c r="E47" s="4" t="s">
        <v>87</v>
      </c>
      <c r="F47" s="3" t="str">
        <f>"H3"&amp;":"&amp;H47&amp;L47&amp;"-"&amp;M47&amp;R47</f>
        <v>H3:T80-E140</v>
      </c>
      <c r="G47" s="4">
        <v>0.4033</v>
      </c>
      <c r="H47" s="3" t="s">
        <v>88</v>
      </c>
      <c r="I47" s="4" t="s">
        <v>89</v>
      </c>
      <c r="J47" s="5">
        <v>428</v>
      </c>
      <c r="K47" s="4" t="s">
        <v>30</v>
      </c>
      <c r="L47" s="4">
        <v>80</v>
      </c>
      <c r="M47" s="3" t="s">
        <v>30</v>
      </c>
      <c r="N47" s="4" t="s">
        <v>90</v>
      </c>
      <c r="O47" s="5">
        <v>1203</v>
      </c>
      <c r="P47" s="4" t="s">
        <v>60</v>
      </c>
      <c r="Q47" s="4" t="s">
        <v>91</v>
      </c>
      <c r="R47" s="4">
        <v>140</v>
      </c>
    </row>
    <row r="48" spans="1:18">
      <c r="A48" s="4" t="s">
        <v>57</v>
      </c>
      <c r="B48" s="4" t="s">
        <v>52</v>
      </c>
      <c r="C48" s="4" t="s">
        <v>100</v>
      </c>
      <c r="D48" s="4" t="s">
        <v>101</v>
      </c>
      <c r="E48" s="4" t="s">
        <v>68</v>
      </c>
      <c r="F48" s="3" t="str">
        <f t="shared" si="2"/>
        <v>H2A:E64-R28</v>
      </c>
      <c r="G48" s="4">
        <v>0.3444</v>
      </c>
      <c r="H48" s="3" t="s">
        <v>21</v>
      </c>
      <c r="I48" s="4" t="s">
        <v>69</v>
      </c>
      <c r="J48" s="5">
        <v>1091</v>
      </c>
      <c r="K48" s="4" t="s">
        <v>60</v>
      </c>
      <c r="L48" s="4">
        <v>28</v>
      </c>
      <c r="M48" s="3" t="s">
        <v>30</v>
      </c>
      <c r="N48" s="4" t="s">
        <v>70</v>
      </c>
      <c r="O48" s="5">
        <v>625</v>
      </c>
      <c r="P48" s="4" t="s">
        <v>26</v>
      </c>
      <c r="Q48" s="4" t="s">
        <v>27</v>
      </c>
      <c r="R48" s="4">
        <v>64</v>
      </c>
    </row>
    <row r="49" spans="1:18">
      <c r="A49" s="4" t="s">
        <v>57</v>
      </c>
      <c r="B49" s="4" t="s">
        <v>52</v>
      </c>
      <c r="C49" s="4" t="s">
        <v>100</v>
      </c>
      <c r="D49" s="4" t="s">
        <v>101</v>
      </c>
      <c r="E49" s="4" t="s">
        <v>82</v>
      </c>
      <c r="F49" s="3" t="str">
        <f>"H4"&amp;":"&amp;H49&amp;L49&amp;"-"&amp;M49&amp;R49</f>
        <v>H4:K16-E95</v>
      </c>
      <c r="G49" s="4">
        <v>0.3407</v>
      </c>
      <c r="H49" s="3" t="s">
        <v>23</v>
      </c>
      <c r="I49" s="4" t="s">
        <v>83</v>
      </c>
      <c r="J49" s="5">
        <v>486</v>
      </c>
      <c r="K49" s="4" t="s">
        <v>66</v>
      </c>
      <c r="L49" s="4">
        <v>16</v>
      </c>
      <c r="M49" s="3" t="s">
        <v>30</v>
      </c>
      <c r="N49" s="4" t="s">
        <v>84</v>
      </c>
      <c r="O49" s="5">
        <v>1158</v>
      </c>
      <c r="P49" s="4" t="s">
        <v>60</v>
      </c>
      <c r="Q49" s="4" t="s">
        <v>67</v>
      </c>
      <c r="R49" s="4">
        <v>95</v>
      </c>
    </row>
    <row r="50" spans="1:18">
      <c r="A50" s="4" t="s">
        <v>57</v>
      </c>
      <c r="B50" s="4" t="s">
        <v>52</v>
      </c>
      <c r="C50" s="4" t="s">
        <v>100</v>
      </c>
      <c r="D50" s="4" t="s">
        <v>101</v>
      </c>
      <c r="E50" s="4" t="s">
        <v>92</v>
      </c>
      <c r="F50" s="3" t="str">
        <f t="shared" si="2"/>
        <v>H2A:E64-R30</v>
      </c>
      <c r="G50" s="4">
        <v>0.3204</v>
      </c>
      <c r="H50" s="3" t="s">
        <v>21</v>
      </c>
      <c r="I50" s="4" t="s">
        <v>93</v>
      </c>
      <c r="J50" s="5">
        <v>1093</v>
      </c>
      <c r="K50" s="4" t="s">
        <v>60</v>
      </c>
      <c r="L50" s="4">
        <v>30</v>
      </c>
      <c r="M50" s="3" t="s">
        <v>30</v>
      </c>
      <c r="N50" s="4" t="s">
        <v>70</v>
      </c>
      <c r="O50" s="5">
        <v>625</v>
      </c>
      <c r="P50" s="4" t="s">
        <v>26</v>
      </c>
      <c r="Q50" s="4" t="s">
        <v>27</v>
      </c>
      <c r="R50" s="4">
        <v>64</v>
      </c>
    </row>
    <row r="51" spans="1:18">
      <c r="A51" s="4" t="s">
        <v>57</v>
      </c>
      <c r="B51" s="4" t="s">
        <v>52</v>
      </c>
      <c r="C51" s="4" t="s">
        <v>102</v>
      </c>
      <c r="D51" s="4" t="s">
        <v>103</v>
      </c>
      <c r="E51" s="4" t="s">
        <v>58</v>
      </c>
      <c r="F51" s="3" t="str">
        <f t="shared" si="2"/>
        <v>H2A:E61-R29</v>
      </c>
      <c r="G51" s="4">
        <v>0.849</v>
      </c>
      <c r="H51" s="3" t="s">
        <v>21</v>
      </c>
      <c r="I51" s="4" t="s">
        <v>59</v>
      </c>
      <c r="J51" s="5">
        <v>1092</v>
      </c>
      <c r="K51" s="4" t="s">
        <v>60</v>
      </c>
      <c r="L51" s="4">
        <v>29</v>
      </c>
      <c r="M51" s="3" t="s">
        <v>30</v>
      </c>
      <c r="N51" s="4" t="s">
        <v>61</v>
      </c>
      <c r="O51" s="5">
        <v>622</v>
      </c>
      <c r="P51" s="4" t="s">
        <v>26</v>
      </c>
      <c r="Q51" s="4" t="s">
        <v>27</v>
      </c>
      <c r="R51" s="4">
        <v>61</v>
      </c>
    </row>
    <row r="52" spans="1:18">
      <c r="A52" s="4" t="s">
        <v>57</v>
      </c>
      <c r="B52" s="4" t="s">
        <v>52</v>
      </c>
      <c r="C52" s="4" t="s">
        <v>102</v>
      </c>
      <c r="D52" s="4" t="s">
        <v>103</v>
      </c>
      <c r="E52" s="4" t="s">
        <v>79</v>
      </c>
      <c r="F52" s="3" t="str">
        <f>"H4"&amp;":"&amp;H52&amp;L52&amp;"-"&amp;M52&amp;R52</f>
        <v>H4:R23-E178</v>
      </c>
      <c r="G52" s="4">
        <v>0.6943</v>
      </c>
      <c r="H52" s="3" t="s">
        <v>21</v>
      </c>
      <c r="I52" s="4" t="s">
        <v>80</v>
      </c>
      <c r="J52" s="5">
        <v>493</v>
      </c>
      <c r="K52" s="4" t="s">
        <v>66</v>
      </c>
      <c r="L52" s="4">
        <v>23</v>
      </c>
      <c r="M52" s="3" t="s">
        <v>30</v>
      </c>
      <c r="N52" s="4" t="s">
        <v>81</v>
      </c>
      <c r="O52" s="5">
        <v>1241</v>
      </c>
      <c r="P52" s="4" t="s">
        <v>60</v>
      </c>
      <c r="Q52" s="4" t="s">
        <v>67</v>
      </c>
      <c r="R52" s="4">
        <v>178</v>
      </c>
    </row>
    <row r="53" spans="1:18">
      <c r="A53" s="4" t="s">
        <v>57</v>
      </c>
      <c r="B53" s="4" t="s">
        <v>52</v>
      </c>
      <c r="C53" s="4" t="s">
        <v>102</v>
      </c>
      <c r="D53" s="4" t="s">
        <v>103</v>
      </c>
      <c r="E53" s="4" t="s">
        <v>74</v>
      </c>
      <c r="F53" s="3" t="str">
        <f t="shared" si="2"/>
        <v>H2A:D90-R29</v>
      </c>
      <c r="G53" s="4">
        <v>0.6133</v>
      </c>
      <c r="H53" s="3" t="s">
        <v>21</v>
      </c>
      <c r="I53" s="4" t="s">
        <v>59</v>
      </c>
      <c r="J53" s="5">
        <v>1092</v>
      </c>
      <c r="K53" s="4" t="s">
        <v>60</v>
      </c>
      <c r="L53" s="4">
        <v>29</v>
      </c>
      <c r="M53" s="3" t="s">
        <v>24</v>
      </c>
      <c r="N53" s="4" t="s">
        <v>75</v>
      </c>
      <c r="O53" s="5">
        <v>651</v>
      </c>
      <c r="P53" s="4" t="s">
        <v>26</v>
      </c>
      <c r="Q53" s="4" t="s">
        <v>27</v>
      </c>
      <c r="R53" s="4">
        <v>90</v>
      </c>
    </row>
    <row r="54" spans="1:18">
      <c r="A54" s="4" t="s">
        <v>57</v>
      </c>
      <c r="B54" s="4" t="s">
        <v>52</v>
      </c>
      <c r="C54" s="4" t="s">
        <v>102</v>
      </c>
      <c r="D54" s="4" t="s">
        <v>103</v>
      </c>
      <c r="E54" s="4" t="s">
        <v>62</v>
      </c>
      <c r="F54" s="3" t="str">
        <f t="shared" si="2"/>
        <v>H4:E74-N80</v>
      </c>
      <c r="G54" s="4">
        <v>0.5672</v>
      </c>
      <c r="H54" s="3" t="s">
        <v>63</v>
      </c>
      <c r="I54" s="4" t="s">
        <v>64</v>
      </c>
      <c r="J54" s="5">
        <v>1143</v>
      </c>
      <c r="K54" s="4" t="s">
        <v>60</v>
      </c>
      <c r="L54" s="4">
        <v>80</v>
      </c>
      <c r="M54" s="3" t="s">
        <v>30</v>
      </c>
      <c r="N54" s="4" t="s">
        <v>65</v>
      </c>
      <c r="O54" s="5">
        <v>544</v>
      </c>
      <c r="P54" s="4" t="s">
        <v>66</v>
      </c>
      <c r="Q54" s="4" t="s">
        <v>67</v>
      </c>
      <c r="R54" s="4">
        <v>74</v>
      </c>
    </row>
    <row r="55" spans="1:18">
      <c r="A55" s="4" t="s">
        <v>57</v>
      </c>
      <c r="B55" s="4" t="s">
        <v>52</v>
      </c>
      <c r="C55" s="4" t="s">
        <v>102</v>
      </c>
      <c r="D55" s="4" t="s">
        <v>103</v>
      </c>
      <c r="E55" s="4" t="s">
        <v>76</v>
      </c>
      <c r="F55" s="3" t="str">
        <f>"H2B"&amp;":"&amp;H55&amp;L55&amp;"-"&amp;M55&amp;R55</f>
        <v>H2B:R89-N80</v>
      </c>
      <c r="G55" s="4">
        <v>0.5562</v>
      </c>
      <c r="H55" s="3" t="s">
        <v>21</v>
      </c>
      <c r="I55" s="4" t="s">
        <v>77</v>
      </c>
      <c r="J55" s="5">
        <v>740</v>
      </c>
      <c r="K55" s="4" t="s">
        <v>52</v>
      </c>
      <c r="L55" s="4">
        <v>89</v>
      </c>
      <c r="M55" s="3" t="s">
        <v>63</v>
      </c>
      <c r="N55" s="4" t="s">
        <v>64</v>
      </c>
      <c r="O55" s="5">
        <v>1143</v>
      </c>
      <c r="P55" s="4" t="s">
        <v>60</v>
      </c>
      <c r="Q55" s="4" t="s">
        <v>78</v>
      </c>
      <c r="R55" s="4">
        <v>80</v>
      </c>
    </row>
    <row r="56" spans="1:18">
      <c r="A56" s="4" t="s">
        <v>57</v>
      </c>
      <c r="B56" s="4" t="s">
        <v>52</v>
      </c>
      <c r="C56" s="4" t="s">
        <v>102</v>
      </c>
      <c r="D56" s="4" t="s">
        <v>103</v>
      </c>
      <c r="E56" s="4" t="s">
        <v>68</v>
      </c>
      <c r="F56" s="3" t="str">
        <f t="shared" si="2"/>
        <v>H2A:E64-R28</v>
      </c>
      <c r="G56" s="4">
        <v>0.4273</v>
      </c>
      <c r="H56" s="3" t="s">
        <v>21</v>
      </c>
      <c r="I56" s="4" t="s">
        <v>69</v>
      </c>
      <c r="J56" s="5">
        <v>1091</v>
      </c>
      <c r="K56" s="4" t="s">
        <v>60</v>
      </c>
      <c r="L56" s="4">
        <v>28</v>
      </c>
      <c r="M56" s="3" t="s">
        <v>30</v>
      </c>
      <c r="N56" s="4" t="s">
        <v>70</v>
      </c>
      <c r="O56" s="5">
        <v>625</v>
      </c>
      <c r="P56" s="4" t="s">
        <v>26</v>
      </c>
      <c r="Q56" s="4" t="s">
        <v>27</v>
      </c>
      <c r="R56" s="4">
        <v>64</v>
      </c>
    </row>
    <row r="57" spans="1:18">
      <c r="A57" s="4" t="s">
        <v>57</v>
      </c>
      <c r="B57" s="4" t="s">
        <v>52</v>
      </c>
      <c r="C57" s="4" t="s">
        <v>102</v>
      </c>
      <c r="D57" s="4" t="s">
        <v>103</v>
      </c>
      <c r="E57" s="4" t="s">
        <v>71</v>
      </c>
      <c r="F57" s="3" t="str">
        <f t="shared" si="2"/>
        <v>H4:D24-R210</v>
      </c>
      <c r="G57" s="4">
        <v>0.4236</v>
      </c>
      <c r="H57" s="3" t="s">
        <v>21</v>
      </c>
      <c r="I57" s="4" t="s">
        <v>72</v>
      </c>
      <c r="J57" s="5">
        <v>1273</v>
      </c>
      <c r="K57" s="4" t="s">
        <v>60</v>
      </c>
      <c r="L57" s="4">
        <v>210</v>
      </c>
      <c r="M57" s="3" t="s">
        <v>24</v>
      </c>
      <c r="N57" s="4" t="s">
        <v>73</v>
      </c>
      <c r="O57" s="5">
        <v>494</v>
      </c>
      <c r="P57" s="4" t="s">
        <v>66</v>
      </c>
      <c r="Q57" s="4" t="s">
        <v>67</v>
      </c>
      <c r="R57" s="4">
        <v>24</v>
      </c>
    </row>
    <row r="58" spans="1:18">
      <c r="A58" s="4" t="s">
        <v>57</v>
      </c>
      <c r="B58" s="4" t="s">
        <v>52</v>
      </c>
      <c r="C58" s="4" t="s">
        <v>102</v>
      </c>
      <c r="D58" s="4" t="s">
        <v>103</v>
      </c>
      <c r="E58" s="4" t="s">
        <v>92</v>
      </c>
      <c r="F58" s="3" t="str">
        <f t="shared" si="2"/>
        <v>H2A:E64-R30</v>
      </c>
      <c r="G58" s="4">
        <v>0.3978</v>
      </c>
      <c r="H58" s="3" t="s">
        <v>21</v>
      </c>
      <c r="I58" s="4" t="s">
        <v>93</v>
      </c>
      <c r="J58" s="5">
        <v>1093</v>
      </c>
      <c r="K58" s="4" t="s">
        <v>60</v>
      </c>
      <c r="L58" s="4">
        <v>30</v>
      </c>
      <c r="M58" s="3" t="s">
        <v>30</v>
      </c>
      <c r="N58" s="4" t="s">
        <v>70</v>
      </c>
      <c r="O58" s="5">
        <v>625</v>
      </c>
      <c r="P58" s="4" t="s">
        <v>26</v>
      </c>
      <c r="Q58" s="4" t="s">
        <v>27</v>
      </c>
      <c r="R58" s="4">
        <v>64</v>
      </c>
    </row>
    <row r="59" spans="1:18">
      <c r="A59" s="4" t="s">
        <v>57</v>
      </c>
      <c r="B59" s="4" t="s">
        <v>52</v>
      </c>
      <c r="C59" s="4" t="s">
        <v>102</v>
      </c>
      <c r="D59" s="4" t="s">
        <v>103</v>
      </c>
      <c r="E59" s="4" t="s">
        <v>85</v>
      </c>
      <c r="F59" s="3" t="str">
        <f>"H4"&amp;":"&amp;H59&amp;L59&amp;"-"&amp;M59&amp;R59</f>
        <v>H4:R23-K209</v>
      </c>
      <c r="G59" s="4">
        <v>0.2597</v>
      </c>
      <c r="H59" s="3" t="s">
        <v>21</v>
      </c>
      <c r="I59" s="4" t="s">
        <v>80</v>
      </c>
      <c r="J59" s="5">
        <v>493</v>
      </c>
      <c r="K59" s="4" t="s">
        <v>66</v>
      </c>
      <c r="L59" s="4">
        <v>23</v>
      </c>
      <c r="M59" s="3" t="s">
        <v>23</v>
      </c>
      <c r="N59" s="4" t="s">
        <v>86</v>
      </c>
      <c r="O59" s="5">
        <v>1272</v>
      </c>
      <c r="P59" s="4" t="s">
        <v>60</v>
      </c>
      <c r="Q59" s="4" t="s">
        <v>67</v>
      </c>
      <c r="R59" s="4">
        <v>209</v>
      </c>
    </row>
    <row r="60" spans="1:18">
      <c r="A60" s="4" t="s">
        <v>57</v>
      </c>
      <c r="B60" s="4" t="s">
        <v>52</v>
      </c>
      <c r="C60" s="4" t="s">
        <v>102</v>
      </c>
      <c r="D60" s="4" t="s">
        <v>103</v>
      </c>
      <c r="E60" s="4" t="s">
        <v>82</v>
      </c>
      <c r="F60" s="3" t="str">
        <f>"H4"&amp;":"&amp;H60&amp;L60&amp;"-"&amp;M60&amp;R60</f>
        <v>H4:K16-E95</v>
      </c>
      <c r="G60" s="4">
        <v>0.1565</v>
      </c>
      <c r="H60" s="3" t="s">
        <v>23</v>
      </c>
      <c r="I60" s="4" t="s">
        <v>83</v>
      </c>
      <c r="J60" s="5">
        <v>486</v>
      </c>
      <c r="K60" s="4" t="s">
        <v>66</v>
      </c>
      <c r="L60" s="4">
        <v>16</v>
      </c>
      <c r="M60" s="3" t="s">
        <v>30</v>
      </c>
      <c r="N60" s="4" t="s">
        <v>84</v>
      </c>
      <c r="O60" s="5">
        <v>1158</v>
      </c>
      <c r="P60" s="4" t="s">
        <v>60</v>
      </c>
      <c r="Q60" s="4" t="s">
        <v>67</v>
      </c>
      <c r="R60" s="4">
        <v>95</v>
      </c>
    </row>
    <row r="61" spans="1:18">
      <c r="A61" s="4" t="s">
        <v>57</v>
      </c>
      <c r="B61" s="4" t="s">
        <v>52</v>
      </c>
      <c r="C61" s="4" t="s">
        <v>102</v>
      </c>
      <c r="D61" s="4" t="s">
        <v>103</v>
      </c>
      <c r="E61" s="4" t="s">
        <v>87</v>
      </c>
      <c r="F61" s="3" t="str">
        <f>"H3"&amp;":"&amp;H61&amp;L61&amp;"-"&amp;M61&amp;R61</f>
        <v>H3:T80-E140</v>
      </c>
      <c r="G61" s="4">
        <v>0.1344</v>
      </c>
      <c r="H61" s="3" t="s">
        <v>88</v>
      </c>
      <c r="I61" s="4" t="s">
        <v>89</v>
      </c>
      <c r="J61" s="5">
        <v>428</v>
      </c>
      <c r="K61" s="4" t="s">
        <v>30</v>
      </c>
      <c r="L61" s="4">
        <v>80</v>
      </c>
      <c r="M61" s="3" t="s">
        <v>30</v>
      </c>
      <c r="N61" s="4" t="s">
        <v>90</v>
      </c>
      <c r="O61" s="5">
        <v>1203</v>
      </c>
      <c r="P61" s="4" t="s">
        <v>60</v>
      </c>
      <c r="Q61" s="4" t="s">
        <v>91</v>
      </c>
      <c r="R61" s="4">
        <v>140</v>
      </c>
    </row>
  </sheetData>
  <autoFilter xmlns:etc="http://www.wps.cn/officeDocument/2017/etCustomData" ref="A1:R6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1"/>
  <sheetViews>
    <sheetView zoomScale="70" zoomScaleNormal="70" workbookViewId="0">
      <selection activeCell="A1" sqref="A1:R41"/>
    </sheetView>
  </sheetViews>
  <sheetFormatPr defaultColWidth="8.8" defaultRowHeight="18"/>
  <cols>
    <col min="1" max="1" width="6.2" customWidth="1"/>
    <col min="2" max="2" width="16.4" customWidth="1"/>
    <col min="3" max="3" width="9.9" customWidth="1"/>
    <col min="4" max="4" width="18.6" customWidth="1"/>
    <col min="5" max="5" width="29.9" customWidth="1"/>
    <col min="6" max="6" width="15" customWidth="1"/>
    <col min="7" max="7" width="11.8" customWidth="1"/>
    <col min="8" max="8" width="15.7" style="1" customWidth="1"/>
    <col min="9" max="9" width="9.1" customWidth="1"/>
    <col min="10" max="10" width="11.7" customWidth="1"/>
    <col min="11" max="11" width="23.7" customWidth="1"/>
    <col min="12" max="12" width="21.7" customWidth="1"/>
    <col min="13" max="13" width="17.9" style="1" customWidth="1"/>
    <col min="14" max="14" width="9.5" customWidth="1"/>
    <col min="15" max="15" width="14.2" customWidth="1"/>
    <col min="16" max="16" width="26.4" customWidth="1"/>
    <col min="17" max="17" width="13.4" customWidth="1"/>
    <col min="18" max="18" width="24.4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4" t="s">
        <v>104</v>
      </c>
      <c r="B2" s="4" t="s">
        <v>19</v>
      </c>
      <c r="C2" s="4" t="s">
        <v>19</v>
      </c>
      <c r="D2" s="4" t="s">
        <v>19</v>
      </c>
      <c r="E2" s="4" t="s">
        <v>105</v>
      </c>
      <c r="F2" s="3" t="str">
        <f>Q2&amp;":"&amp;M2&amp;R2&amp;"-"&amp;H2&amp;L2</f>
        <v>H2A:D90-R1627</v>
      </c>
      <c r="G2" s="4">
        <v>0.5111</v>
      </c>
      <c r="H2" s="3" t="s">
        <v>21</v>
      </c>
      <c r="I2" s="4" t="s">
        <v>106</v>
      </c>
      <c r="J2" s="5">
        <v>1175</v>
      </c>
      <c r="K2" s="4" t="s">
        <v>23</v>
      </c>
      <c r="L2" s="4">
        <v>1627</v>
      </c>
      <c r="M2" s="3" t="s">
        <v>24</v>
      </c>
      <c r="N2" s="4" t="s">
        <v>107</v>
      </c>
      <c r="O2" s="5">
        <v>664</v>
      </c>
      <c r="P2" s="4" t="s">
        <v>26</v>
      </c>
      <c r="Q2" s="4" t="s">
        <v>27</v>
      </c>
      <c r="R2" s="4">
        <v>90</v>
      </c>
    </row>
    <row r="3" spans="1:18">
      <c r="A3" s="4" t="s">
        <v>104</v>
      </c>
      <c r="B3" s="4" t="s">
        <v>19</v>
      </c>
      <c r="C3" s="4" t="s">
        <v>19</v>
      </c>
      <c r="D3" s="4" t="s">
        <v>19</v>
      </c>
      <c r="E3" s="4" t="s">
        <v>108</v>
      </c>
      <c r="F3" s="3" t="str">
        <f>Q3&amp;":"&amp;H3&amp;L3&amp;"-"&amp;M3&amp;R3</f>
        <v>H2B:Q92-K1613</v>
      </c>
      <c r="G3" s="4">
        <v>0.4667</v>
      </c>
      <c r="H3" s="3" t="s">
        <v>109</v>
      </c>
      <c r="I3" s="4" t="s">
        <v>110</v>
      </c>
      <c r="J3" s="5">
        <v>762</v>
      </c>
      <c r="K3" s="4" t="s">
        <v>52</v>
      </c>
      <c r="L3" s="4">
        <v>92</v>
      </c>
      <c r="M3" s="3" t="s">
        <v>23</v>
      </c>
      <c r="N3" s="4" t="s">
        <v>111</v>
      </c>
      <c r="O3" s="5">
        <v>1161</v>
      </c>
      <c r="P3" s="4" t="s">
        <v>23</v>
      </c>
      <c r="Q3" s="4" t="s">
        <v>78</v>
      </c>
      <c r="R3" s="4">
        <v>1613</v>
      </c>
    </row>
    <row r="4" spans="1:18">
      <c r="A4" s="4" t="s">
        <v>104</v>
      </c>
      <c r="B4" s="4" t="s">
        <v>19</v>
      </c>
      <c r="C4" s="4" t="s">
        <v>19</v>
      </c>
      <c r="D4" s="4" t="s">
        <v>19</v>
      </c>
      <c r="E4" s="4" t="s">
        <v>112</v>
      </c>
      <c r="F4" s="3" t="str">
        <f t="shared" ref="F4:F9" si="0">Q4&amp;":"&amp;M4&amp;R4&amp;"-"&amp;H4&amp;L4</f>
        <v>H2A:E61-R1627</v>
      </c>
      <c r="G4" s="4">
        <v>0.4204</v>
      </c>
      <c r="H4" s="3" t="s">
        <v>21</v>
      </c>
      <c r="I4" s="4" t="s">
        <v>106</v>
      </c>
      <c r="J4" s="5">
        <v>1175</v>
      </c>
      <c r="K4" s="4" t="s">
        <v>23</v>
      </c>
      <c r="L4" s="4">
        <v>1627</v>
      </c>
      <c r="M4" s="3" t="s">
        <v>30</v>
      </c>
      <c r="N4" s="4" t="s">
        <v>113</v>
      </c>
      <c r="O4" s="5">
        <v>635</v>
      </c>
      <c r="P4" s="4" t="s">
        <v>26</v>
      </c>
      <c r="Q4" s="4" t="s">
        <v>27</v>
      </c>
      <c r="R4" s="4">
        <v>61</v>
      </c>
    </row>
    <row r="5" spans="1:18">
      <c r="A5" s="4" t="s">
        <v>104</v>
      </c>
      <c r="B5" s="4" t="s">
        <v>19</v>
      </c>
      <c r="C5" s="4" t="s">
        <v>19</v>
      </c>
      <c r="D5" s="4" t="s">
        <v>19</v>
      </c>
      <c r="E5" s="4" t="s">
        <v>114</v>
      </c>
      <c r="F5" s="3" t="str">
        <f t="shared" si="0"/>
        <v>H2A:E92-R1627</v>
      </c>
      <c r="G5" s="4">
        <v>0.3778</v>
      </c>
      <c r="H5" s="3" t="s">
        <v>21</v>
      </c>
      <c r="I5" s="4" t="s">
        <v>106</v>
      </c>
      <c r="J5" s="5">
        <v>1175</v>
      </c>
      <c r="K5" s="4" t="s">
        <v>23</v>
      </c>
      <c r="L5" s="4">
        <v>1627</v>
      </c>
      <c r="M5" s="3" t="s">
        <v>30</v>
      </c>
      <c r="N5" s="4" t="s">
        <v>115</v>
      </c>
      <c r="O5" s="5">
        <v>666</v>
      </c>
      <c r="P5" s="4" t="s">
        <v>26</v>
      </c>
      <c r="Q5" s="4" t="s">
        <v>27</v>
      </c>
      <c r="R5" s="4">
        <v>92</v>
      </c>
    </row>
    <row r="6" spans="1:18">
      <c r="A6" s="4" t="s">
        <v>104</v>
      </c>
      <c r="B6" s="4" t="s">
        <v>19</v>
      </c>
      <c r="C6" s="4" t="s">
        <v>19</v>
      </c>
      <c r="D6" s="4" t="s">
        <v>19</v>
      </c>
      <c r="E6" s="4" t="s">
        <v>116</v>
      </c>
      <c r="F6" s="3" t="str">
        <f t="shared" si="0"/>
        <v>H3:F78-T1612</v>
      </c>
      <c r="G6" s="4">
        <v>0.3315</v>
      </c>
      <c r="H6" s="3" t="s">
        <v>88</v>
      </c>
      <c r="I6" s="4" t="s">
        <v>117</v>
      </c>
      <c r="J6" s="5">
        <v>1160</v>
      </c>
      <c r="K6" s="4" t="s">
        <v>23</v>
      </c>
      <c r="L6" s="4">
        <v>1612</v>
      </c>
      <c r="M6" s="3" t="s">
        <v>66</v>
      </c>
      <c r="N6" s="4" t="s">
        <v>118</v>
      </c>
      <c r="O6" s="5">
        <v>441</v>
      </c>
      <c r="P6" s="4" t="s">
        <v>30</v>
      </c>
      <c r="Q6" s="4" t="s">
        <v>91</v>
      </c>
      <c r="R6" s="4">
        <v>78</v>
      </c>
    </row>
    <row r="7" spans="1:18">
      <c r="A7" s="4" t="s">
        <v>104</v>
      </c>
      <c r="B7" s="4" t="s">
        <v>19</v>
      </c>
      <c r="C7" s="4" t="s">
        <v>19</v>
      </c>
      <c r="D7" s="4" t="s">
        <v>19</v>
      </c>
      <c r="E7" s="4" t="s">
        <v>119</v>
      </c>
      <c r="F7" s="3" t="str">
        <f t="shared" si="0"/>
        <v>H4:E74-T1612</v>
      </c>
      <c r="G7" s="4">
        <v>0.3111</v>
      </c>
      <c r="H7" s="3" t="s">
        <v>88</v>
      </c>
      <c r="I7" s="4" t="s">
        <v>117</v>
      </c>
      <c r="J7" s="5">
        <v>1160</v>
      </c>
      <c r="K7" s="4" t="s">
        <v>23</v>
      </c>
      <c r="L7" s="4">
        <v>1612</v>
      </c>
      <c r="M7" s="3" t="s">
        <v>30</v>
      </c>
      <c r="N7" s="4" t="s">
        <v>120</v>
      </c>
      <c r="O7" s="5">
        <v>554</v>
      </c>
      <c r="P7" s="4" t="s">
        <v>66</v>
      </c>
      <c r="Q7" s="4" t="s">
        <v>67</v>
      </c>
      <c r="R7" s="4">
        <v>74</v>
      </c>
    </row>
    <row r="8" spans="1:18">
      <c r="A8" s="4" t="s">
        <v>104</v>
      </c>
      <c r="B8" s="4" t="s">
        <v>19</v>
      </c>
      <c r="C8" s="4" t="s">
        <v>19</v>
      </c>
      <c r="D8" s="4" t="s">
        <v>19</v>
      </c>
      <c r="E8" s="4" t="s">
        <v>121</v>
      </c>
      <c r="F8" s="3" t="str">
        <f t="shared" si="0"/>
        <v>H2A:E92-R1630</v>
      </c>
      <c r="G8" s="4">
        <v>0.2389</v>
      </c>
      <c r="H8" s="3" t="s">
        <v>21</v>
      </c>
      <c r="I8" s="4" t="s">
        <v>122</v>
      </c>
      <c r="J8" s="5">
        <v>1178</v>
      </c>
      <c r="K8" s="4" t="s">
        <v>23</v>
      </c>
      <c r="L8" s="4">
        <v>1630</v>
      </c>
      <c r="M8" s="3" t="s">
        <v>30</v>
      </c>
      <c r="N8" s="4" t="s">
        <v>115</v>
      </c>
      <c r="O8" s="5">
        <v>666</v>
      </c>
      <c r="P8" s="4" t="s">
        <v>26</v>
      </c>
      <c r="Q8" s="4" t="s">
        <v>27</v>
      </c>
      <c r="R8" s="4">
        <v>92</v>
      </c>
    </row>
    <row r="9" spans="1:18">
      <c r="A9" s="4" t="s">
        <v>104</v>
      </c>
      <c r="B9" s="4" t="s">
        <v>19</v>
      </c>
      <c r="C9" s="4" t="s">
        <v>19</v>
      </c>
      <c r="D9" s="4" t="s">
        <v>19</v>
      </c>
      <c r="E9" s="4" t="s">
        <v>123</v>
      </c>
      <c r="F9" s="3" t="str">
        <f t="shared" si="0"/>
        <v>H2A:E64-K1628</v>
      </c>
      <c r="G9" s="4">
        <v>0.1426</v>
      </c>
      <c r="H9" s="3" t="s">
        <v>23</v>
      </c>
      <c r="I9" s="4" t="s">
        <v>124</v>
      </c>
      <c r="J9" s="5">
        <v>1176</v>
      </c>
      <c r="K9" s="4" t="s">
        <v>23</v>
      </c>
      <c r="L9" s="4">
        <v>1628</v>
      </c>
      <c r="M9" s="3" t="s">
        <v>30</v>
      </c>
      <c r="N9" s="4" t="s">
        <v>125</v>
      </c>
      <c r="O9" s="5">
        <v>638</v>
      </c>
      <c r="P9" s="4" t="s">
        <v>26</v>
      </c>
      <c r="Q9" s="4" t="s">
        <v>27</v>
      </c>
      <c r="R9" s="4">
        <v>64</v>
      </c>
    </row>
    <row r="10" spans="1:18">
      <c r="A10" s="4" t="s">
        <v>104</v>
      </c>
      <c r="B10" s="4" t="s">
        <v>19</v>
      </c>
      <c r="C10" s="4" t="s">
        <v>19</v>
      </c>
      <c r="D10" s="4" t="s">
        <v>19</v>
      </c>
      <c r="E10" s="4" t="s">
        <v>126</v>
      </c>
      <c r="F10" s="3" t="str">
        <f>Q10&amp;":"&amp;H10&amp;L10&amp;"-"&amp;M10&amp;R10</f>
        <v>H2B:Q92-D1616</v>
      </c>
      <c r="G10" s="4">
        <v>0.1111</v>
      </c>
      <c r="H10" s="3" t="s">
        <v>109</v>
      </c>
      <c r="I10" s="4" t="s">
        <v>110</v>
      </c>
      <c r="J10" s="5">
        <v>762</v>
      </c>
      <c r="K10" s="4" t="s">
        <v>52</v>
      </c>
      <c r="L10" s="4">
        <v>92</v>
      </c>
      <c r="M10" s="3" t="s">
        <v>24</v>
      </c>
      <c r="N10" s="4" t="s">
        <v>127</v>
      </c>
      <c r="O10" s="5">
        <v>1164</v>
      </c>
      <c r="P10" s="4" t="s">
        <v>23</v>
      </c>
      <c r="Q10" s="4" t="s">
        <v>78</v>
      </c>
      <c r="R10" s="4">
        <v>1616</v>
      </c>
    </row>
    <row r="11" spans="1:18">
      <c r="A11" s="4" t="s">
        <v>104</v>
      </c>
      <c r="B11" s="4" t="s">
        <v>19</v>
      </c>
      <c r="C11" s="4" t="s">
        <v>19</v>
      </c>
      <c r="D11" s="4" t="s">
        <v>19</v>
      </c>
      <c r="E11" s="4" t="s">
        <v>128</v>
      </c>
      <c r="F11" s="3" t="str">
        <f t="shared" ref="F11:F16" si="1">Q11&amp;":"&amp;M11&amp;R11&amp;"-"&amp;H11&amp;L11</f>
        <v>H2B:K122-R72</v>
      </c>
      <c r="G11" s="4">
        <v>0.1074</v>
      </c>
      <c r="H11" s="3" t="s">
        <v>21</v>
      </c>
      <c r="I11" s="4" t="s">
        <v>129</v>
      </c>
      <c r="J11" s="5">
        <v>1154</v>
      </c>
      <c r="K11" s="4" t="s">
        <v>130</v>
      </c>
      <c r="L11" s="4">
        <v>72</v>
      </c>
      <c r="M11" s="3" t="s">
        <v>23</v>
      </c>
      <c r="N11" s="4" t="s">
        <v>131</v>
      </c>
      <c r="O11" s="5">
        <v>792</v>
      </c>
      <c r="P11" s="4" t="s">
        <v>52</v>
      </c>
      <c r="Q11" s="4" t="s">
        <v>78</v>
      </c>
      <c r="R11" s="4">
        <v>122</v>
      </c>
    </row>
    <row r="12" spans="1:18">
      <c r="A12" s="4" t="s">
        <v>104</v>
      </c>
      <c r="B12" s="4" t="s">
        <v>19</v>
      </c>
      <c r="C12" s="4" t="s">
        <v>19</v>
      </c>
      <c r="D12" s="4" t="s">
        <v>19</v>
      </c>
      <c r="E12" s="4" t="s">
        <v>132</v>
      </c>
      <c r="F12" s="3" t="str">
        <f t="shared" si="1"/>
        <v>H2B:S120-L73</v>
      </c>
      <c r="G12" s="4">
        <v>0.1056</v>
      </c>
      <c r="H12" s="3" t="s">
        <v>60</v>
      </c>
      <c r="I12" s="4" t="s">
        <v>133</v>
      </c>
      <c r="J12" s="5">
        <v>1155</v>
      </c>
      <c r="K12" s="4" t="s">
        <v>130</v>
      </c>
      <c r="L12" s="4">
        <v>73</v>
      </c>
      <c r="M12" s="3" t="s">
        <v>36</v>
      </c>
      <c r="N12" s="4" t="s">
        <v>134</v>
      </c>
      <c r="O12" s="5">
        <v>790</v>
      </c>
      <c r="P12" s="4" t="s">
        <v>52</v>
      </c>
      <c r="Q12" s="4" t="s">
        <v>78</v>
      </c>
      <c r="R12" s="4">
        <v>120</v>
      </c>
    </row>
    <row r="13" spans="1:18">
      <c r="A13" s="4" t="s">
        <v>104</v>
      </c>
      <c r="B13" s="4" t="s">
        <v>66</v>
      </c>
      <c r="C13" s="4" t="s">
        <v>96</v>
      </c>
      <c r="D13" s="4" t="s">
        <v>97</v>
      </c>
      <c r="E13" s="4" t="s">
        <v>105</v>
      </c>
      <c r="F13" s="3" t="str">
        <f t="shared" si="1"/>
        <v>H2A:D90-R1627</v>
      </c>
      <c r="G13" s="4">
        <v>0.825</v>
      </c>
      <c r="H13" s="3" t="s">
        <v>21</v>
      </c>
      <c r="I13" s="4" t="s">
        <v>106</v>
      </c>
      <c r="J13" s="5">
        <v>1175</v>
      </c>
      <c r="K13" s="4" t="s">
        <v>23</v>
      </c>
      <c r="L13" s="4">
        <v>1627</v>
      </c>
      <c r="M13" s="3" t="s">
        <v>24</v>
      </c>
      <c r="N13" s="4" t="s">
        <v>107</v>
      </c>
      <c r="O13" s="5">
        <v>664</v>
      </c>
      <c r="P13" s="4" t="s">
        <v>26</v>
      </c>
      <c r="Q13" s="4" t="s">
        <v>27</v>
      </c>
      <c r="R13" s="4">
        <v>90</v>
      </c>
    </row>
    <row r="14" spans="1:18">
      <c r="A14" s="4" t="s">
        <v>104</v>
      </c>
      <c r="B14" s="4" t="s">
        <v>66</v>
      </c>
      <c r="C14" s="4" t="s">
        <v>96</v>
      </c>
      <c r="D14" s="4" t="s">
        <v>97</v>
      </c>
      <c r="E14" s="4" t="s">
        <v>112</v>
      </c>
      <c r="F14" s="3" t="str">
        <f t="shared" si="1"/>
        <v>H2A:E61-R1627</v>
      </c>
      <c r="G14" s="4">
        <v>0.7293</v>
      </c>
      <c r="H14" s="3" t="s">
        <v>21</v>
      </c>
      <c r="I14" s="4" t="s">
        <v>106</v>
      </c>
      <c r="J14" s="5">
        <v>1175</v>
      </c>
      <c r="K14" s="4" t="s">
        <v>23</v>
      </c>
      <c r="L14" s="4">
        <v>1627</v>
      </c>
      <c r="M14" s="3" t="s">
        <v>30</v>
      </c>
      <c r="N14" s="4" t="s">
        <v>113</v>
      </c>
      <c r="O14" s="5">
        <v>635</v>
      </c>
      <c r="P14" s="4" t="s">
        <v>26</v>
      </c>
      <c r="Q14" s="4" t="s">
        <v>27</v>
      </c>
      <c r="R14" s="4">
        <v>61</v>
      </c>
    </row>
    <row r="15" spans="1:18">
      <c r="A15" s="4" t="s">
        <v>104</v>
      </c>
      <c r="B15" s="4" t="s">
        <v>66</v>
      </c>
      <c r="C15" s="4" t="s">
        <v>96</v>
      </c>
      <c r="D15" s="4" t="s">
        <v>97</v>
      </c>
      <c r="E15" s="4" t="s">
        <v>114</v>
      </c>
      <c r="F15" s="3" t="str">
        <f t="shared" si="1"/>
        <v>H2A:E92-R1627</v>
      </c>
      <c r="G15" s="4">
        <v>0.4457</v>
      </c>
      <c r="H15" s="3" t="s">
        <v>21</v>
      </c>
      <c r="I15" s="4" t="s">
        <v>106</v>
      </c>
      <c r="J15" s="5">
        <v>1175</v>
      </c>
      <c r="K15" s="4" t="s">
        <v>23</v>
      </c>
      <c r="L15" s="4">
        <v>1627</v>
      </c>
      <c r="M15" s="3" t="s">
        <v>30</v>
      </c>
      <c r="N15" s="4" t="s">
        <v>115</v>
      </c>
      <c r="O15" s="5">
        <v>666</v>
      </c>
      <c r="P15" s="4" t="s">
        <v>26</v>
      </c>
      <c r="Q15" s="4" t="s">
        <v>27</v>
      </c>
      <c r="R15" s="4">
        <v>92</v>
      </c>
    </row>
    <row r="16" spans="1:18">
      <c r="A16" s="4" t="s">
        <v>104</v>
      </c>
      <c r="B16" s="4" t="s">
        <v>66</v>
      </c>
      <c r="C16" s="4" t="s">
        <v>96</v>
      </c>
      <c r="D16" s="4" t="s">
        <v>97</v>
      </c>
      <c r="E16" s="4" t="s">
        <v>123</v>
      </c>
      <c r="F16" s="3" t="str">
        <f t="shared" si="1"/>
        <v>H2A:E64-K1628</v>
      </c>
      <c r="G16" s="4">
        <v>0.3241</v>
      </c>
      <c r="H16" s="3" t="s">
        <v>23</v>
      </c>
      <c r="I16" s="4" t="s">
        <v>124</v>
      </c>
      <c r="J16" s="5">
        <v>1176</v>
      </c>
      <c r="K16" s="4" t="s">
        <v>23</v>
      </c>
      <c r="L16" s="4">
        <v>1628</v>
      </c>
      <c r="M16" s="3" t="s">
        <v>30</v>
      </c>
      <c r="N16" s="4" t="s">
        <v>125</v>
      </c>
      <c r="O16" s="5">
        <v>638</v>
      </c>
      <c r="P16" s="4" t="s">
        <v>26</v>
      </c>
      <c r="Q16" s="4" t="s">
        <v>27</v>
      </c>
      <c r="R16" s="4">
        <v>64</v>
      </c>
    </row>
    <row r="17" spans="1:18">
      <c r="A17" s="4" t="s">
        <v>104</v>
      </c>
      <c r="B17" s="4" t="s">
        <v>66</v>
      </c>
      <c r="C17" s="4" t="s">
        <v>96</v>
      </c>
      <c r="D17" s="4" t="s">
        <v>97</v>
      </c>
      <c r="E17" s="4" t="s">
        <v>126</v>
      </c>
      <c r="F17" s="3" t="str">
        <f>Q17&amp;":"&amp;H17&amp;L17&amp;"-"&amp;M17&amp;R17</f>
        <v>H2B:Q92-D1616</v>
      </c>
      <c r="G17" s="4">
        <v>0.2431</v>
      </c>
      <c r="H17" s="3" t="s">
        <v>109</v>
      </c>
      <c r="I17" s="4" t="s">
        <v>110</v>
      </c>
      <c r="J17" s="5">
        <v>762</v>
      </c>
      <c r="K17" s="4" t="s">
        <v>52</v>
      </c>
      <c r="L17" s="4">
        <v>92</v>
      </c>
      <c r="M17" s="3" t="s">
        <v>24</v>
      </c>
      <c r="N17" s="4" t="s">
        <v>127</v>
      </c>
      <c r="O17" s="5">
        <v>1164</v>
      </c>
      <c r="P17" s="4" t="s">
        <v>23</v>
      </c>
      <c r="Q17" s="4" t="s">
        <v>78</v>
      </c>
      <c r="R17" s="4">
        <v>1616</v>
      </c>
    </row>
    <row r="18" spans="1:18">
      <c r="A18" s="4" t="s">
        <v>104</v>
      </c>
      <c r="B18" s="4" t="s">
        <v>66</v>
      </c>
      <c r="C18" s="4" t="s">
        <v>96</v>
      </c>
      <c r="D18" s="4" t="s">
        <v>97</v>
      </c>
      <c r="E18" s="4" t="s">
        <v>121</v>
      </c>
      <c r="F18" s="3" t="str">
        <f t="shared" ref="F18:F23" si="2">Q18&amp;":"&amp;M18&amp;R18&amp;"-"&amp;H18&amp;L18</f>
        <v>H2A:E92-R1630</v>
      </c>
      <c r="G18" s="4">
        <v>0.2081</v>
      </c>
      <c r="H18" s="3" t="s">
        <v>21</v>
      </c>
      <c r="I18" s="4" t="s">
        <v>122</v>
      </c>
      <c r="J18" s="5">
        <v>1178</v>
      </c>
      <c r="K18" s="4" t="s">
        <v>23</v>
      </c>
      <c r="L18" s="4">
        <v>1630</v>
      </c>
      <c r="M18" s="3" t="s">
        <v>30</v>
      </c>
      <c r="N18" s="4" t="s">
        <v>115</v>
      </c>
      <c r="O18" s="5">
        <v>666</v>
      </c>
      <c r="P18" s="4" t="s">
        <v>26</v>
      </c>
      <c r="Q18" s="4" t="s">
        <v>27</v>
      </c>
      <c r="R18" s="4">
        <v>92</v>
      </c>
    </row>
    <row r="19" spans="1:18">
      <c r="A19" s="4" t="s">
        <v>104</v>
      </c>
      <c r="B19" s="4" t="s">
        <v>26</v>
      </c>
      <c r="C19" s="4" t="s">
        <v>48</v>
      </c>
      <c r="D19" s="4" t="s">
        <v>49</v>
      </c>
      <c r="E19" s="4" t="s">
        <v>105</v>
      </c>
      <c r="F19" s="3" t="str">
        <f t="shared" si="2"/>
        <v>H2A:D90-R1627</v>
      </c>
      <c r="G19" s="4">
        <v>0.4475</v>
      </c>
      <c r="H19" s="3" t="s">
        <v>21</v>
      </c>
      <c r="I19" s="4" t="s">
        <v>106</v>
      </c>
      <c r="J19" s="5">
        <v>1175</v>
      </c>
      <c r="K19" s="4" t="s">
        <v>23</v>
      </c>
      <c r="L19" s="4">
        <v>1627</v>
      </c>
      <c r="M19" s="3" t="s">
        <v>24</v>
      </c>
      <c r="N19" s="4" t="s">
        <v>107</v>
      </c>
      <c r="O19" s="5">
        <v>664</v>
      </c>
      <c r="P19" s="4" t="s">
        <v>26</v>
      </c>
      <c r="Q19" s="4" t="s">
        <v>27</v>
      </c>
      <c r="R19" s="4">
        <v>90</v>
      </c>
    </row>
    <row r="20" spans="1:18">
      <c r="A20" s="4" t="s">
        <v>104</v>
      </c>
      <c r="B20" s="4" t="s">
        <v>26</v>
      </c>
      <c r="C20" s="4" t="s">
        <v>48</v>
      </c>
      <c r="D20" s="4" t="s">
        <v>49</v>
      </c>
      <c r="E20" s="4" t="s">
        <v>132</v>
      </c>
      <c r="F20" s="3" t="str">
        <f t="shared" si="2"/>
        <v>H2B:S120-L73</v>
      </c>
      <c r="G20" s="4">
        <v>0.4438</v>
      </c>
      <c r="H20" s="3" t="s">
        <v>60</v>
      </c>
      <c r="I20" s="4" t="s">
        <v>133</v>
      </c>
      <c r="J20" s="5">
        <v>1155</v>
      </c>
      <c r="K20" s="4" t="s">
        <v>130</v>
      </c>
      <c r="L20" s="4">
        <v>73</v>
      </c>
      <c r="M20" s="3" t="s">
        <v>36</v>
      </c>
      <c r="N20" s="4" t="s">
        <v>134</v>
      </c>
      <c r="O20" s="5">
        <v>790</v>
      </c>
      <c r="P20" s="4" t="s">
        <v>52</v>
      </c>
      <c r="Q20" s="4" t="s">
        <v>78</v>
      </c>
      <c r="R20" s="4">
        <v>120</v>
      </c>
    </row>
    <row r="21" spans="1:18">
      <c r="A21" s="4" t="s">
        <v>104</v>
      </c>
      <c r="B21" s="4" t="s">
        <v>26</v>
      </c>
      <c r="C21" s="4" t="s">
        <v>48</v>
      </c>
      <c r="D21" s="4" t="s">
        <v>49</v>
      </c>
      <c r="E21" s="4" t="s">
        <v>116</v>
      </c>
      <c r="F21" s="3" t="str">
        <f t="shared" si="2"/>
        <v>H3:F78-T1612</v>
      </c>
      <c r="G21" s="4">
        <v>0.3941</v>
      </c>
      <c r="H21" s="3" t="s">
        <v>88</v>
      </c>
      <c r="I21" s="4" t="s">
        <v>117</v>
      </c>
      <c r="J21" s="5">
        <v>1160</v>
      </c>
      <c r="K21" s="4" t="s">
        <v>23</v>
      </c>
      <c r="L21" s="4">
        <v>1612</v>
      </c>
      <c r="M21" s="3" t="s">
        <v>66</v>
      </c>
      <c r="N21" s="4" t="s">
        <v>118</v>
      </c>
      <c r="O21" s="5">
        <v>441</v>
      </c>
      <c r="P21" s="4" t="s">
        <v>30</v>
      </c>
      <c r="Q21" s="4" t="s">
        <v>91</v>
      </c>
      <c r="R21" s="4">
        <v>78</v>
      </c>
    </row>
    <row r="22" spans="1:18">
      <c r="A22" s="4" t="s">
        <v>104</v>
      </c>
      <c r="B22" s="4" t="s">
        <v>26</v>
      </c>
      <c r="C22" s="4" t="s">
        <v>48</v>
      </c>
      <c r="D22" s="4" t="s">
        <v>49</v>
      </c>
      <c r="E22" s="4" t="s">
        <v>128</v>
      </c>
      <c r="F22" s="3" t="str">
        <f t="shared" si="2"/>
        <v>H2B:K122-R72</v>
      </c>
      <c r="G22" s="4">
        <v>0.3407</v>
      </c>
      <c r="H22" s="3" t="s">
        <v>21</v>
      </c>
      <c r="I22" s="4" t="s">
        <v>129</v>
      </c>
      <c r="J22" s="5">
        <v>1154</v>
      </c>
      <c r="K22" s="4" t="s">
        <v>130</v>
      </c>
      <c r="L22" s="4">
        <v>72</v>
      </c>
      <c r="M22" s="3" t="s">
        <v>23</v>
      </c>
      <c r="N22" s="4" t="s">
        <v>131</v>
      </c>
      <c r="O22" s="5">
        <v>792</v>
      </c>
      <c r="P22" s="4" t="s">
        <v>52</v>
      </c>
      <c r="Q22" s="4" t="s">
        <v>78</v>
      </c>
      <c r="R22" s="4">
        <v>122</v>
      </c>
    </row>
    <row r="23" spans="1:18">
      <c r="A23" s="4" t="s">
        <v>104</v>
      </c>
      <c r="B23" s="4" t="s">
        <v>26</v>
      </c>
      <c r="C23" s="4" t="s">
        <v>48</v>
      </c>
      <c r="D23" s="4" t="s">
        <v>49</v>
      </c>
      <c r="E23" s="4" t="s">
        <v>121</v>
      </c>
      <c r="F23" s="3" t="str">
        <f t="shared" si="2"/>
        <v>H2A:E92-R1630</v>
      </c>
      <c r="G23" s="4">
        <v>0.3297</v>
      </c>
      <c r="H23" s="3" t="s">
        <v>21</v>
      </c>
      <c r="I23" s="4" t="s">
        <v>122</v>
      </c>
      <c r="J23" s="5">
        <v>1178</v>
      </c>
      <c r="K23" s="4" t="s">
        <v>23</v>
      </c>
      <c r="L23" s="4">
        <v>1630</v>
      </c>
      <c r="M23" s="3" t="s">
        <v>30</v>
      </c>
      <c r="N23" s="4" t="s">
        <v>115</v>
      </c>
      <c r="O23" s="5">
        <v>666</v>
      </c>
      <c r="P23" s="4" t="s">
        <v>26</v>
      </c>
      <c r="Q23" s="4" t="s">
        <v>27</v>
      </c>
      <c r="R23" s="4">
        <v>92</v>
      </c>
    </row>
    <row r="24" spans="1:18">
      <c r="A24" s="4" t="s">
        <v>104</v>
      </c>
      <c r="B24" s="4" t="s">
        <v>26</v>
      </c>
      <c r="C24" s="4" t="s">
        <v>48</v>
      </c>
      <c r="D24" s="4" t="s">
        <v>49</v>
      </c>
      <c r="E24" s="4" t="s">
        <v>126</v>
      </c>
      <c r="F24" s="3" t="str">
        <f>Q24&amp;":"&amp;H24&amp;L24&amp;"-"&amp;M24&amp;R24</f>
        <v>H2B:Q92-D1616</v>
      </c>
      <c r="G24" s="4">
        <v>0.2044</v>
      </c>
      <c r="H24" s="3" t="s">
        <v>109</v>
      </c>
      <c r="I24" s="4" t="s">
        <v>110</v>
      </c>
      <c r="J24" s="5">
        <v>762</v>
      </c>
      <c r="K24" s="4" t="s">
        <v>52</v>
      </c>
      <c r="L24" s="4">
        <v>92</v>
      </c>
      <c r="M24" s="3" t="s">
        <v>24</v>
      </c>
      <c r="N24" s="4" t="s">
        <v>127</v>
      </c>
      <c r="O24" s="5">
        <v>1164</v>
      </c>
      <c r="P24" s="4" t="s">
        <v>23</v>
      </c>
      <c r="Q24" s="4" t="s">
        <v>78</v>
      </c>
      <c r="R24" s="4">
        <v>1616</v>
      </c>
    </row>
    <row r="25" spans="1:18">
      <c r="A25" s="4" t="s">
        <v>104</v>
      </c>
      <c r="B25" s="4" t="s">
        <v>26</v>
      </c>
      <c r="C25" s="4" t="s">
        <v>48</v>
      </c>
      <c r="D25" s="4" t="s">
        <v>49</v>
      </c>
      <c r="E25" s="4" t="s">
        <v>114</v>
      </c>
      <c r="F25" s="3" t="str">
        <f>Q25&amp;":"&amp;M25&amp;R25&amp;"-"&amp;H25&amp;L25</f>
        <v>H2A:E92-R1627</v>
      </c>
      <c r="G25" s="4">
        <v>0.1197</v>
      </c>
      <c r="H25" s="3" t="s">
        <v>21</v>
      </c>
      <c r="I25" s="4" t="s">
        <v>106</v>
      </c>
      <c r="J25" s="5">
        <v>1175</v>
      </c>
      <c r="K25" s="4" t="s">
        <v>23</v>
      </c>
      <c r="L25" s="4">
        <v>1627</v>
      </c>
      <c r="M25" s="3" t="s">
        <v>30</v>
      </c>
      <c r="N25" s="4" t="s">
        <v>115</v>
      </c>
      <c r="O25" s="5">
        <v>666</v>
      </c>
      <c r="P25" s="4" t="s">
        <v>26</v>
      </c>
      <c r="Q25" s="4" t="s">
        <v>27</v>
      </c>
      <c r="R25" s="4">
        <v>92</v>
      </c>
    </row>
    <row r="26" spans="1:18">
      <c r="A26" s="4" t="s">
        <v>104</v>
      </c>
      <c r="B26" s="4" t="s">
        <v>52</v>
      </c>
      <c r="C26" s="4" t="s">
        <v>102</v>
      </c>
      <c r="D26" s="4" t="s">
        <v>103</v>
      </c>
      <c r="E26" s="4" t="s">
        <v>105</v>
      </c>
      <c r="F26" s="3" t="str">
        <f>Q26&amp;":"&amp;M26&amp;R26&amp;"-"&amp;H26&amp;L26</f>
        <v>H2A:D90-R1627</v>
      </c>
      <c r="G26" s="4">
        <v>0.4125</v>
      </c>
      <c r="H26" s="3" t="s">
        <v>21</v>
      </c>
      <c r="I26" s="4" t="s">
        <v>106</v>
      </c>
      <c r="J26" s="5">
        <v>1175</v>
      </c>
      <c r="K26" s="4" t="s">
        <v>23</v>
      </c>
      <c r="L26" s="4">
        <v>1627</v>
      </c>
      <c r="M26" s="3" t="s">
        <v>24</v>
      </c>
      <c r="N26" s="4" t="s">
        <v>107</v>
      </c>
      <c r="O26" s="5">
        <v>664</v>
      </c>
      <c r="P26" s="4" t="s">
        <v>26</v>
      </c>
      <c r="Q26" s="4" t="s">
        <v>27</v>
      </c>
      <c r="R26" s="4">
        <v>90</v>
      </c>
    </row>
    <row r="27" spans="1:18">
      <c r="A27" s="4" t="s">
        <v>104</v>
      </c>
      <c r="B27" s="4" t="s">
        <v>52</v>
      </c>
      <c r="C27" s="4" t="s">
        <v>102</v>
      </c>
      <c r="D27" s="4" t="s">
        <v>103</v>
      </c>
      <c r="E27" s="4" t="s">
        <v>112</v>
      </c>
      <c r="F27" s="3" t="str">
        <f>Q27&amp;":"&amp;M27&amp;R27&amp;"-"&amp;H27&amp;L27</f>
        <v>H2A:E61-R1627</v>
      </c>
      <c r="G27" s="4">
        <v>0.407</v>
      </c>
      <c r="H27" s="3" t="s">
        <v>21</v>
      </c>
      <c r="I27" s="4" t="s">
        <v>106</v>
      </c>
      <c r="J27" s="5">
        <v>1175</v>
      </c>
      <c r="K27" s="4" t="s">
        <v>23</v>
      </c>
      <c r="L27" s="4">
        <v>1627</v>
      </c>
      <c r="M27" s="3" t="s">
        <v>30</v>
      </c>
      <c r="N27" s="4" t="s">
        <v>113</v>
      </c>
      <c r="O27" s="5">
        <v>635</v>
      </c>
      <c r="P27" s="4" t="s">
        <v>26</v>
      </c>
      <c r="Q27" s="4" t="s">
        <v>27</v>
      </c>
      <c r="R27" s="4">
        <v>61</v>
      </c>
    </row>
    <row r="28" spans="1:18">
      <c r="A28" s="4" t="s">
        <v>104</v>
      </c>
      <c r="B28" s="4" t="s">
        <v>52</v>
      </c>
      <c r="C28" s="4" t="s">
        <v>102</v>
      </c>
      <c r="D28" s="4" t="s">
        <v>103</v>
      </c>
      <c r="E28" s="4" t="s">
        <v>126</v>
      </c>
      <c r="F28" s="3" t="str">
        <f>Q28&amp;":"&amp;H28&amp;L28&amp;"-"&amp;M28&amp;R28</f>
        <v>H2B:Q92-D1616</v>
      </c>
      <c r="G28" s="4">
        <v>0.3131</v>
      </c>
      <c r="H28" s="3" t="s">
        <v>109</v>
      </c>
      <c r="I28" s="4" t="s">
        <v>110</v>
      </c>
      <c r="J28" s="5">
        <v>762</v>
      </c>
      <c r="K28" s="4" t="s">
        <v>52</v>
      </c>
      <c r="L28" s="4">
        <v>92</v>
      </c>
      <c r="M28" s="3" t="s">
        <v>24</v>
      </c>
      <c r="N28" s="4" t="s">
        <v>127</v>
      </c>
      <c r="O28" s="5">
        <v>1164</v>
      </c>
      <c r="P28" s="4" t="s">
        <v>23</v>
      </c>
      <c r="Q28" s="4" t="s">
        <v>78</v>
      </c>
      <c r="R28" s="4">
        <v>1616</v>
      </c>
    </row>
    <row r="29" spans="1:18">
      <c r="A29" s="4" t="s">
        <v>104</v>
      </c>
      <c r="B29" s="4" t="s">
        <v>52</v>
      </c>
      <c r="C29" s="4" t="s">
        <v>102</v>
      </c>
      <c r="D29" s="4" t="s">
        <v>103</v>
      </c>
      <c r="E29" s="4" t="s">
        <v>132</v>
      </c>
      <c r="F29" s="3" t="str">
        <f t="shared" ref="F29:F39" si="3">Q29&amp;":"&amp;M29&amp;R29&amp;"-"&amp;H29&amp;L29</f>
        <v>H2B:S120-L73</v>
      </c>
      <c r="G29" s="4">
        <v>0.2726</v>
      </c>
      <c r="H29" s="3" t="s">
        <v>60</v>
      </c>
      <c r="I29" s="4" t="s">
        <v>133</v>
      </c>
      <c r="J29" s="5">
        <v>1155</v>
      </c>
      <c r="K29" s="4" t="s">
        <v>130</v>
      </c>
      <c r="L29" s="4">
        <v>73</v>
      </c>
      <c r="M29" s="3" t="s">
        <v>36</v>
      </c>
      <c r="N29" s="4" t="s">
        <v>134</v>
      </c>
      <c r="O29" s="5">
        <v>790</v>
      </c>
      <c r="P29" s="4" t="s">
        <v>52</v>
      </c>
      <c r="Q29" s="4" t="s">
        <v>78</v>
      </c>
      <c r="R29" s="4">
        <v>120</v>
      </c>
    </row>
    <row r="30" spans="1:18">
      <c r="A30" s="4" t="s">
        <v>104</v>
      </c>
      <c r="B30" s="4" t="s">
        <v>52</v>
      </c>
      <c r="C30" s="4" t="s">
        <v>102</v>
      </c>
      <c r="D30" s="4" t="s">
        <v>103</v>
      </c>
      <c r="E30" s="4" t="s">
        <v>116</v>
      </c>
      <c r="F30" s="3" t="str">
        <f t="shared" si="3"/>
        <v>H3:F78-T1612</v>
      </c>
      <c r="G30" s="4">
        <v>0.2394</v>
      </c>
      <c r="H30" s="3" t="s">
        <v>88</v>
      </c>
      <c r="I30" s="4" t="s">
        <v>117</v>
      </c>
      <c r="J30" s="5">
        <v>1160</v>
      </c>
      <c r="K30" s="4" t="s">
        <v>23</v>
      </c>
      <c r="L30" s="4">
        <v>1612</v>
      </c>
      <c r="M30" s="3" t="s">
        <v>66</v>
      </c>
      <c r="N30" s="4" t="s">
        <v>118</v>
      </c>
      <c r="O30" s="5">
        <v>441</v>
      </c>
      <c r="P30" s="4" t="s">
        <v>30</v>
      </c>
      <c r="Q30" s="4" t="s">
        <v>91</v>
      </c>
      <c r="R30" s="4">
        <v>78</v>
      </c>
    </row>
    <row r="31" spans="1:18">
      <c r="A31" s="4" t="s">
        <v>104</v>
      </c>
      <c r="B31" s="4" t="s">
        <v>52</v>
      </c>
      <c r="C31" s="4" t="s">
        <v>102</v>
      </c>
      <c r="D31" s="4" t="s">
        <v>103</v>
      </c>
      <c r="E31" s="4" t="s">
        <v>128</v>
      </c>
      <c r="F31" s="3" t="str">
        <f t="shared" si="3"/>
        <v>H2B:K122-R72</v>
      </c>
      <c r="G31" s="4">
        <v>0.2357</v>
      </c>
      <c r="H31" s="3" t="s">
        <v>21</v>
      </c>
      <c r="I31" s="4" t="s">
        <v>129</v>
      </c>
      <c r="J31" s="5">
        <v>1154</v>
      </c>
      <c r="K31" s="4" t="s">
        <v>130</v>
      </c>
      <c r="L31" s="4">
        <v>72</v>
      </c>
      <c r="M31" s="3" t="s">
        <v>23</v>
      </c>
      <c r="N31" s="4" t="s">
        <v>131</v>
      </c>
      <c r="O31" s="5">
        <v>792</v>
      </c>
      <c r="P31" s="4" t="s">
        <v>52</v>
      </c>
      <c r="Q31" s="4" t="s">
        <v>78</v>
      </c>
      <c r="R31" s="4">
        <v>122</v>
      </c>
    </row>
    <row r="32" spans="1:18">
      <c r="A32" s="4" t="s">
        <v>104</v>
      </c>
      <c r="B32" s="4" t="s">
        <v>52</v>
      </c>
      <c r="C32" s="4" t="s">
        <v>102</v>
      </c>
      <c r="D32" s="4" t="s">
        <v>103</v>
      </c>
      <c r="E32" s="4" t="s">
        <v>119</v>
      </c>
      <c r="F32" s="3" t="str">
        <f t="shared" si="3"/>
        <v>H4:E74-T1612</v>
      </c>
      <c r="G32" s="4">
        <v>0.1676</v>
      </c>
      <c r="H32" s="3" t="s">
        <v>88</v>
      </c>
      <c r="I32" s="4" t="s">
        <v>117</v>
      </c>
      <c r="J32" s="5">
        <v>1160</v>
      </c>
      <c r="K32" s="4" t="s">
        <v>23</v>
      </c>
      <c r="L32" s="4">
        <v>1612</v>
      </c>
      <c r="M32" s="3" t="s">
        <v>30</v>
      </c>
      <c r="N32" s="4" t="s">
        <v>120</v>
      </c>
      <c r="O32" s="5">
        <v>554</v>
      </c>
      <c r="P32" s="4" t="s">
        <v>66</v>
      </c>
      <c r="Q32" s="4" t="s">
        <v>67</v>
      </c>
      <c r="R32" s="4">
        <v>74</v>
      </c>
    </row>
    <row r="33" spans="1:18">
      <c r="A33" s="4" t="s">
        <v>104</v>
      </c>
      <c r="B33" s="4" t="s">
        <v>52</v>
      </c>
      <c r="C33" s="4" t="s">
        <v>135</v>
      </c>
      <c r="D33" s="4" t="s">
        <v>136</v>
      </c>
      <c r="E33" s="4" t="s">
        <v>112</v>
      </c>
      <c r="F33" s="3" t="str">
        <f t="shared" si="3"/>
        <v>H2A:E61-R1627</v>
      </c>
      <c r="G33" s="4">
        <v>0.7587</v>
      </c>
      <c r="H33" s="3" t="s">
        <v>21</v>
      </c>
      <c r="I33" s="4" t="s">
        <v>106</v>
      </c>
      <c r="J33" s="5">
        <v>1175</v>
      </c>
      <c r="K33" s="4" t="s">
        <v>23</v>
      </c>
      <c r="L33" s="4">
        <v>1627</v>
      </c>
      <c r="M33" s="3" t="s">
        <v>30</v>
      </c>
      <c r="N33" s="4" t="s">
        <v>113</v>
      </c>
      <c r="O33" s="5">
        <v>635</v>
      </c>
      <c r="P33" s="4" t="s">
        <v>26</v>
      </c>
      <c r="Q33" s="4" t="s">
        <v>27</v>
      </c>
      <c r="R33" s="4">
        <v>61</v>
      </c>
    </row>
    <row r="34" spans="1:18">
      <c r="A34" s="4" t="s">
        <v>104</v>
      </c>
      <c r="B34" s="4" t="s">
        <v>52</v>
      </c>
      <c r="C34" s="4" t="s">
        <v>135</v>
      </c>
      <c r="D34" s="4" t="s">
        <v>136</v>
      </c>
      <c r="E34" s="4" t="s">
        <v>105</v>
      </c>
      <c r="F34" s="3" t="str">
        <f t="shared" si="3"/>
        <v>H2A:D90-R1627</v>
      </c>
      <c r="G34" s="4">
        <v>0.5525</v>
      </c>
      <c r="H34" s="3" t="s">
        <v>21</v>
      </c>
      <c r="I34" s="4" t="s">
        <v>106</v>
      </c>
      <c r="J34" s="5">
        <v>1175</v>
      </c>
      <c r="K34" s="4" t="s">
        <v>23</v>
      </c>
      <c r="L34" s="4">
        <v>1627</v>
      </c>
      <c r="M34" s="3" t="s">
        <v>24</v>
      </c>
      <c r="N34" s="4" t="s">
        <v>107</v>
      </c>
      <c r="O34" s="5">
        <v>664</v>
      </c>
      <c r="P34" s="4" t="s">
        <v>26</v>
      </c>
      <c r="Q34" s="4" t="s">
        <v>27</v>
      </c>
      <c r="R34" s="4">
        <v>90</v>
      </c>
    </row>
    <row r="35" spans="1:18">
      <c r="A35" s="4" t="s">
        <v>104</v>
      </c>
      <c r="B35" s="4" t="s">
        <v>52</v>
      </c>
      <c r="C35" s="4" t="s">
        <v>135</v>
      </c>
      <c r="D35" s="4" t="s">
        <v>136</v>
      </c>
      <c r="E35" s="4" t="s">
        <v>116</v>
      </c>
      <c r="F35" s="3" t="str">
        <f t="shared" si="3"/>
        <v>H3:F78-T1612</v>
      </c>
      <c r="G35" s="4">
        <v>0.2173</v>
      </c>
      <c r="H35" s="3" t="s">
        <v>88</v>
      </c>
      <c r="I35" s="4" t="s">
        <v>117</v>
      </c>
      <c r="J35" s="5">
        <v>1160</v>
      </c>
      <c r="K35" s="4" t="s">
        <v>23</v>
      </c>
      <c r="L35" s="4">
        <v>1612</v>
      </c>
      <c r="M35" s="3" t="s">
        <v>66</v>
      </c>
      <c r="N35" s="4" t="s">
        <v>118</v>
      </c>
      <c r="O35" s="5">
        <v>441</v>
      </c>
      <c r="P35" s="4" t="s">
        <v>30</v>
      </c>
      <c r="Q35" s="4" t="s">
        <v>91</v>
      </c>
      <c r="R35" s="4">
        <v>78</v>
      </c>
    </row>
    <row r="36" spans="1:18">
      <c r="A36" s="4" t="s">
        <v>104</v>
      </c>
      <c r="B36" s="4" t="s">
        <v>52</v>
      </c>
      <c r="C36" s="4" t="s">
        <v>135</v>
      </c>
      <c r="D36" s="4" t="s">
        <v>136</v>
      </c>
      <c r="E36" s="4" t="s">
        <v>128</v>
      </c>
      <c r="F36" s="3" t="str">
        <f t="shared" si="3"/>
        <v>H2B:K122-R72</v>
      </c>
      <c r="G36" s="4">
        <v>0.2136</v>
      </c>
      <c r="H36" s="3" t="s">
        <v>21</v>
      </c>
      <c r="I36" s="4" t="s">
        <v>129</v>
      </c>
      <c r="J36" s="5">
        <v>1154</v>
      </c>
      <c r="K36" s="4" t="s">
        <v>130</v>
      </c>
      <c r="L36" s="4">
        <v>72</v>
      </c>
      <c r="M36" s="3" t="s">
        <v>23</v>
      </c>
      <c r="N36" s="4" t="s">
        <v>131</v>
      </c>
      <c r="O36" s="5">
        <v>792</v>
      </c>
      <c r="P36" s="4" t="s">
        <v>52</v>
      </c>
      <c r="Q36" s="4" t="s">
        <v>78</v>
      </c>
      <c r="R36" s="4">
        <v>122</v>
      </c>
    </row>
    <row r="37" spans="1:18">
      <c r="A37" s="4" t="s">
        <v>104</v>
      </c>
      <c r="B37" s="4" t="s">
        <v>52</v>
      </c>
      <c r="C37" s="4" t="s">
        <v>135</v>
      </c>
      <c r="D37" s="4" t="s">
        <v>136</v>
      </c>
      <c r="E37" s="4" t="s">
        <v>132</v>
      </c>
      <c r="F37" s="3" t="str">
        <f t="shared" si="3"/>
        <v>H2B:S120-L73</v>
      </c>
      <c r="G37" s="4">
        <v>0.1731</v>
      </c>
      <c r="H37" s="3" t="s">
        <v>60</v>
      </c>
      <c r="I37" s="4" t="s">
        <v>133</v>
      </c>
      <c r="J37" s="5">
        <v>1155</v>
      </c>
      <c r="K37" s="4" t="s">
        <v>130</v>
      </c>
      <c r="L37" s="4">
        <v>73</v>
      </c>
      <c r="M37" s="3" t="s">
        <v>36</v>
      </c>
      <c r="N37" s="4" t="s">
        <v>134</v>
      </c>
      <c r="O37" s="5">
        <v>790</v>
      </c>
      <c r="P37" s="4" t="s">
        <v>52</v>
      </c>
      <c r="Q37" s="4" t="s">
        <v>78</v>
      </c>
      <c r="R37" s="4">
        <v>120</v>
      </c>
    </row>
    <row r="38" spans="1:18">
      <c r="A38" s="4" t="s">
        <v>104</v>
      </c>
      <c r="B38" s="4" t="s">
        <v>52</v>
      </c>
      <c r="C38" s="4" t="s">
        <v>135</v>
      </c>
      <c r="D38" s="4" t="s">
        <v>136</v>
      </c>
      <c r="E38" s="4" t="s">
        <v>119</v>
      </c>
      <c r="F38" s="3" t="str">
        <f t="shared" si="3"/>
        <v>H4:E74-T1612</v>
      </c>
      <c r="G38" s="4">
        <v>0.1694</v>
      </c>
      <c r="H38" s="3" t="s">
        <v>88</v>
      </c>
      <c r="I38" s="4" t="s">
        <v>117</v>
      </c>
      <c r="J38" s="5">
        <v>1160</v>
      </c>
      <c r="K38" s="4" t="s">
        <v>23</v>
      </c>
      <c r="L38" s="4">
        <v>1612</v>
      </c>
      <c r="M38" s="3" t="s">
        <v>30</v>
      </c>
      <c r="N38" s="4" t="s">
        <v>120</v>
      </c>
      <c r="O38" s="5">
        <v>554</v>
      </c>
      <c r="P38" s="4" t="s">
        <v>66</v>
      </c>
      <c r="Q38" s="4" t="s">
        <v>67</v>
      </c>
      <c r="R38" s="4">
        <v>74</v>
      </c>
    </row>
    <row r="39" spans="1:18">
      <c r="A39" s="4" t="s">
        <v>104</v>
      </c>
      <c r="B39" s="4" t="s">
        <v>52</v>
      </c>
      <c r="C39" s="4" t="s">
        <v>135</v>
      </c>
      <c r="D39" s="4" t="s">
        <v>136</v>
      </c>
      <c r="E39" s="4" t="s">
        <v>114</v>
      </c>
      <c r="F39" s="3" t="str">
        <f t="shared" si="3"/>
        <v>H2A:E92-R1627</v>
      </c>
      <c r="G39" s="4">
        <v>0.116</v>
      </c>
      <c r="H39" s="3" t="s">
        <v>21</v>
      </c>
      <c r="I39" s="4" t="s">
        <v>106</v>
      </c>
      <c r="J39" s="5">
        <v>1175</v>
      </c>
      <c r="K39" s="4" t="s">
        <v>23</v>
      </c>
      <c r="L39" s="4">
        <v>1627</v>
      </c>
      <c r="M39" s="3" t="s">
        <v>30</v>
      </c>
      <c r="N39" s="4" t="s">
        <v>115</v>
      </c>
      <c r="O39" s="5">
        <v>666</v>
      </c>
      <c r="P39" s="4" t="s">
        <v>26</v>
      </c>
      <c r="Q39" s="4" t="s">
        <v>27</v>
      </c>
      <c r="R39" s="4">
        <v>92</v>
      </c>
    </row>
    <row r="40" spans="1:18">
      <c r="A40" s="4" t="s">
        <v>104</v>
      </c>
      <c r="B40" s="4" t="s">
        <v>52</v>
      </c>
      <c r="C40" s="4" t="s">
        <v>135</v>
      </c>
      <c r="D40" s="4" t="s">
        <v>136</v>
      </c>
      <c r="E40" s="4" t="s">
        <v>108</v>
      </c>
      <c r="F40" s="3" t="str">
        <f>Q40&amp;":"&amp;H40&amp;L40&amp;"-"&amp;M40&amp;R40</f>
        <v>H2B:Q92-K1613</v>
      </c>
      <c r="G40" s="4">
        <v>0.1105</v>
      </c>
      <c r="H40" s="3" t="s">
        <v>109</v>
      </c>
      <c r="I40" s="4" t="s">
        <v>110</v>
      </c>
      <c r="J40" s="5">
        <v>762</v>
      </c>
      <c r="K40" s="4" t="s">
        <v>52</v>
      </c>
      <c r="L40" s="4">
        <v>92</v>
      </c>
      <c r="M40" s="3" t="s">
        <v>23</v>
      </c>
      <c r="N40" s="4" t="s">
        <v>111</v>
      </c>
      <c r="O40" s="5">
        <v>1161</v>
      </c>
      <c r="P40" s="4" t="s">
        <v>23</v>
      </c>
      <c r="Q40" s="4" t="s">
        <v>78</v>
      </c>
      <c r="R40" s="4">
        <v>1613</v>
      </c>
    </row>
    <row r="41" spans="1:18">
      <c r="A41" s="4" t="s">
        <v>104</v>
      </c>
      <c r="B41" s="4" t="s">
        <v>52</v>
      </c>
      <c r="C41" s="4" t="s">
        <v>135</v>
      </c>
      <c r="D41" s="4" t="s">
        <v>136</v>
      </c>
      <c r="E41" s="4" t="s">
        <v>121</v>
      </c>
      <c r="F41" s="3" t="str">
        <f>Q41&amp;":"&amp;M41&amp;R41&amp;"-"&amp;H41&amp;L41</f>
        <v>H2A:E92-R1630</v>
      </c>
      <c r="G41" s="4">
        <v>0.1013</v>
      </c>
      <c r="H41" s="3" t="s">
        <v>21</v>
      </c>
      <c r="I41" s="4" t="s">
        <v>122</v>
      </c>
      <c r="J41" s="5">
        <v>1178</v>
      </c>
      <c r="K41" s="4" t="s">
        <v>23</v>
      </c>
      <c r="L41" s="4">
        <v>1630</v>
      </c>
      <c r="M41" s="3" t="s">
        <v>30</v>
      </c>
      <c r="N41" s="4" t="s">
        <v>115</v>
      </c>
      <c r="O41" s="5">
        <v>666</v>
      </c>
      <c r="P41" s="4" t="s">
        <v>26</v>
      </c>
      <c r="Q41" s="4" t="s">
        <v>27</v>
      </c>
      <c r="R41" s="4">
        <v>92</v>
      </c>
    </row>
  </sheetData>
  <autoFilter xmlns:etc="http://www.wps.cn/officeDocument/2017/etCustomData" ref="A1:R4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8"/>
  <sheetViews>
    <sheetView zoomScale="70" zoomScaleNormal="70" workbookViewId="0">
      <selection activeCell="A1" sqref="A1:R68"/>
    </sheetView>
  </sheetViews>
  <sheetFormatPr defaultColWidth="8.8" defaultRowHeight="18"/>
  <cols>
    <col min="1" max="1" width="5.4" customWidth="1"/>
    <col min="2" max="2" width="16.4" customWidth="1"/>
    <col min="3" max="3" width="9.9" customWidth="1"/>
    <col min="4" max="4" width="18.6" customWidth="1"/>
    <col min="5" max="5" width="29.4" customWidth="1"/>
    <col min="6" max="6" width="14" customWidth="1"/>
    <col min="7" max="7" width="11.8" customWidth="1"/>
    <col min="8" max="8" width="15.7" style="1" customWidth="1"/>
    <col min="9" max="9" width="9.3" customWidth="1"/>
    <col min="10" max="10" width="11.7" customWidth="1"/>
    <col min="11" max="11" width="23.7" customWidth="1"/>
    <col min="12" max="12" width="21.7" customWidth="1"/>
    <col min="13" max="13" width="17.9" style="1" customWidth="1"/>
    <col min="14" max="14" width="9.5" customWidth="1"/>
    <col min="15" max="15" width="14.2" customWidth="1"/>
    <col min="16" max="16" width="26.4" customWidth="1"/>
    <col min="17" max="17" width="13.4" customWidth="1"/>
    <col min="18" max="18" width="24.4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4" t="s">
        <v>137</v>
      </c>
      <c r="B2" s="4" t="s">
        <v>19</v>
      </c>
      <c r="C2" s="4" t="s">
        <v>19</v>
      </c>
      <c r="D2" s="4" t="s">
        <v>19</v>
      </c>
      <c r="E2" s="4" t="s">
        <v>138</v>
      </c>
      <c r="F2" s="3" t="str">
        <f t="shared" ref="F2:F7" si="0">Q2&amp;":"&amp;M2&amp;R2&amp;"-"&amp;H2&amp;L2</f>
        <v>H2A:D91-R527</v>
      </c>
      <c r="G2" s="4">
        <v>0.9926</v>
      </c>
      <c r="H2" s="3" t="s">
        <v>21</v>
      </c>
      <c r="I2" s="4" t="s">
        <v>139</v>
      </c>
      <c r="J2" s="5">
        <v>1049</v>
      </c>
      <c r="K2" s="4" t="s">
        <v>23</v>
      </c>
      <c r="L2" s="4">
        <v>527</v>
      </c>
      <c r="M2" s="3" t="s">
        <v>24</v>
      </c>
      <c r="N2" s="4" t="s">
        <v>140</v>
      </c>
      <c r="O2" s="5">
        <v>262</v>
      </c>
      <c r="P2" s="4" t="s">
        <v>141</v>
      </c>
      <c r="Q2" s="4" t="s">
        <v>27</v>
      </c>
      <c r="R2" s="4">
        <v>91</v>
      </c>
    </row>
    <row r="3" spans="1:18">
      <c r="A3" s="4" t="s">
        <v>137</v>
      </c>
      <c r="B3" s="4" t="s">
        <v>19</v>
      </c>
      <c r="C3" s="4" t="s">
        <v>19</v>
      </c>
      <c r="D3" s="4" t="s">
        <v>19</v>
      </c>
      <c r="E3" s="4" t="s">
        <v>142</v>
      </c>
      <c r="F3" s="3" t="str">
        <f t="shared" si="0"/>
        <v>H4:E63-R540</v>
      </c>
      <c r="G3" s="4">
        <v>0.9171</v>
      </c>
      <c r="H3" s="3" t="s">
        <v>21</v>
      </c>
      <c r="I3" s="4" t="s">
        <v>143</v>
      </c>
      <c r="J3" s="5">
        <v>1062</v>
      </c>
      <c r="K3" s="4" t="s">
        <v>23</v>
      </c>
      <c r="L3" s="4">
        <v>540</v>
      </c>
      <c r="M3" s="3" t="s">
        <v>30</v>
      </c>
      <c r="N3" s="4" t="s">
        <v>144</v>
      </c>
      <c r="O3" s="5">
        <v>143</v>
      </c>
      <c r="P3" s="4" t="s">
        <v>145</v>
      </c>
      <c r="Q3" s="4" t="s">
        <v>67</v>
      </c>
      <c r="R3" s="4">
        <v>63</v>
      </c>
    </row>
    <row r="4" spans="1:18">
      <c r="A4" s="4" t="s">
        <v>137</v>
      </c>
      <c r="B4" s="4" t="s">
        <v>19</v>
      </c>
      <c r="C4" s="4" t="s">
        <v>19</v>
      </c>
      <c r="D4" s="4" t="s">
        <v>19</v>
      </c>
      <c r="E4" s="4" t="s">
        <v>146</v>
      </c>
      <c r="F4" s="3" t="str">
        <f t="shared" si="0"/>
        <v>H2A:E62-S525</v>
      </c>
      <c r="G4" s="4">
        <v>0.7919</v>
      </c>
      <c r="H4" s="3" t="s">
        <v>36</v>
      </c>
      <c r="I4" s="4" t="s">
        <v>147</v>
      </c>
      <c r="J4" s="5">
        <v>1047</v>
      </c>
      <c r="K4" s="4" t="s">
        <v>23</v>
      </c>
      <c r="L4" s="4">
        <v>525</v>
      </c>
      <c r="M4" s="3" t="s">
        <v>30</v>
      </c>
      <c r="N4" s="4" t="s">
        <v>148</v>
      </c>
      <c r="O4" s="5">
        <v>233</v>
      </c>
      <c r="P4" s="4" t="s">
        <v>141</v>
      </c>
      <c r="Q4" s="4" t="s">
        <v>27</v>
      </c>
      <c r="R4" s="4">
        <v>62</v>
      </c>
    </row>
    <row r="5" spans="1:18">
      <c r="A5" s="4" t="s">
        <v>137</v>
      </c>
      <c r="B5" s="4" t="s">
        <v>19</v>
      </c>
      <c r="C5" s="4" t="s">
        <v>19</v>
      </c>
      <c r="D5" s="4" t="s">
        <v>19</v>
      </c>
      <c r="E5" s="4" t="s">
        <v>149</v>
      </c>
      <c r="F5" s="3" t="str">
        <f t="shared" si="0"/>
        <v>H2A:E62-R527</v>
      </c>
      <c r="G5" s="4">
        <v>0.7772</v>
      </c>
      <c r="H5" s="3" t="s">
        <v>21</v>
      </c>
      <c r="I5" s="4" t="s">
        <v>139</v>
      </c>
      <c r="J5" s="5">
        <v>1049</v>
      </c>
      <c r="K5" s="4" t="s">
        <v>23</v>
      </c>
      <c r="L5" s="4">
        <v>527</v>
      </c>
      <c r="M5" s="3" t="s">
        <v>30</v>
      </c>
      <c r="N5" s="4" t="s">
        <v>148</v>
      </c>
      <c r="O5" s="5">
        <v>233</v>
      </c>
      <c r="P5" s="4" t="s">
        <v>141</v>
      </c>
      <c r="Q5" s="4" t="s">
        <v>27</v>
      </c>
      <c r="R5" s="4">
        <v>62</v>
      </c>
    </row>
    <row r="6" spans="1:18">
      <c r="A6" s="4" t="s">
        <v>137</v>
      </c>
      <c r="B6" s="4" t="s">
        <v>19</v>
      </c>
      <c r="C6" s="4" t="s">
        <v>19</v>
      </c>
      <c r="D6" s="4" t="s">
        <v>19</v>
      </c>
      <c r="E6" s="4" t="s">
        <v>150</v>
      </c>
      <c r="F6" s="3" t="str">
        <f t="shared" si="0"/>
        <v>H3:P78-R545</v>
      </c>
      <c r="G6" s="4">
        <v>0.7459</v>
      </c>
      <c r="H6" s="3" t="s">
        <v>21</v>
      </c>
      <c r="I6" s="4" t="s">
        <v>151</v>
      </c>
      <c r="J6" s="5">
        <v>1067</v>
      </c>
      <c r="K6" s="4" t="s">
        <v>23</v>
      </c>
      <c r="L6" s="4">
        <v>545</v>
      </c>
      <c r="M6" s="3" t="s">
        <v>152</v>
      </c>
      <c r="N6" s="4" t="s">
        <v>153</v>
      </c>
      <c r="O6" s="5">
        <v>41</v>
      </c>
      <c r="P6" s="4" t="s">
        <v>154</v>
      </c>
      <c r="Q6" s="4" t="s">
        <v>91</v>
      </c>
      <c r="R6" s="4">
        <v>78</v>
      </c>
    </row>
    <row r="7" spans="1:18">
      <c r="A7" s="4" t="s">
        <v>137</v>
      </c>
      <c r="B7" s="4" t="s">
        <v>19</v>
      </c>
      <c r="C7" s="4" t="s">
        <v>19</v>
      </c>
      <c r="D7" s="4" t="s">
        <v>19</v>
      </c>
      <c r="E7" s="4" t="s">
        <v>155</v>
      </c>
      <c r="F7" s="3" t="str">
        <f t="shared" si="0"/>
        <v>H4:E74-R545</v>
      </c>
      <c r="G7" s="4">
        <v>0.7017</v>
      </c>
      <c r="H7" s="3" t="s">
        <v>21</v>
      </c>
      <c r="I7" s="4" t="s">
        <v>151</v>
      </c>
      <c r="J7" s="5">
        <v>1067</v>
      </c>
      <c r="K7" s="4" t="s">
        <v>23</v>
      </c>
      <c r="L7" s="4">
        <v>545</v>
      </c>
      <c r="M7" s="3" t="s">
        <v>30</v>
      </c>
      <c r="N7" s="4" t="s">
        <v>156</v>
      </c>
      <c r="O7" s="5">
        <v>154</v>
      </c>
      <c r="P7" s="4" t="s">
        <v>145</v>
      </c>
      <c r="Q7" s="4" t="s">
        <v>67</v>
      </c>
      <c r="R7" s="4">
        <v>74</v>
      </c>
    </row>
    <row r="8" spans="1:18">
      <c r="A8" s="4" t="s">
        <v>137</v>
      </c>
      <c r="B8" s="4" t="s">
        <v>19</v>
      </c>
      <c r="C8" s="4" t="s">
        <v>19</v>
      </c>
      <c r="D8" s="4" t="s">
        <v>19</v>
      </c>
      <c r="E8" s="4" t="s">
        <v>157</v>
      </c>
      <c r="F8" s="3" t="str">
        <f>Q8&amp;":"&amp;H8&amp;L8&amp;"-"&amp;M8&amp;R8</f>
        <v>H3:R80-D544</v>
      </c>
      <c r="G8" s="4">
        <v>0.5801</v>
      </c>
      <c r="H8" s="3" t="s">
        <v>21</v>
      </c>
      <c r="I8" s="4" t="s">
        <v>158</v>
      </c>
      <c r="J8" s="5">
        <v>43</v>
      </c>
      <c r="K8" s="4" t="s">
        <v>154</v>
      </c>
      <c r="L8" s="4">
        <v>80</v>
      </c>
      <c r="M8" s="3" t="s">
        <v>24</v>
      </c>
      <c r="N8" s="4" t="s">
        <v>159</v>
      </c>
      <c r="O8" s="5">
        <v>1066</v>
      </c>
      <c r="P8" s="4" t="s">
        <v>23</v>
      </c>
      <c r="Q8" s="4" t="s">
        <v>91</v>
      </c>
      <c r="R8" s="4">
        <v>544</v>
      </c>
    </row>
    <row r="9" spans="1:18">
      <c r="A9" s="4" t="s">
        <v>137</v>
      </c>
      <c r="B9" s="4" t="s">
        <v>19</v>
      </c>
      <c r="C9" s="4" t="s">
        <v>19</v>
      </c>
      <c r="D9" s="4" t="s">
        <v>19</v>
      </c>
      <c r="E9" s="4" t="s">
        <v>160</v>
      </c>
      <c r="F9" s="3" t="str">
        <f>Q9&amp;":"&amp;M9&amp;R9&amp;"-"&amp;H9&amp;L9</f>
        <v>H2A:E65-R524</v>
      </c>
      <c r="G9" s="4">
        <v>0.512</v>
      </c>
      <c r="H9" s="3" t="s">
        <v>21</v>
      </c>
      <c r="I9" s="4" t="s">
        <v>161</v>
      </c>
      <c r="J9" s="5">
        <v>1046</v>
      </c>
      <c r="K9" s="4" t="s">
        <v>23</v>
      </c>
      <c r="L9" s="4">
        <v>524</v>
      </c>
      <c r="M9" s="3" t="s">
        <v>30</v>
      </c>
      <c r="N9" s="4" t="s">
        <v>162</v>
      </c>
      <c r="O9" s="5">
        <v>236</v>
      </c>
      <c r="P9" s="4" t="s">
        <v>141</v>
      </c>
      <c r="Q9" s="4" t="s">
        <v>27</v>
      </c>
      <c r="R9" s="4">
        <v>65</v>
      </c>
    </row>
    <row r="10" spans="1:18">
      <c r="A10" s="4" t="s">
        <v>137</v>
      </c>
      <c r="B10" s="4" t="s">
        <v>19</v>
      </c>
      <c r="C10" s="4" t="s">
        <v>19</v>
      </c>
      <c r="D10" s="4" t="s">
        <v>19</v>
      </c>
      <c r="E10" s="4" t="s">
        <v>163</v>
      </c>
      <c r="F10" s="3" t="str">
        <f>Q10&amp;":"&amp;H10&amp;L10&amp;"-"&amp;M10&amp;R10</f>
        <v>H2A:E92-K530</v>
      </c>
      <c r="G10" s="4">
        <v>0.3646</v>
      </c>
      <c r="H10" s="3" t="s">
        <v>30</v>
      </c>
      <c r="I10" s="4" t="s">
        <v>164</v>
      </c>
      <c r="J10" s="5">
        <v>263</v>
      </c>
      <c r="K10" s="4" t="s">
        <v>141</v>
      </c>
      <c r="L10" s="4">
        <v>92</v>
      </c>
      <c r="M10" s="3" t="s">
        <v>23</v>
      </c>
      <c r="N10" s="4" t="s">
        <v>165</v>
      </c>
      <c r="O10" s="5">
        <v>1052</v>
      </c>
      <c r="P10" s="4" t="s">
        <v>23</v>
      </c>
      <c r="Q10" s="4" t="s">
        <v>27</v>
      </c>
      <c r="R10" s="4">
        <v>530</v>
      </c>
    </row>
    <row r="11" spans="1:18">
      <c r="A11" s="4" t="s">
        <v>137</v>
      </c>
      <c r="B11" s="4" t="s">
        <v>19</v>
      </c>
      <c r="C11" s="4" t="s">
        <v>19</v>
      </c>
      <c r="D11" s="4" t="s">
        <v>19</v>
      </c>
      <c r="E11" s="4" t="s">
        <v>166</v>
      </c>
      <c r="F11" s="3" t="str">
        <f>Q11&amp;":"&amp;M11&amp;R11&amp;"-"&amp;H11&amp;L11</f>
        <v>H2A:E92-L533</v>
      </c>
      <c r="G11" s="4">
        <v>0.3333</v>
      </c>
      <c r="H11" s="3" t="s">
        <v>60</v>
      </c>
      <c r="I11" s="4" t="s">
        <v>167</v>
      </c>
      <c r="J11" s="5">
        <v>1055</v>
      </c>
      <c r="K11" s="4" t="s">
        <v>23</v>
      </c>
      <c r="L11" s="4">
        <v>533</v>
      </c>
      <c r="M11" s="3" t="s">
        <v>30</v>
      </c>
      <c r="N11" s="4" t="s">
        <v>164</v>
      </c>
      <c r="O11" s="5">
        <v>263</v>
      </c>
      <c r="P11" s="4" t="s">
        <v>141</v>
      </c>
      <c r="Q11" s="4" t="s">
        <v>27</v>
      </c>
      <c r="R11" s="4">
        <v>92</v>
      </c>
    </row>
    <row r="12" spans="1:18">
      <c r="A12" s="4" t="s">
        <v>137</v>
      </c>
      <c r="B12" s="4" t="s">
        <v>19</v>
      </c>
      <c r="C12" s="4" t="s">
        <v>19</v>
      </c>
      <c r="D12" s="4" t="s">
        <v>19</v>
      </c>
      <c r="E12" s="4" t="s">
        <v>168</v>
      </c>
      <c r="F12" s="3" t="str">
        <f>Q12&amp;":"&amp;M12&amp;R12&amp;"-"&amp;H12&amp;L12</f>
        <v>H2A:E62-T523</v>
      </c>
      <c r="G12" s="4">
        <v>0.2891</v>
      </c>
      <c r="H12" s="3" t="s">
        <v>88</v>
      </c>
      <c r="I12" s="4" t="s">
        <v>169</v>
      </c>
      <c r="J12" s="5">
        <v>1045</v>
      </c>
      <c r="K12" s="4" t="s">
        <v>23</v>
      </c>
      <c r="L12" s="4">
        <v>523</v>
      </c>
      <c r="M12" s="3" t="s">
        <v>30</v>
      </c>
      <c r="N12" s="4" t="s">
        <v>148</v>
      </c>
      <c r="O12" s="5">
        <v>233</v>
      </c>
      <c r="P12" s="4" t="s">
        <v>141</v>
      </c>
      <c r="Q12" s="4" t="s">
        <v>27</v>
      </c>
      <c r="R12" s="4">
        <v>62</v>
      </c>
    </row>
    <row r="13" spans="1:18">
      <c r="A13" s="4" t="s">
        <v>137</v>
      </c>
      <c r="B13" s="4" t="s">
        <v>145</v>
      </c>
      <c r="C13" s="4" t="s">
        <v>96</v>
      </c>
      <c r="D13" s="4" t="s">
        <v>97</v>
      </c>
      <c r="E13" s="4" t="s">
        <v>138</v>
      </c>
      <c r="F13" s="3" t="str">
        <f>Q13&amp;":"&amp;M13&amp;R13&amp;"-"&amp;H13&amp;L13</f>
        <v>H2A:D91-R527</v>
      </c>
      <c r="G13" s="4">
        <v>0.9797</v>
      </c>
      <c r="H13" s="3" t="s">
        <v>21</v>
      </c>
      <c r="I13" s="4" t="s">
        <v>139</v>
      </c>
      <c r="J13" s="5">
        <v>1049</v>
      </c>
      <c r="K13" s="4" t="s">
        <v>23</v>
      </c>
      <c r="L13" s="4">
        <v>527</v>
      </c>
      <c r="M13" s="3" t="s">
        <v>24</v>
      </c>
      <c r="N13" s="4" t="s">
        <v>140</v>
      </c>
      <c r="O13" s="5">
        <v>262</v>
      </c>
      <c r="P13" s="4" t="s">
        <v>141</v>
      </c>
      <c r="Q13" s="4" t="s">
        <v>27</v>
      </c>
      <c r="R13" s="4">
        <v>91</v>
      </c>
    </row>
    <row r="14" spans="1:18">
      <c r="A14" s="4" t="s">
        <v>137</v>
      </c>
      <c r="B14" s="4" t="s">
        <v>145</v>
      </c>
      <c r="C14" s="4" t="s">
        <v>96</v>
      </c>
      <c r="D14" s="4" t="s">
        <v>97</v>
      </c>
      <c r="E14" s="4" t="s">
        <v>142</v>
      </c>
      <c r="F14" s="3" t="str">
        <f>Q14&amp;":"&amp;M14&amp;R14&amp;"-"&amp;H14&amp;L14</f>
        <v>H4:E63-R540</v>
      </c>
      <c r="G14" s="4">
        <v>0.9153</v>
      </c>
      <c r="H14" s="3" t="s">
        <v>21</v>
      </c>
      <c r="I14" s="4" t="s">
        <v>143</v>
      </c>
      <c r="J14" s="5">
        <v>1062</v>
      </c>
      <c r="K14" s="4" t="s">
        <v>23</v>
      </c>
      <c r="L14" s="4">
        <v>540</v>
      </c>
      <c r="M14" s="3" t="s">
        <v>30</v>
      </c>
      <c r="N14" s="4" t="s">
        <v>144</v>
      </c>
      <c r="O14" s="5">
        <v>143</v>
      </c>
      <c r="P14" s="4" t="s">
        <v>145</v>
      </c>
      <c r="Q14" s="4" t="s">
        <v>67</v>
      </c>
      <c r="R14" s="4">
        <v>63</v>
      </c>
    </row>
    <row r="15" spans="1:18">
      <c r="A15" s="4" t="s">
        <v>137</v>
      </c>
      <c r="B15" s="4" t="s">
        <v>145</v>
      </c>
      <c r="C15" s="4" t="s">
        <v>96</v>
      </c>
      <c r="D15" s="4" t="s">
        <v>97</v>
      </c>
      <c r="E15" s="4" t="s">
        <v>150</v>
      </c>
      <c r="F15" s="3" t="str">
        <f>Q15&amp;":"&amp;M15&amp;R15&amp;"-"&amp;H15&amp;L15</f>
        <v>H3:P78-R545</v>
      </c>
      <c r="G15" s="4">
        <v>0.7901</v>
      </c>
      <c r="H15" s="3" t="s">
        <v>21</v>
      </c>
      <c r="I15" s="4" t="s">
        <v>151</v>
      </c>
      <c r="J15" s="5">
        <v>1067</v>
      </c>
      <c r="K15" s="4" t="s">
        <v>23</v>
      </c>
      <c r="L15" s="4">
        <v>545</v>
      </c>
      <c r="M15" s="3" t="s">
        <v>152</v>
      </c>
      <c r="N15" s="4" t="s">
        <v>153</v>
      </c>
      <c r="O15" s="5">
        <v>41</v>
      </c>
      <c r="P15" s="4" t="s">
        <v>154</v>
      </c>
      <c r="Q15" s="4" t="s">
        <v>91</v>
      </c>
      <c r="R15" s="4">
        <v>78</v>
      </c>
    </row>
    <row r="16" spans="1:18">
      <c r="A16" s="4" t="s">
        <v>137</v>
      </c>
      <c r="B16" s="4" t="s">
        <v>145</v>
      </c>
      <c r="C16" s="4" t="s">
        <v>96</v>
      </c>
      <c r="D16" s="4" t="s">
        <v>97</v>
      </c>
      <c r="E16" s="4" t="s">
        <v>157</v>
      </c>
      <c r="F16" s="3" t="str">
        <f>Q16&amp;":"&amp;H16&amp;L16&amp;"-"&amp;M16&amp;R16</f>
        <v>H3:R80-D544</v>
      </c>
      <c r="G16" s="4">
        <v>0.7661</v>
      </c>
      <c r="H16" s="3" t="s">
        <v>21</v>
      </c>
      <c r="I16" s="4" t="s">
        <v>158</v>
      </c>
      <c r="J16" s="5">
        <v>43</v>
      </c>
      <c r="K16" s="4" t="s">
        <v>154</v>
      </c>
      <c r="L16" s="4">
        <v>80</v>
      </c>
      <c r="M16" s="3" t="s">
        <v>24</v>
      </c>
      <c r="N16" s="4" t="s">
        <v>159</v>
      </c>
      <c r="O16" s="5">
        <v>1066</v>
      </c>
      <c r="P16" s="4" t="s">
        <v>23</v>
      </c>
      <c r="Q16" s="4" t="s">
        <v>91</v>
      </c>
      <c r="R16" s="4">
        <v>544</v>
      </c>
    </row>
    <row r="17" spans="1:18">
      <c r="A17" s="4" t="s">
        <v>137</v>
      </c>
      <c r="B17" s="4" t="s">
        <v>145</v>
      </c>
      <c r="C17" s="4" t="s">
        <v>96</v>
      </c>
      <c r="D17" s="4" t="s">
        <v>97</v>
      </c>
      <c r="E17" s="4" t="s">
        <v>149</v>
      </c>
      <c r="F17" s="3" t="str">
        <f>Q17&amp;":"&amp;M17&amp;R17&amp;"-"&amp;H17&amp;L17</f>
        <v>H2A:E62-R527</v>
      </c>
      <c r="G17" s="4">
        <v>0.7569</v>
      </c>
      <c r="H17" s="3" t="s">
        <v>21</v>
      </c>
      <c r="I17" s="4" t="s">
        <v>139</v>
      </c>
      <c r="J17" s="5">
        <v>1049</v>
      </c>
      <c r="K17" s="4" t="s">
        <v>23</v>
      </c>
      <c r="L17" s="4">
        <v>527</v>
      </c>
      <c r="M17" s="3" t="s">
        <v>30</v>
      </c>
      <c r="N17" s="4" t="s">
        <v>148</v>
      </c>
      <c r="O17" s="5">
        <v>233</v>
      </c>
      <c r="P17" s="4" t="s">
        <v>141</v>
      </c>
      <c r="Q17" s="4" t="s">
        <v>27</v>
      </c>
      <c r="R17" s="4">
        <v>62</v>
      </c>
    </row>
    <row r="18" spans="1:18">
      <c r="A18" s="4" t="s">
        <v>137</v>
      </c>
      <c r="B18" s="4" t="s">
        <v>145</v>
      </c>
      <c r="C18" s="4" t="s">
        <v>96</v>
      </c>
      <c r="D18" s="4" t="s">
        <v>97</v>
      </c>
      <c r="E18" s="4" t="s">
        <v>146</v>
      </c>
      <c r="F18" s="3" t="str">
        <f>Q18&amp;":"&amp;M18&amp;R18&amp;"-"&amp;H18&amp;L18</f>
        <v>H2A:E62-S525</v>
      </c>
      <c r="G18" s="4">
        <v>0.6814</v>
      </c>
      <c r="H18" s="3" t="s">
        <v>36</v>
      </c>
      <c r="I18" s="4" t="s">
        <v>147</v>
      </c>
      <c r="J18" s="5">
        <v>1047</v>
      </c>
      <c r="K18" s="4" t="s">
        <v>23</v>
      </c>
      <c r="L18" s="4">
        <v>525</v>
      </c>
      <c r="M18" s="3" t="s">
        <v>30</v>
      </c>
      <c r="N18" s="4" t="s">
        <v>148</v>
      </c>
      <c r="O18" s="5">
        <v>233</v>
      </c>
      <c r="P18" s="4" t="s">
        <v>141</v>
      </c>
      <c r="Q18" s="4" t="s">
        <v>27</v>
      </c>
      <c r="R18" s="4">
        <v>62</v>
      </c>
    </row>
    <row r="19" spans="1:18">
      <c r="A19" s="4" t="s">
        <v>137</v>
      </c>
      <c r="B19" s="4" t="s">
        <v>145</v>
      </c>
      <c r="C19" s="4" t="s">
        <v>96</v>
      </c>
      <c r="D19" s="4" t="s">
        <v>97</v>
      </c>
      <c r="E19" s="4" t="s">
        <v>163</v>
      </c>
      <c r="F19" s="3" t="str">
        <f>Q19&amp;":"&amp;H19&amp;L19&amp;"-"&amp;M19&amp;R19</f>
        <v>H2A:E92-K530</v>
      </c>
      <c r="G19" s="4">
        <v>0.5525</v>
      </c>
      <c r="H19" s="3" t="s">
        <v>30</v>
      </c>
      <c r="I19" s="4" t="s">
        <v>164</v>
      </c>
      <c r="J19" s="5">
        <v>263</v>
      </c>
      <c r="K19" s="4" t="s">
        <v>141</v>
      </c>
      <c r="L19" s="4">
        <v>92</v>
      </c>
      <c r="M19" s="3" t="s">
        <v>23</v>
      </c>
      <c r="N19" s="4" t="s">
        <v>165</v>
      </c>
      <c r="O19" s="5">
        <v>1052</v>
      </c>
      <c r="P19" s="4" t="s">
        <v>23</v>
      </c>
      <c r="Q19" s="4" t="s">
        <v>27</v>
      </c>
      <c r="R19" s="4">
        <v>530</v>
      </c>
    </row>
    <row r="20" spans="1:18">
      <c r="A20" s="4" t="s">
        <v>137</v>
      </c>
      <c r="B20" s="4" t="s">
        <v>145</v>
      </c>
      <c r="C20" s="4" t="s">
        <v>96</v>
      </c>
      <c r="D20" s="4" t="s">
        <v>97</v>
      </c>
      <c r="E20" s="4" t="s">
        <v>160</v>
      </c>
      <c r="F20" s="3" t="str">
        <f t="shared" ref="F20:F27" si="1">Q20&amp;":"&amp;M20&amp;R20&amp;"-"&amp;H20&amp;L20</f>
        <v>H2A:E65-R524</v>
      </c>
      <c r="G20" s="4">
        <v>0.4678</v>
      </c>
      <c r="H20" s="3" t="s">
        <v>21</v>
      </c>
      <c r="I20" s="4" t="s">
        <v>161</v>
      </c>
      <c r="J20" s="5">
        <v>1046</v>
      </c>
      <c r="K20" s="4" t="s">
        <v>23</v>
      </c>
      <c r="L20" s="4">
        <v>524</v>
      </c>
      <c r="M20" s="3" t="s">
        <v>30</v>
      </c>
      <c r="N20" s="4" t="s">
        <v>162</v>
      </c>
      <c r="O20" s="5">
        <v>236</v>
      </c>
      <c r="P20" s="4" t="s">
        <v>141</v>
      </c>
      <c r="Q20" s="4" t="s">
        <v>27</v>
      </c>
      <c r="R20" s="4">
        <v>65</v>
      </c>
    </row>
    <row r="21" spans="1:18">
      <c r="A21" s="4" t="s">
        <v>137</v>
      </c>
      <c r="B21" s="4" t="s">
        <v>145</v>
      </c>
      <c r="C21" s="4" t="s">
        <v>96</v>
      </c>
      <c r="D21" s="4" t="s">
        <v>97</v>
      </c>
      <c r="E21" s="4" t="s">
        <v>168</v>
      </c>
      <c r="F21" s="3" t="str">
        <f t="shared" si="1"/>
        <v>H2A:E62-T523</v>
      </c>
      <c r="G21" s="4">
        <v>0.1123</v>
      </c>
      <c r="H21" s="3" t="s">
        <v>88</v>
      </c>
      <c r="I21" s="4" t="s">
        <v>169</v>
      </c>
      <c r="J21" s="5">
        <v>1045</v>
      </c>
      <c r="K21" s="4" t="s">
        <v>23</v>
      </c>
      <c r="L21" s="4">
        <v>523</v>
      </c>
      <c r="M21" s="3" t="s">
        <v>30</v>
      </c>
      <c r="N21" s="4" t="s">
        <v>148</v>
      </c>
      <c r="O21" s="5">
        <v>233</v>
      </c>
      <c r="P21" s="4" t="s">
        <v>141</v>
      </c>
      <c r="Q21" s="4" t="s">
        <v>27</v>
      </c>
      <c r="R21" s="4">
        <v>62</v>
      </c>
    </row>
    <row r="22" spans="1:18">
      <c r="A22" s="4" t="s">
        <v>137</v>
      </c>
      <c r="B22" s="4" t="s">
        <v>145</v>
      </c>
      <c r="C22" s="4" t="s">
        <v>170</v>
      </c>
      <c r="D22" s="4" t="s">
        <v>171</v>
      </c>
      <c r="E22" s="4" t="s">
        <v>142</v>
      </c>
      <c r="F22" s="3" t="str">
        <f t="shared" si="1"/>
        <v>H4:E63-R540</v>
      </c>
      <c r="G22" s="4">
        <v>0.9779</v>
      </c>
      <c r="H22" s="3" t="s">
        <v>21</v>
      </c>
      <c r="I22" s="4" t="s">
        <v>143</v>
      </c>
      <c r="J22" s="5">
        <v>1062</v>
      </c>
      <c r="K22" s="4" t="s">
        <v>23</v>
      </c>
      <c r="L22" s="4">
        <v>540</v>
      </c>
      <c r="M22" s="3" t="s">
        <v>30</v>
      </c>
      <c r="N22" s="4" t="s">
        <v>144</v>
      </c>
      <c r="O22" s="5">
        <v>143</v>
      </c>
      <c r="P22" s="4" t="s">
        <v>145</v>
      </c>
      <c r="Q22" s="4" t="s">
        <v>67</v>
      </c>
      <c r="R22" s="4">
        <v>63</v>
      </c>
    </row>
    <row r="23" spans="1:18">
      <c r="A23" s="4" t="s">
        <v>137</v>
      </c>
      <c r="B23" s="4" t="s">
        <v>145</v>
      </c>
      <c r="C23" s="4" t="s">
        <v>170</v>
      </c>
      <c r="D23" s="4" t="s">
        <v>171</v>
      </c>
      <c r="E23" s="4" t="s">
        <v>138</v>
      </c>
      <c r="F23" s="3" t="str">
        <f t="shared" si="1"/>
        <v>H2A:D91-R527</v>
      </c>
      <c r="G23" s="4">
        <v>0.9669</v>
      </c>
      <c r="H23" s="3" t="s">
        <v>21</v>
      </c>
      <c r="I23" s="4" t="s">
        <v>139</v>
      </c>
      <c r="J23" s="5">
        <v>1049</v>
      </c>
      <c r="K23" s="4" t="s">
        <v>23</v>
      </c>
      <c r="L23" s="4">
        <v>527</v>
      </c>
      <c r="M23" s="3" t="s">
        <v>24</v>
      </c>
      <c r="N23" s="4" t="s">
        <v>140</v>
      </c>
      <c r="O23" s="5">
        <v>262</v>
      </c>
      <c r="P23" s="4" t="s">
        <v>141</v>
      </c>
      <c r="Q23" s="4" t="s">
        <v>27</v>
      </c>
      <c r="R23" s="4">
        <v>91</v>
      </c>
    </row>
    <row r="24" spans="1:18">
      <c r="A24" s="4" t="s">
        <v>137</v>
      </c>
      <c r="B24" s="4" t="s">
        <v>145</v>
      </c>
      <c r="C24" s="4" t="s">
        <v>170</v>
      </c>
      <c r="D24" s="4" t="s">
        <v>171</v>
      </c>
      <c r="E24" s="4" t="s">
        <v>146</v>
      </c>
      <c r="F24" s="3" t="str">
        <f t="shared" si="1"/>
        <v>H2A:E62-S525</v>
      </c>
      <c r="G24" s="4">
        <v>0.9171</v>
      </c>
      <c r="H24" s="3" t="s">
        <v>36</v>
      </c>
      <c r="I24" s="4" t="s">
        <v>147</v>
      </c>
      <c r="J24" s="5">
        <v>1047</v>
      </c>
      <c r="K24" s="4" t="s">
        <v>23</v>
      </c>
      <c r="L24" s="4">
        <v>525</v>
      </c>
      <c r="M24" s="3" t="s">
        <v>30</v>
      </c>
      <c r="N24" s="4" t="s">
        <v>148</v>
      </c>
      <c r="O24" s="5">
        <v>233</v>
      </c>
      <c r="P24" s="4" t="s">
        <v>141</v>
      </c>
      <c r="Q24" s="4" t="s">
        <v>27</v>
      </c>
      <c r="R24" s="4">
        <v>62</v>
      </c>
    </row>
    <row r="25" spans="1:18">
      <c r="A25" s="4" t="s">
        <v>137</v>
      </c>
      <c r="B25" s="4" t="s">
        <v>145</v>
      </c>
      <c r="C25" s="4" t="s">
        <v>170</v>
      </c>
      <c r="D25" s="4" t="s">
        <v>171</v>
      </c>
      <c r="E25" s="4" t="s">
        <v>149</v>
      </c>
      <c r="F25" s="3" t="str">
        <f t="shared" si="1"/>
        <v>H2A:E62-R527</v>
      </c>
      <c r="G25" s="4">
        <v>0.8913</v>
      </c>
      <c r="H25" s="3" t="s">
        <v>21</v>
      </c>
      <c r="I25" s="4" t="s">
        <v>139</v>
      </c>
      <c r="J25" s="5">
        <v>1049</v>
      </c>
      <c r="K25" s="4" t="s">
        <v>23</v>
      </c>
      <c r="L25" s="4">
        <v>527</v>
      </c>
      <c r="M25" s="3" t="s">
        <v>30</v>
      </c>
      <c r="N25" s="4" t="s">
        <v>148</v>
      </c>
      <c r="O25" s="5">
        <v>233</v>
      </c>
      <c r="P25" s="4" t="s">
        <v>141</v>
      </c>
      <c r="Q25" s="4" t="s">
        <v>27</v>
      </c>
      <c r="R25" s="4">
        <v>62</v>
      </c>
    </row>
    <row r="26" spans="1:18">
      <c r="A26" s="4" t="s">
        <v>137</v>
      </c>
      <c r="B26" s="4" t="s">
        <v>145</v>
      </c>
      <c r="C26" s="4" t="s">
        <v>170</v>
      </c>
      <c r="D26" s="4" t="s">
        <v>171</v>
      </c>
      <c r="E26" s="4" t="s">
        <v>150</v>
      </c>
      <c r="F26" s="3" t="str">
        <f t="shared" si="1"/>
        <v>H3:P78-R545</v>
      </c>
      <c r="G26" s="4">
        <v>0.8379</v>
      </c>
      <c r="H26" s="3" t="s">
        <v>21</v>
      </c>
      <c r="I26" s="4" t="s">
        <v>151</v>
      </c>
      <c r="J26" s="5">
        <v>1067</v>
      </c>
      <c r="K26" s="4" t="s">
        <v>23</v>
      </c>
      <c r="L26" s="4">
        <v>545</v>
      </c>
      <c r="M26" s="3" t="s">
        <v>152</v>
      </c>
      <c r="N26" s="4" t="s">
        <v>153</v>
      </c>
      <c r="O26" s="5">
        <v>41</v>
      </c>
      <c r="P26" s="4" t="s">
        <v>154</v>
      </c>
      <c r="Q26" s="4" t="s">
        <v>91</v>
      </c>
      <c r="R26" s="4">
        <v>78</v>
      </c>
    </row>
    <row r="27" spans="1:18">
      <c r="A27" s="4" t="s">
        <v>137</v>
      </c>
      <c r="B27" s="4" t="s">
        <v>145</v>
      </c>
      <c r="C27" s="4" t="s">
        <v>170</v>
      </c>
      <c r="D27" s="4" t="s">
        <v>171</v>
      </c>
      <c r="E27" s="4" t="s">
        <v>155</v>
      </c>
      <c r="F27" s="3" t="str">
        <f t="shared" si="1"/>
        <v>H4:E74-R545</v>
      </c>
      <c r="G27" s="4">
        <v>0.582</v>
      </c>
      <c r="H27" s="3" t="s">
        <v>21</v>
      </c>
      <c r="I27" s="4" t="s">
        <v>151</v>
      </c>
      <c r="J27" s="5">
        <v>1067</v>
      </c>
      <c r="K27" s="4" t="s">
        <v>23</v>
      </c>
      <c r="L27" s="4">
        <v>545</v>
      </c>
      <c r="M27" s="3" t="s">
        <v>30</v>
      </c>
      <c r="N27" s="4" t="s">
        <v>156</v>
      </c>
      <c r="O27" s="5">
        <v>154</v>
      </c>
      <c r="P27" s="4" t="s">
        <v>145</v>
      </c>
      <c r="Q27" s="4" t="s">
        <v>67</v>
      </c>
      <c r="R27" s="4">
        <v>74</v>
      </c>
    </row>
    <row r="28" spans="1:18">
      <c r="A28" s="4" t="s">
        <v>137</v>
      </c>
      <c r="B28" s="4" t="s">
        <v>145</v>
      </c>
      <c r="C28" s="4" t="s">
        <v>170</v>
      </c>
      <c r="D28" s="4" t="s">
        <v>171</v>
      </c>
      <c r="E28" s="4" t="s">
        <v>157</v>
      </c>
      <c r="F28" s="3" t="str">
        <f>Q28&amp;":"&amp;H28&amp;L28&amp;"-"&amp;M28&amp;R28</f>
        <v>H3:R80-D544</v>
      </c>
      <c r="G28" s="4">
        <v>0.5451</v>
      </c>
      <c r="H28" s="3" t="s">
        <v>21</v>
      </c>
      <c r="I28" s="4" t="s">
        <v>158</v>
      </c>
      <c r="J28" s="5">
        <v>43</v>
      </c>
      <c r="K28" s="4" t="s">
        <v>154</v>
      </c>
      <c r="L28" s="4">
        <v>80</v>
      </c>
      <c r="M28" s="3" t="s">
        <v>24</v>
      </c>
      <c r="N28" s="4" t="s">
        <v>159</v>
      </c>
      <c r="O28" s="5">
        <v>1066</v>
      </c>
      <c r="P28" s="4" t="s">
        <v>23</v>
      </c>
      <c r="Q28" s="4" t="s">
        <v>91</v>
      </c>
      <c r="R28" s="4">
        <v>544</v>
      </c>
    </row>
    <row r="29" spans="1:18">
      <c r="A29" s="4" t="s">
        <v>137</v>
      </c>
      <c r="B29" s="4" t="s">
        <v>145</v>
      </c>
      <c r="C29" s="4" t="s">
        <v>170</v>
      </c>
      <c r="D29" s="4" t="s">
        <v>171</v>
      </c>
      <c r="E29" s="4" t="s">
        <v>168</v>
      </c>
      <c r="F29" s="3" t="str">
        <f>Q29&amp;":"&amp;M29&amp;R29&amp;"-"&amp;H29&amp;L29</f>
        <v>H2A:E62-T523</v>
      </c>
      <c r="G29" s="4">
        <v>0.4383</v>
      </c>
      <c r="H29" s="3" t="s">
        <v>88</v>
      </c>
      <c r="I29" s="4" t="s">
        <v>169</v>
      </c>
      <c r="J29" s="5">
        <v>1045</v>
      </c>
      <c r="K29" s="4" t="s">
        <v>23</v>
      </c>
      <c r="L29" s="4">
        <v>523</v>
      </c>
      <c r="M29" s="3" t="s">
        <v>30</v>
      </c>
      <c r="N29" s="4" t="s">
        <v>148</v>
      </c>
      <c r="O29" s="5">
        <v>233</v>
      </c>
      <c r="P29" s="4" t="s">
        <v>141</v>
      </c>
      <c r="Q29" s="4" t="s">
        <v>27</v>
      </c>
      <c r="R29" s="4">
        <v>62</v>
      </c>
    </row>
    <row r="30" spans="1:18">
      <c r="A30" s="4" t="s">
        <v>137</v>
      </c>
      <c r="B30" s="4" t="s">
        <v>145</v>
      </c>
      <c r="C30" s="4" t="s">
        <v>170</v>
      </c>
      <c r="D30" s="4" t="s">
        <v>171</v>
      </c>
      <c r="E30" s="4" t="s">
        <v>163</v>
      </c>
      <c r="F30" s="3" t="str">
        <f>Q30&amp;":"&amp;H30&amp;L30&amp;"-"&amp;M30&amp;R30</f>
        <v>H2A:E92-K530</v>
      </c>
      <c r="G30" s="4">
        <v>0.4273</v>
      </c>
      <c r="H30" s="3" t="s">
        <v>30</v>
      </c>
      <c r="I30" s="4" t="s">
        <v>164</v>
      </c>
      <c r="J30" s="5">
        <v>263</v>
      </c>
      <c r="K30" s="4" t="s">
        <v>141</v>
      </c>
      <c r="L30" s="4">
        <v>92</v>
      </c>
      <c r="M30" s="3" t="s">
        <v>23</v>
      </c>
      <c r="N30" s="4" t="s">
        <v>165</v>
      </c>
      <c r="O30" s="5">
        <v>1052</v>
      </c>
      <c r="P30" s="4" t="s">
        <v>23</v>
      </c>
      <c r="Q30" s="4" t="s">
        <v>27</v>
      </c>
      <c r="R30" s="4">
        <v>530</v>
      </c>
    </row>
    <row r="31" spans="1:18">
      <c r="A31" s="4" t="s">
        <v>137</v>
      </c>
      <c r="B31" s="4" t="s">
        <v>145</v>
      </c>
      <c r="C31" s="4" t="s">
        <v>170</v>
      </c>
      <c r="D31" s="4" t="s">
        <v>171</v>
      </c>
      <c r="E31" s="4" t="s">
        <v>160</v>
      </c>
      <c r="F31" s="3" t="str">
        <f>Q31&amp;":"&amp;M31&amp;R31&amp;"-"&amp;H31&amp;L31</f>
        <v>H2A:E65-R524</v>
      </c>
      <c r="G31" s="4">
        <v>0.1952</v>
      </c>
      <c r="H31" s="3" t="s">
        <v>21</v>
      </c>
      <c r="I31" s="4" t="s">
        <v>161</v>
      </c>
      <c r="J31" s="5">
        <v>1046</v>
      </c>
      <c r="K31" s="4" t="s">
        <v>23</v>
      </c>
      <c r="L31" s="4">
        <v>524</v>
      </c>
      <c r="M31" s="3" t="s">
        <v>30</v>
      </c>
      <c r="N31" s="4" t="s">
        <v>162</v>
      </c>
      <c r="O31" s="5">
        <v>236</v>
      </c>
      <c r="P31" s="4" t="s">
        <v>141</v>
      </c>
      <c r="Q31" s="4" t="s">
        <v>27</v>
      </c>
      <c r="R31" s="4">
        <v>65</v>
      </c>
    </row>
    <row r="32" spans="1:18">
      <c r="A32" s="4" t="s">
        <v>137</v>
      </c>
      <c r="B32" s="4" t="s">
        <v>141</v>
      </c>
      <c r="C32" s="4" t="s">
        <v>172</v>
      </c>
      <c r="D32" s="4" t="s">
        <v>173</v>
      </c>
      <c r="E32" s="4" t="s">
        <v>142</v>
      </c>
      <c r="F32" s="3" t="str">
        <f>Q32&amp;":"&amp;M32&amp;R32&amp;"-"&amp;H32&amp;L32</f>
        <v>H4:E63-R540</v>
      </c>
      <c r="G32" s="4">
        <v>0.9816</v>
      </c>
      <c r="H32" s="3" t="s">
        <v>21</v>
      </c>
      <c r="I32" s="4" t="s">
        <v>143</v>
      </c>
      <c r="J32" s="5">
        <v>1062</v>
      </c>
      <c r="K32" s="4" t="s">
        <v>23</v>
      </c>
      <c r="L32" s="4">
        <v>540</v>
      </c>
      <c r="M32" s="3" t="s">
        <v>30</v>
      </c>
      <c r="N32" s="4" t="s">
        <v>144</v>
      </c>
      <c r="O32" s="5">
        <v>143</v>
      </c>
      <c r="P32" s="4" t="s">
        <v>145</v>
      </c>
      <c r="Q32" s="4" t="s">
        <v>67</v>
      </c>
      <c r="R32" s="4">
        <v>63</v>
      </c>
    </row>
    <row r="33" spans="1:18">
      <c r="A33" s="4" t="s">
        <v>137</v>
      </c>
      <c r="B33" s="4" t="s">
        <v>141</v>
      </c>
      <c r="C33" s="4" t="s">
        <v>172</v>
      </c>
      <c r="D33" s="4" t="s">
        <v>173</v>
      </c>
      <c r="E33" s="4" t="s">
        <v>150</v>
      </c>
      <c r="F33" s="3" t="str">
        <f>Q33&amp;":"&amp;M33&amp;R33&amp;"-"&amp;H33&amp;L33</f>
        <v>H3:P78-R545</v>
      </c>
      <c r="G33" s="4">
        <v>0.8619</v>
      </c>
      <c r="H33" s="3" t="s">
        <v>21</v>
      </c>
      <c r="I33" s="4" t="s">
        <v>151</v>
      </c>
      <c r="J33" s="5">
        <v>1067</v>
      </c>
      <c r="K33" s="4" t="s">
        <v>23</v>
      </c>
      <c r="L33" s="4">
        <v>545</v>
      </c>
      <c r="M33" s="3" t="s">
        <v>152</v>
      </c>
      <c r="N33" s="4" t="s">
        <v>153</v>
      </c>
      <c r="O33" s="5">
        <v>41</v>
      </c>
      <c r="P33" s="4" t="s">
        <v>154</v>
      </c>
      <c r="Q33" s="4" t="s">
        <v>91</v>
      </c>
      <c r="R33" s="4">
        <v>78</v>
      </c>
    </row>
    <row r="34" spans="1:18">
      <c r="A34" s="4" t="s">
        <v>137</v>
      </c>
      <c r="B34" s="4" t="s">
        <v>141</v>
      </c>
      <c r="C34" s="4" t="s">
        <v>172</v>
      </c>
      <c r="D34" s="4" t="s">
        <v>173</v>
      </c>
      <c r="E34" s="4" t="s">
        <v>155</v>
      </c>
      <c r="F34" s="3" t="str">
        <f>Q34&amp;":"&amp;M34&amp;R34&amp;"-"&amp;H34&amp;L34</f>
        <v>H4:E74-R545</v>
      </c>
      <c r="G34" s="4">
        <v>0.6869</v>
      </c>
      <c r="H34" s="3" t="s">
        <v>21</v>
      </c>
      <c r="I34" s="4" t="s">
        <v>151</v>
      </c>
      <c r="J34" s="5">
        <v>1067</v>
      </c>
      <c r="K34" s="4" t="s">
        <v>23</v>
      </c>
      <c r="L34" s="4">
        <v>545</v>
      </c>
      <c r="M34" s="3" t="s">
        <v>30</v>
      </c>
      <c r="N34" s="4" t="s">
        <v>156</v>
      </c>
      <c r="O34" s="5">
        <v>154</v>
      </c>
      <c r="P34" s="4" t="s">
        <v>145</v>
      </c>
      <c r="Q34" s="4" t="s">
        <v>67</v>
      </c>
      <c r="R34" s="4">
        <v>74</v>
      </c>
    </row>
    <row r="35" spans="1:18">
      <c r="A35" s="4" t="s">
        <v>137</v>
      </c>
      <c r="B35" s="4" t="s">
        <v>141</v>
      </c>
      <c r="C35" s="4" t="s">
        <v>172</v>
      </c>
      <c r="D35" s="4" t="s">
        <v>173</v>
      </c>
      <c r="E35" s="4" t="s">
        <v>157</v>
      </c>
      <c r="F35" s="3" t="str">
        <f>Q35&amp;":"&amp;H35&amp;L35&amp;"-"&amp;M35&amp;R35</f>
        <v>H3:R80-D544</v>
      </c>
      <c r="G35" s="4">
        <v>0.4107</v>
      </c>
      <c r="H35" s="3" t="s">
        <v>21</v>
      </c>
      <c r="I35" s="4" t="s">
        <v>158</v>
      </c>
      <c r="J35" s="5">
        <v>43</v>
      </c>
      <c r="K35" s="4" t="s">
        <v>154</v>
      </c>
      <c r="L35" s="4">
        <v>80</v>
      </c>
      <c r="M35" s="3" t="s">
        <v>24</v>
      </c>
      <c r="N35" s="4" t="s">
        <v>159</v>
      </c>
      <c r="O35" s="5">
        <v>1066</v>
      </c>
      <c r="P35" s="4" t="s">
        <v>23</v>
      </c>
      <c r="Q35" s="4" t="s">
        <v>91</v>
      </c>
      <c r="R35" s="4">
        <v>544</v>
      </c>
    </row>
    <row r="36" spans="1:18">
      <c r="A36" s="4" t="s">
        <v>137</v>
      </c>
      <c r="B36" s="4" t="s">
        <v>141</v>
      </c>
      <c r="C36" s="4" t="s">
        <v>172</v>
      </c>
      <c r="D36" s="4" t="s">
        <v>173</v>
      </c>
      <c r="E36" s="4" t="s">
        <v>138</v>
      </c>
      <c r="F36" s="3" t="str">
        <f>Q36&amp;":"&amp;M36&amp;R36&amp;"-"&amp;H36&amp;L36</f>
        <v>H2A:D91-R527</v>
      </c>
      <c r="G36" s="4">
        <v>0.2192</v>
      </c>
      <c r="H36" s="3" t="s">
        <v>21</v>
      </c>
      <c r="I36" s="4" t="s">
        <v>139</v>
      </c>
      <c r="J36" s="5">
        <v>1049</v>
      </c>
      <c r="K36" s="4" t="s">
        <v>23</v>
      </c>
      <c r="L36" s="4">
        <v>527</v>
      </c>
      <c r="M36" s="3" t="s">
        <v>24</v>
      </c>
      <c r="N36" s="4" t="s">
        <v>140</v>
      </c>
      <c r="O36" s="5">
        <v>262</v>
      </c>
      <c r="P36" s="4" t="s">
        <v>141</v>
      </c>
      <c r="Q36" s="4" t="s">
        <v>27</v>
      </c>
      <c r="R36" s="4">
        <v>91</v>
      </c>
    </row>
    <row r="37" spans="1:18">
      <c r="A37" s="4" t="s">
        <v>137</v>
      </c>
      <c r="B37" s="4" t="s">
        <v>24</v>
      </c>
      <c r="C37" s="4" t="s">
        <v>174</v>
      </c>
      <c r="D37" s="4" t="s">
        <v>175</v>
      </c>
      <c r="E37" s="4" t="s">
        <v>138</v>
      </c>
      <c r="F37" s="3" t="str">
        <f>Q37&amp;":"&amp;M37&amp;R37&amp;"-"&amp;H37&amp;L37</f>
        <v>H2A:D91-R527</v>
      </c>
      <c r="G37" s="4">
        <v>0.9705</v>
      </c>
      <c r="H37" s="3" t="s">
        <v>21</v>
      </c>
      <c r="I37" s="4" t="s">
        <v>139</v>
      </c>
      <c r="J37" s="5">
        <v>1049</v>
      </c>
      <c r="K37" s="4" t="s">
        <v>23</v>
      </c>
      <c r="L37" s="4">
        <v>527</v>
      </c>
      <c r="M37" s="3" t="s">
        <v>24</v>
      </c>
      <c r="N37" s="4" t="s">
        <v>140</v>
      </c>
      <c r="O37" s="5">
        <v>262</v>
      </c>
      <c r="P37" s="4" t="s">
        <v>141</v>
      </c>
      <c r="Q37" s="4" t="s">
        <v>27</v>
      </c>
      <c r="R37" s="4">
        <v>91</v>
      </c>
    </row>
    <row r="38" spans="1:18">
      <c r="A38" s="4" t="s">
        <v>137</v>
      </c>
      <c r="B38" s="4" t="s">
        <v>24</v>
      </c>
      <c r="C38" s="4" t="s">
        <v>174</v>
      </c>
      <c r="D38" s="4" t="s">
        <v>175</v>
      </c>
      <c r="E38" s="4" t="s">
        <v>142</v>
      </c>
      <c r="F38" s="3" t="str">
        <f>Q38&amp;":"&amp;M38&amp;R38&amp;"-"&amp;H38&amp;L38</f>
        <v>H4:E63-R540</v>
      </c>
      <c r="G38" s="4">
        <v>0.9042</v>
      </c>
      <c r="H38" s="3" t="s">
        <v>21</v>
      </c>
      <c r="I38" s="4" t="s">
        <v>143</v>
      </c>
      <c r="J38" s="5">
        <v>1062</v>
      </c>
      <c r="K38" s="4" t="s">
        <v>23</v>
      </c>
      <c r="L38" s="4">
        <v>540</v>
      </c>
      <c r="M38" s="3" t="s">
        <v>30</v>
      </c>
      <c r="N38" s="4" t="s">
        <v>144</v>
      </c>
      <c r="O38" s="5">
        <v>143</v>
      </c>
      <c r="P38" s="4" t="s">
        <v>145</v>
      </c>
      <c r="Q38" s="4" t="s">
        <v>67</v>
      </c>
      <c r="R38" s="4">
        <v>63</v>
      </c>
    </row>
    <row r="39" spans="1:18">
      <c r="A39" s="4" t="s">
        <v>137</v>
      </c>
      <c r="B39" s="4" t="s">
        <v>24</v>
      </c>
      <c r="C39" s="4" t="s">
        <v>174</v>
      </c>
      <c r="D39" s="4" t="s">
        <v>175</v>
      </c>
      <c r="E39" s="4" t="s">
        <v>150</v>
      </c>
      <c r="F39" s="3" t="str">
        <f>Q39&amp;":"&amp;M39&amp;R39&amp;"-"&amp;H39&amp;L39</f>
        <v>H3:P78-R545</v>
      </c>
      <c r="G39" s="4">
        <v>0.8711</v>
      </c>
      <c r="H39" s="3" t="s">
        <v>21</v>
      </c>
      <c r="I39" s="4" t="s">
        <v>151</v>
      </c>
      <c r="J39" s="5">
        <v>1067</v>
      </c>
      <c r="K39" s="4" t="s">
        <v>23</v>
      </c>
      <c r="L39" s="4">
        <v>545</v>
      </c>
      <c r="M39" s="3" t="s">
        <v>152</v>
      </c>
      <c r="N39" s="4" t="s">
        <v>153</v>
      </c>
      <c r="O39" s="5">
        <v>41</v>
      </c>
      <c r="P39" s="4" t="s">
        <v>154</v>
      </c>
      <c r="Q39" s="4" t="s">
        <v>91</v>
      </c>
      <c r="R39" s="4">
        <v>78</v>
      </c>
    </row>
    <row r="40" spans="1:18">
      <c r="A40" s="4" t="s">
        <v>137</v>
      </c>
      <c r="B40" s="4" t="s">
        <v>24</v>
      </c>
      <c r="C40" s="4" t="s">
        <v>174</v>
      </c>
      <c r="D40" s="4" t="s">
        <v>175</v>
      </c>
      <c r="E40" s="4" t="s">
        <v>149</v>
      </c>
      <c r="F40" s="3" t="str">
        <f>Q40&amp;":"&amp;M40&amp;R40&amp;"-"&amp;H40&amp;L40</f>
        <v>H2A:E62-R527</v>
      </c>
      <c r="G40" s="4">
        <v>0.8416</v>
      </c>
      <c r="H40" s="3" t="s">
        <v>21</v>
      </c>
      <c r="I40" s="4" t="s">
        <v>139</v>
      </c>
      <c r="J40" s="5">
        <v>1049</v>
      </c>
      <c r="K40" s="4" t="s">
        <v>23</v>
      </c>
      <c r="L40" s="4">
        <v>527</v>
      </c>
      <c r="M40" s="3" t="s">
        <v>30</v>
      </c>
      <c r="N40" s="4" t="s">
        <v>148</v>
      </c>
      <c r="O40" s="5">
        <v>233</v>
      </c>
      <c r="P40" s="4" t="s">
        <v>141</v>
      </c>
      <c r="Q40" s="4" t="s">
        <v>27</v>
      </c>
      <c r="R40" s="4">
        <v>62</v>
      </c>
    </row>
    <row r="41" spans="1:18">
      <c r="A41" s="4" t="s">
        <v>137</v>
      </c>
      <c r="B41" s="4" t="s">
        <v>24</v>
      </c>
      <c r="C41" s="4" t="s">
        <v>174</v>
      </c>
      <c r="D41" s="4" t="s">
        <v>175</v>
      </c>
      <c r="E41" s="4" t="s">
        <v>157</v>
      </c>
      <c r="F41" s="3" t="str">
        <f>Q41&amp;":"&amp;H41&amp;L41&amp;"-"&amp;M41&amp;R41</f>
        <v>H3:R80-D544</v>
      </c>
      <c r="G41" s="4">
        <v>0.8324</v>
      </c>
      <c r="H41" s="3" t="s">
        <v>21</v>
      </c>
      <c r="I41" s="4" t="s">
        <v>158</v>
      </c>
      <c r="J41" s="5">
        <v>43</v>
      </c>
      <c r="K41" s="4" t="s">
        <v>154</v>
      </c>
      <c r="L41" s="4">
        <v>80</v>
      </c>
      <c r="M41" s="3" t="s">
        <v>24</v>
      </c>
      <c r="N41" s="4" t="s">
        <v>159</v>
      </c>
      <c r="O41" s="5">
        <v>1066</v>
      </c>
      <c r="P41" s="4" t="s">
        <v>23</v>
      </c>
      <c r="Q41" s="4" t="s">
        <v>91</v>
      </c>
      <c r="R41" s="4">
        <v>544</v>
      </c>
    </row>
    <row r="42" spans="1:18">
      <c r="A42" s="4" t="s">
        <v>137</v>
      </c>
      <c r="B42" s="4" t="s">
        <v>24</v>
      </c>
      <c r="C42" s="4" t="s">
        <v>174</v>
      </c>
      <c r="D42" s="4" t="s">
        <v>175</v>
      </c>
      <c r="E42" s="4" t="s">
        <v>146</v>
      </c>
      <c r="F42" s="3" t="str">
        <f>Q42&amp;":"&amp;M42&amp;R42&amp;"-"&amp;H42&amp;L42</f>
        <v>H2A:E62-S525</v>
      </c>
      <c r="G42" s="4">
        <v>0.8158</v>
      </c>
      <c r="H42" s="3" t="s">
        <v>36</v>
      </c>
      <c r="I42" s="4" t="s">
        <v>147</v>
      </c>
      <c r="J42" s="5">
        <v>1047</v>
      </c>
      <c r="K42" s="4" t="s">
        <v>23</v>
      </c>
      <c r="L42" s="4">
        <v>525</v>
      </c>
      <c r="M42" s="3" t="s">
        <v>30</v>
      </c>
      <c r="N42" s="4" t="s">
        <v>148</v>
      </c>
      <c r="O42" s="5">
        <v>233</v>
      </c>
      <c r="P42" s="4" t="s">
        <v>141</v>
      </c>
      <c r="Q42" s="4" t="s">
        <v>27</v>
      </c>
      <c r="R42" s="4">
        <v>62</v>
      </c>
    </row>
    <row r="43" spans="1:18">
      <c r="A43" s="4" t="s">
        <v>137</v>
      </c>
      <c r="B43" s="4" t="s">
        <v>24</v>
      </c>
      <c r="C43" s="4" t="s">
        <v>174</v>
      </c>
      <c r="D43" s="4" t="s">
        <v>175</v>
      </c>
      <c r="E43" s="4" t="s">
        <v>163</v>
      </c>
      <c r="F43" s="3" t="str">
        <f>Q43&amp;":"&amp;H43&amp;L43&amp;"-"&amp;M43&amp;R43</f>
        <v>H2A:E92-K530</v>
      </c>
      <c r="G43" s="4">
        <v>0.6206</v>
      </c>
      <c r="H43" s="3" t="s">
        <v>30</v>
      </c>
      <c r="I43" s="4" t="s">
        <v>164</v>
      </c>
      <c r="J43" s="5">
        <v>263</v>
      </c>
      <c r="K43" s="4" t="s">
        <v>141</v>
      </c>
      <c r="L43" s="4">
        <v>92</v>
      </c>
      <c r="M43" s="3" t="s">
        <v>23</v>
      </c>
      <c r="N43" s="4" t="s">
        <v>165</v>
      </c>
      <c r="O43" s="5">
        <v>1052</v>
      </c>
      <c r="P43" s="4" t="s">
        <v>23</v>
      </c>
      <c r="Q43" s="4" t="s">
        <v>27</v>
      </c>
      <c r="R43" s="4">
        <v>530</v>
      </c>
    </row>
    <row r="44" spans="1:18">
      <c r="A44" s="4" t="s">
        <v>137</v>
      </c>
      <c r="B44" s="4" t="s">
        <v>24</v>
      </c>
      <c r="C44" s="4" t="s">
        <v>174</v>
      </c>
      <c r="D44" s="4" t="s">
        <v>175</v>
      </c>
      <c r="E44" s="4" t="s">
        <v>166</v>
      </c>
      <c r="F44" s="3" t="str">
        <f t="shared" ref="F44:F54" si="2">Q44&amp;":"&amp;M44&amp;R44&amp;"-"&amp;H44&amp;L44</f>
        <v>H2A:E92-L533</v>
      </c>
      <c r="G44" s="4">
        <v>0.5451</v>
      </c>
      <c r="H44" s="3" t="s">
        <v>60</v>
      </c>
      <c r="I44" s="4" t="s">
        <v>167</v>
      </c>
      <c r="J44" s="5">
        <v>1055</v>
      </c>
      <c r="K44" s="4" t="s">
        <v>23</v>
      </c>
      <c r="L44" s="4">
        <v>533</v>
      </c>
      <c r="M44" s="3" t="s">
        <v>30</v>
      </c>
      <c r="N44" s="4" t="s">
        <v>164</v>
      </c>
      <c r="O44" s="5">
        <v>263</v>
      </c>
      <c r="P44" s="4" t="s">
        <v>141</v>
      </c>
      <c r="Q44" s="4" t="s">
        <v>27</v>
      </c>
      <c r="R44" s="4">
        <v>92</v>
      </c>
    </row>
    <row r="45" spans="1:18">
      <c r="A45" s="4" t="s">
        <v>137</v>
      </c>
      <c r="B45" s="4" t="s">
        <v>24</v>
      </c>
      <c r="C45" s="4" t="s">
        <v>174</v>
      </c>
      <c r="D45" s="4" t="s">
        <v>175</v>
      </c>
      <c r="E45" s="4" t="s">
        <v>168</v>
      </c>
      <c r="F45" s="3" t="str">
        <f t="shared" si="2"/>
        <v>H2A:E62-T523</v>
      </c>
      <c r="G45" s="4">
        <v>0.442</v>
      </c>
      <c r="H45" s="3" t="s">
        <v>88</v>
      </c>
      <c r="I45" s="4" t="s">
        <v>169</v>
      </c>
      <c r="J45" s="5">
        <v>1045</v>
      </c>
      <c r="K45" s="4" t="s">
        <v>23</v>
      </c>
      <c r="L45" s="4">
        <v>523</v>
      </c>
      <c r="M45" s="3" t="s">
        <v>30</v>
      </c>
      <c r="N45" s="4" t="s">
        <v>148</v>
      </c>
      <c r="O45" s="5">
        <v>233</v>
      </c>
      <c r="P45" s="4" t="s">
        <v>141</v>
      </c>
      <c r="Q45" s="4" t="s">
        <v>27</v>
      </c>
      <c r="R45" s="4">
        <v>62</v>
      </c>
    </row>
    <row r="46" spans="1:18">
      <c r="A46" s="4" t="s">
        <v>137</v>
      </c>
      <c r="B46" s="4" t="s">
        <v>24</v>
      </c>
      <c r="C46" s="4" t="s">
        <v>174</v>
      </c>
      <c r="D46" s="4" t="s">
        <v>175</v>
      </c>
      <c r="E46" s="4" t="s">
        <v>155</v>
      </c>
      <c r="F46" s="3" t="str">
        <f t="shared" si="2"/>
        <v>H4:E74-R545</v>
      </c>
      <c r="G46" s="4">
        <v>0.4328</v>
      </c>
      <c r="H46" s="3" t="s">
        <v>21</v>
      </c>
      <c r="I46" s="4" t="s">
        <v>151</v>
      </c>
      <c r="J46" s="5">
        <v>1067</v>
      </c>
      <c r="K46" s="4" t="s">
        <v>23</v>
      </c>
      <c r="L46" s="4">
        <v>545</v>
      </c>
      <c r="M46" s="3" t="s">
        <v>30</v>
      </c>
      <c r="N46" s="4" t="s">
        <v>156</v>
      </c>
      <c r="O46" s="5">
        <v>154</v>
      </c>
      <c r="P46" s="4" t="s">
        <v>145</v>
      </c>
      <c r="Q46" s="4" t="s">
        <v>67</v>
      </c>
      <c r="R46" s="4">
        <v>74</v>
      </c>
    </row>
    <row r="47" spans="1:18">
      <c r="A47" s="4" t="s">
        <v>137</v>
      </c>
      <c r="B47" s="4" t="s">
        <v>24</v>
      </c>
      <c r="C47" s="4" t="s">
        <v>174</v>
      </c>
      <c r="D47" s="4" t="s">
        <v>175</v>
      </c>
      <c r="E47" s="4" t="s">
        <v>160</v>
      </c>
      <c r="F47" s="3" t="str">
        <f t="shared" si="2"/>
        <v>H2A:E65-R524</v>
      </c>
      <c r="G47" s="4">
        <v>0.2136</v>
      </c>
      <c r="H47" s="3" t="s">
        <v>21</v>
      </c>
      <c r="I47" s="4" t="s">
        <v>161</v>
      </c>
      <c r="J47" s="5">
        <v>1046</v>
      </c>
      <c r="K47" s="4" t="s">
        <v>23</v>
      </c>
      <c r="L47" s="4">
        <v>524</v>
      </c>
      <c r="M47" s="3" t="s">
        <v>30</v>
      </c>
      <c r="N47" s="4" t="s">
        <v>162</v>
      </c>
      <c r="O47" s="5">
        <v>236</v>
      </c>
      <c r="P47" s="4" t="s">
        <v>141</v>
      </c>
      <c r="Q47" s="4" t="s">
        <v>27</v>
      </c>
      <c r="R47" s="4">
        <v>65</v>
      </c>
    </row>
    <row r="48" spans="1:18">
      <c r="A48" s="4" t="s">
        <v>137</v>
      </c>
      <c r="B48" s="4" t="s">
        <v>24</v>
      </c>
      <c r="C48" s="4" t="s">
        <v>176</v>
      </c>
      <c r="D48" s="4" t="s">
        <v>177</v>
      </c>
      <c r="E48" s="4" t="s">
        <v>142</v>
      </c>
      <c r="F48" s="3" t="str">
        <f t="shared" si="2"/>
        <v>H4:E63-R540</v>
      </c>
      <c r="G48" s="4">
        <v>0.9761</v>
      </c>
      <c r="H48" s="3" t="s">
        <v>21</v>
      </c>
      <c r="I48" s="4" t="s">
        <v>143</v>
      </c>
      <c r="J48" s="5">
        <v>1062</v>
      </c>
      <c r="K48" s="4" t="s">
        <v>23</v>
      </c>
      <c r="L48" s="4">
        <v>540</v>
      </c>
      <c r="M48" s="3" t="s">
        <v>30</v>
      </c>
      <c r="N48" s="4" t="s">
        <v>144</v>
      </c>
      <c r="O48" s="5">
        <v>143</v>
      </c>
      <c r="P48" s="4" t="s">
        <v>145</v>
      </c>
      <c r="Q48" s="4" t="s">
        <v>67</v>
      </c>
      <c r="R48" s="4">
        <v>63</v>
      </c>
    </row>
    <row r="49" spans="1:18">
      <c r="A49" s="4" t="s">
        <v>137</v>
      </c>
      <c r="B49" s="4" t="s">
        <v>24</v>
      </c>
      <c r="C49" s="4" t="s">
        <v>176</v>
      </c>
      <c r="D49" s="4" t="s">
        <v>177</v>
      </c>
      <c r="E49" s="4" t="s">
        <v>138</v>
      </c>
      <c r="F49" s="3" t="str">
        <f t="shared" si="2"/>
        <v>H2A:D91-R527</v>
      </c>
      <c r="G49" s="4">
        <v>0.9669</v>
      </c>
      <c r="H49" s="3" t="s">
        <v>21</v>
      </c>
      <c r="I49" s="4" t="s">
        <v>139</v>
      </c>
      <c r="J49" s="5">
        <v>1049</v>
      </c>
      <c r="K49" s="4" t="s">
        <v>23</v>
      </c>
      <c r="L49" s="4">
        <v>527</v>
      </c>
      <c r="M49" s="3" t="s">
        <v>24</v>
      </c>
      <c r="N49" s="4" t="s">
        <v>140</v>
      </c>
      <c r="O49" s="5">
        <v>262</v>
      </c>
      <c r="P49" s="4" t="s">
        <v>141</v>
      </c>
      <c r="Q49" s="4" t="s">
        <v>27</v>
      </c>
      <c r="R49" s="4">
        <v>91</v>
      </c>
    </row>
    <row r="50" spans="1:18">
      <c r="A50" s="4" t="s">
        <v>137</v>
      </c>
      <c r="B50" s="4" t="s">
        <v>24</v>
      </c>
      <c r="C50" s="4" t="s">
        <v>176</v>
      </c>
      <c r="D50" s="4" t="s">
        <v>177</v>
      </c>
      <c r="E50" s="4" t="s">
        <v>149</v>
      </c>
      <c r="F50" s="3" t="str">
        <f t="shared" si="2"/>
        <v>H2A:E62-R527</v>
      </c>
      <c r="G50" s="4">
        <v>0.814</v>
      </c>
      <c r="H50" s="3" t="s">
        <v>21</v>
      </c>
      <c r="I50" s="4" t="s">
        <v>139</v>
      </c>
      <c r="J50" s="5">
        <v>1049</v>
      </c>
      <c r="K50" s="4" t="s">
        <v>23</v>
      </c>
      <c r="L50" s="4">
        <v>527</v>
      </c>
      <c r="M50" s="3" t="s">
        <v>30</v>
      </c>
      <c r="N50" s="4" t="s">
        <v>148</v>
      </c>
      <c r="O50" s="5">
        <v>233</v>
      </c>
      <c r="P50" s="4" t="s">
        <v>141</v>
      </c>
      <c r="Q50" s="4" t="s">
        <v>27</v>
      </c>
      <c r="R50" s="4">
        <v>62</v>
      </c>
    </row>
    <row r="51" spans="1:18">
      <c r="A51" s="4" t="s">
        <v>137</v>
      </c>
      <c r="B51" s="4" t="s">
        <v>24</v>
      </c>
      <c r="C51" s="4" t="s">
        <v>176</v>
      </c>
      <c r="D51" s="4" t="s">
        <v>177</v>
      </c>
      <c r="E51" s="4" t="s">
        <v>150</v>
      </c>
      <c r="F51" s="3" t="str">
        <f t="shared" si="2"/>
        <v>H3:P78-R545</v>
      </c>
      <c r="G51" s="4">
        <v>0.7495</v>
      </c>
      <c r="H51" s="3" t="s">
        <v>21</v>
      </c>
      <c r="I51" s="4" t="s">
        <v>151</v>
      </c>
      <c r="J51" s="5">
        <v>1067</v>
      </c>
      <c r="K51" s="4" t="s">
        <v>23</v>
      </c>
      <c r="L51" s="4">
        <v>545</v>
      </c>
      <c r="M51" s="3" t="s">
        <v>152</v>
      </c>
      <c r="N51" s="4" t="s">
        <v>153</v>
      </c>
      <c r="O51" s="5">
        <v>41</v>
      </c>
      <c r="P51" s="4" t="s">
        <v>154</v>
      </c>
      <c r="Q51" s="4" t="s">
        <v>91</v>
      </c>
      <c r="R51" s="4">
        <v>78</v>
      </c>
    </row>
    <row r="52" spans="1:18">
      <c r="A52" s="4" t="s">
        <v>137</v>
      </c>
      <c r="B52" s="4" t="s">
        <v>24</v>
      </c>
      <c r="C52" s="4" t="s">
        <v>176</v>
      </c>
      <c r="D52" s="4" t="s">
        <v>177</v>
      </c>
      <c r="E52" s="4" t="s">
        <v>160</v>
      </c>
      <c r="F52" s="3" t="str">
        <f t="shared" si="2"/>
        <v>H2A:E65-R524</v>
      </c>
      <c r="G52" s="4">
        <v>0.6777</v>
      </c>
      <c r="H52" s="3" t="s">
        <v>21</v>
      </c>
      <c r="I52" s="4" t="s">
        <v>161</v>
      </c>
      <c r="J52" s="5">
        <v>1046</v>
      </c>
      <c r="K52" s="4" t="s">
        <v>23</v>
      </c>
      <c r="L52" s="4">
        <v>524</v>
      </c>
      <c r="M52" s="3" t="s">
        <v>30</v>
      </c>
      <c r="N52" s="4" t="s">
        <v>162</v>
      </c>
      <c r="O52" s="5">
        <v>236</v>
      </c>
      <c r="P52" s="4" t="s">
        <v>141</v>
      </c>
      <c r="Q52" s="4" t="s">
        <v>27</v>
      </c>
      <c r="R52" s="4">
        <v>65</v>
      </c>
    </row>
    <row r="53" spans="1:18">
      <c r="A53" s="4" t="s">
        <v>137</v>
      </c>
      <c r="B53" s="4" t="s">
        <v>24</v>
      </c>
      <c r="C53" s="4" t="s">
        <v>176</v>
      </c>
      <c r="D53" s="4" t="s">
        <v>177</v>
      </c>
      <c r="E53" s="4" t="s">
        <v>155</v>
      </c>
      <c r="F53" s="3" t="str">
        <f t="shared" si="2"/>
        <v>H4:E74-R545</v>
      </c>
      <c r="G53" s="4">
        <v>0.6409</v>
      </c>
      <c r="H53" s="3" t="s">
        <v>21</v>
      </c>
      <c r="I53" s="4" t="s">
        <v>151</v>
      </c>
      <c r="J53" s="5">
        <v>1067</v>
      </c>
      <c r="K53" s="4" t="s">
        <v>23</v>
      </c>
      <c r="L53" s="4">
        <v>545</v>
      </c>
      <c r="M53" s="3" t="s">
        <v>30</v>
      </c>
      <c r="N53" s="4" t="s">
        <v>156</v>
      </c>
      <c r="O53" s="5">
        <v>154</v>
      </c>
      <c r="P53" s="4" t="s">
        <v>145</v>
      </c>
      <c r="Q53" s="4" t="s">
        <v>67</v>
      </c>
      <c r="R53" s="4">
        <v>74</v>
      </c>
    </row>
    <row r="54" spans="1:18">
      <c r="A54" s="4" t="s">
        <v>137</v>
      </c>
      <c r="B54" s="4" t="s">
        <v>24</v>
      </c>
      <c r="C54" s="4" t="s">
        <v>176</v>
      </c>
      <c r="D54" s="4" t="s">
        <v>177</v>
      </c>
      <c r="E54" s="4" t="s">
        <v>146</v>
      </c>
      <c r="F54" s="3" t="str">
        <f t="shared" si="2"/>
        <v>H2A:E62-S525</v>
      </c>
      <c r="G54" s="4">
        <v>0.6225</v>
      </c>
      <c r="H54" s="3" t="s">
        <v>36</v>
      </c>
      <c r="I54" s="4" t="s">
        <v>147</v>
      </c>
      <c r="J54" s="5">
        <v>1047</v>
      </c>
      <c r="K54" s="4" t="s">
        <v>23</v>
      </c>
      <c r="L54" s="4">
        <v>525</v>
      </c>
      <c r="M54" s="3" t="s">
        <v>30</v>
      </c>
      <c r="N54" s="4" t="s">
        <v>148</v>
      </c>
      <c r="O54" s="5">
        <v>233</v>
      </c>
      <c r="P54" s="4" t="s">
        <v>141</v>
      </c>
      <c r="Q54" s="4" t="s">
        <v>27</v>
      </c>
      <c r="R54" s="4">
        <v>62</v>
      </c>
    </row>
    <row r="55" spans="1:18">
      <c r="A55" s="4" t="s">
        <v>137</v>
      </c>
      <c r="B55" s="4" t="s">
        <v>24</v>
      </c>
      <c r="C55" s="4" t="s">
        <v>176</v>
      </c>
      <c r="D55" s="4" t="s">
        <v>177</v>
      </c>
      <c r="E55" s="4" t="s">
        <v>157</v>
      </c>
      <c r="F55" s="3" t="str">
        <f>Q55&amp;":"&amp;H55&amp;L55&amp;"-"&amp;M55&amp;R55</f>
        <v>H3:R80-D544</v>
      </c>
      <c r="G55" s="4">
        <v>0.5599</v>
      </c>
      <c r="H55" s="3" t="s">
        <v>21</v>
      </c>
      <c r="I55" s="4" t="s">
        <v>158</v>
      </c>
      <c r="J55" s="5">
        <v>43</v>
      </c>
      <c r="K55" s="4" t="s">
        <v>154</v>
      </c>
      <c r="L55" s="4">
        <v>80</v>
      </c>
      <c r="M55" s="3" t="s">
        <v>24</v>
      </c>
      <c r="N55" s="4" t="s">
        <v>159</v>
      </c>
      <c r="O55" s="5">
        <v>1066</v>
      </c>
      <c r="P55" s="4" t="s">
        <v>23</v>
      </c>
      <c r="Q55" s="4" t="s">
        <v>91</v>
      </c>
      <c r="R55" s="4">
        <v>544</v>
      </c>
    </row>
    <row r="56" spans="1:18">
      <c r="A56" s="4" t="s">
        <v>137</v>
      </c>
      <c r="B56" s="4" t="s">
        <v>24</v>
      </c>
      <c r="C56" s="4" t="s">
        <v>176</v>
      </c>
      <c r="D56" s="4" t="s">
        <v>177</v>
      </c>
      <c r="E56" s="4" t="s">
        <v>163</v>
      </c>
      <c r="F56" s="3" t="str">
        <f>Q56&amp;":"&amp;H56&amp;L56&amp;"-"&amp;M56&amp;R56</f>
        <v>H2A:E92-K530</v>
      </c>
      <c r="G56" s="4">
        <v>0.3702</v>
      </c>
      <c r="H56" s="3" t="s">
        <v>30</v>
      </c>
      <c r="I56" s="4" t="s">
        <v>164</v>
      </c>
      <c r="J56" s="5">
        <v>263</v>
      </c>
      <c r="K56" s="4" t="s">
        <v>141</v>
      </c>
      <c r="L56" s="4">
        <v>92</v>
      </c>
      <c r="M56" s="3" t="s">
        <v>23</v>
      </c>
      <c r="N56" s="4" t="s">
        <v>165</v>
      </c>
      <c r="O56" s="5">
        <v>1052</v>
      </c>
      <c r="P56" s="4" t="s">
        <v>23</v>
      </c>
      <c r="Q56" s="4" t="s">
        <v>27</v>
      </c>
      <c r="R56" s="4">
        <v>530</v>
      </c>
    </row>
    <row r="57" spans="1:18">
      <c r="A57" s="4" t="s">
        <v>137</v>
      </c>
      <c r="B57" s="4" t="s">
        <v>24</v>
      </c>
      <c r="C57" s="4" t="s">
        <v>176</v>
      </c>
      <c r="D57" s="4" t="s">
        <v>177</v>
      </c>
      <c r="E57" s="4" t="s">
        <v>168</v>
      </c>
      <c r="F57" s="3" t="str">
        <f>Q57&amp;":"&amp;M57&amp;R57&amp;"-"&amp;H57&amp;L57</f>
        <v>H2A:E62-T523</v>
      </c>
      <c r="G57" s="4">
        <v>0.2173</v>
      </c>
      <c r="H57" s="3" t="s">
        <v>88</v>
      </c>
      <c r="I57" s="4" t="s">
        <v>169</v>
      </c>
      <c r="J57" s="5">
        <v>1045</v>
      </c>
      <c r="K57" s="4" t="s">
        <v>23</v>
      </c>
      <c r="L57" s="4">
        <v>523</v>
      </c>
      <c r="M57" s="3" t="s">
        <v>30</v>
      </c>
      <c r="N57" s="4" t="s">
        <v>148</v>
      </c>
      <c r="O57" s="5">
        <v>233</v>
      </c>
      <c r="P57" s="4" t="s">
        <v>141</v>
      </c>
      <c r="Q57" s="4" t="s">
        <v>27</v>
      </c>
      <c r="R57" s="4">
        <v>62</v>
      </c>
    </row>
    <row r="58" spans="1:18">
      <c r="A58" s="4" t="s">
        <v>137</v>
      </c>
      <c r="B58" s="4" t="s">
        <v>24</v>
      </c>
      <c r="C58" s="4" t="s">
        <v>178</v>
      </c>
      <c r="D58" s="4" t="s">
        <v>179</v>
      </c>
      <c r="E58" s="4" t="s">
        <v>142</v>
      </c>
      <c r="F58" s="3" t="str">
        <f>Q58&amp;":"&amp;M58&amp;R58&amp;"-"&amp;H58&amp;L58</f>
        <v>H4:E63-R540</v>
      </c>
      <c r="G58" s="4">
        <v>0.9797</v>
      </c>
      <c r="H58" s="3" t="s">
        <v>21</v>
      </c>
      <c r="I58" s="4" t="s">
        <v>143</v>
      </c>
      <c r="J58" s="5">
        <v>1062</v>
      </c>
      <c r="K58" s="4" t="s">
        <v>23</v>
      </c>
      <c r="L58" s="4">
        <v>540</v>
      </c>
      <c r="M58" s="3" t="s">
        <v>30</v>
      </c>
      <c r="N58" s="4" t="s">
        <v>144</v>
      </c>
      <c r="O58" s="5">
        <v>143</v>
      </c>
      <c r="P58" s="4" t="s">
        <v>145</v>
      </c>
      <c r="Q58" s="4" t="s">
        <v>67</v>
      </c>
      <c r="R58" s="4">
        <v>63</v>
      </c>
    </row>
    <row r="59" spans="1:18">
      <c r="A59" s="4" t="s">
        <v>137</v>
      </c>
      <c r="B59" s="4" t="s">
        <v>24</v>
      </c>
      <c r="C59" s="4" t="s">
        <v>178</v>
      </c>
      <c r="D59" s="4" t="s">
        <v>179</v>
      </c>
      <c r="E59" s="4" t="s">
        <v>138</v>
      </c>
      <c r="F59" s="3" t="str">
        <f>Q59&amp;":"&amp;M59&amp;R59&amp;"-"&amp;H59&amp;L59</f>
        <v>H2A:D91-R527</v>
      </c>
      <c r="G59" s="4">
        <v>0.9797</v>
      </c>
      <c r="H59" s="3" t="s">
        <v>21</v>
      </c>
      <c r="I59" s="4" t="s">
        <v>139</v>
      </c>
      <c r="J59" s="5">
        <v>1049</v>
      </c>
      <c r="K59" s="4" t="s">
        <v>23</v>
      </c>
      <c r="L59" s="4">
        <v>527</v>
      </c>
      <c r="M59" s="3" t="s">
        <v>24</v>
      </c>
      <c r="N59" s="4" t="s">
        <v>140</v>
      </c>
      <c r="O59" s="5">
        <v>262</v>
      </c>
      <c r="P59" s="4" t="s">
        <v>141</v>
      </c>
      <c r="Q59" s="4" t="s">
        <v>27</v>
      </c>
      <c r="R59" s="4">
        <v>91</v>
      </c>
    </row>
    <row r="60" spans="1:18">
      <c r="A60" s="4" t="s">
        <v>137</v>
      </c>
      <c r="B60" s="4" t="s">
        <v>24</v>
      </c>
      <c r="C60" s="4" t="s">
        <v>178</v>
      </c>
      <c r="D60" s="4" t="s">
        <v>179</v>
      </c>
      <c r="E60" s="4" t="s">
        <v>146</v>
      </c>
      <c r="F60" s="3" t="str">
        <f>Q60&amp;":"&amp;M60&amp;R60&amp;"-"&amp;H60&amp;L60</f>
        <v>H2A:E62-S525</v>
      </c>
      <c r="G60" s="4">
        <v>0.9079</v>
      </c>
      <c r="H60" s="3" t="s">
        <v>36</v>
      </c>
      <c r="I60" s="4" t="s">
        <v>147</v>
      </c>
      <c r="J60" s="5">
        <v>1047</v>
      </c>
      <c r="K60" s="4" t="s">
        <v>23</v>
      </c>
      <c r="L60" s="4">
        <v>525</v>
      </c>
      <c r="M60" s="3" t="s">
        <v>30</v>
      </c>
      <c r="N60" s="4" t="s">
        <v>148</v>
      </c>
      <c r="O60" s="5">
        <v>233</v>
      </c>
      <c r="P60" s="4" t="s">
        <v>141</v>
      </c>
      <c r="Q60" s="4" t="s">
        <v>27</v>
      </c>
      <c r="R60" s="4">
        <v>62</v>
      </c>
    </row>
    <row r="61" spans="1:18">
      <c r="A61" s="4" t="s">
        <v>137</v>
      </c>
      <c r="B61" s="4" t="s">
        <v>24</v>
      </c>
      <c r="C61" s="4" t="s">
        <v>178</v>
      </c>
      <c r="D61" s="4" t="s">
        <v>179</v>
      </c>
      <c r="E61" s="4" t="s">
        <v>149</v>
      </c>
      <c r="F61" s="3" t="str">
        <f>Q61&amp;":"&amp;M61&amp;R61&amp;"-"&amp;H61&amp;L61</f>
        <v>H2A:E62-R527</v>
      </c>
      <c r="G61" s="4">
        <v>0.8545</v>
      </c>
      <c r="H61" s="3" t="s">
        <v>21</v>
      </c>
      <c r="I61" s="4" t="s">
        <v>139</v>
      </c>
      <c r="J61" s="5">
        <v>1049</v>
      </c>
      <c r="K61" s="4" t="s">
        <v>23</v>
      </c>
      <c r="L61" s="4">
        <v>527</v>
      </c>
      <c r="M61" s="3" t="s">
        <v>30</v>
      </c>
      <c r="N61" s="4" t="s">
        <v>148</v>
      </c>
      <c r="O61" s="5">
        <v>233</v>
      </c>
      <c r="P61" s="4" t="s">
        <v>141</v>
      </c>
      <c r="Q61" s="4" t="s">
        <v>27</v>
      </c>
      <c r="R61" s="4">
        <v>62</v>
      </c>
    </row>
    <row r="62" spans="1:18">
      <c r="A62" s="4" t="s">
        <v>137</v>
      </c>
      <c r="B62" s="4" t="s">
        <v>24</v>
      </c>
      <c r="C62" s="4" t="s">
        <v>178</v>
      </c>
      <c r="D62" s="4" t="s">
        <v>179</v>
      </c>
      <c r="E62" s="4" t="s">
        <v>157</v>
      </c>
      <c r="F62" s="3" t="str">
        <f>Q62&amp;":"&amp;H62&amp;L62&amp;"-"&amp;M62&amp;R62</f>
        <v>H3:R80-D544</v>
      </c>
      <c r="G62" s="4">
        <v>0.8085</v>
      </c>
      <c r="H62" s="3" t="s">
        <v>21</v>
      </c>
      <c r="I62" s="4" t="s">
        <v>158</v>
      </c>
      <c r="J62" s="5">
        <v>43</v>
      </c>
      <c r="K62" s="4" t="s">
        <v>154</v>
      </c>
      <c r="L62" s="4">
        <v>80</v>
      </c>
      <c r="M62" s="3" t="s">
        <v>24</v>
      </c>
      <c r="N62" s="4" t="s">
        <v>159</v>
      </c>
      <c r="O62" s="5">
        <v>1066</v>
      </c>
      <c r="P62" s="4" t="s">
        <v>23</v>
      </c>
      <c r="Q62" s="4" t="s">
        <v>91</v>
      </c>
      <c r="R62" s="4">
        <v>544</v>
      </c>
    </row>
    <row r="63" spans="1:18">
      <c r="A63" s="4" t="s">
        <v>137</v>
      </c>
      <c r="B63" s="4" t="s">
        <v>24</v>
      </c>
      <c r="C63" s="4" t="s">
        <v>178</v>
      </c>
      <c r="D63" s="4" t="s">
        <v>179</v>
      </c>
      <c r="E63" s="4" t="s">
        <v>150</v>
      </c>
      <c r="F63" s="3" t="str">
        <f>Q63&amp;":"&amp;M63&amp;R63&amp;"-"&amp;H63&amp;L63</f>
        <v>H3:P78-R545</v>
      </c>
      <c r="G63" s="4">
        <v>0.7606</v>
      </c>
      <c r="H63" s="3" t="s">
        <v>21</v>
      </c>
      <c r="I63" s="4" t="s">
        <v>151</v>
      </c>
      <c r="J63" s="5">
        <v>1067</v>
      </c>
      <c r="K63" s="4" t="s">
        <v>23</v>
      </c>
      <c r="L63" s="4">
        <v>545</v>
      </c>
      <c r="M63" s="3" t="s">
        <v>152</v>
      </c>
      <c r="N63" s="4" t="s">
        <v>153</v>
      </c>
      <c r="O63" s="5">
        <v>41</v>
      </c>
      <c r="P63" s="4" t="s">
        <v>154</v>
      </c>
      <c r="Q63" s="4" t="s">
        <v>91</v>
      </c>
      <c r="R63" s="4">
        <v>78</v>
      </c>
    </row>
    <row r="64" spans="1:18">
      <c r="A64" s="4" t="s">
        <v>137</v>
      </c>
      <c r="B64" s="4" t="s">
        <v>24</v>
      </c>
      <c r="C64" s="4" t="s">
        <v>178</v>
      </c>
      <c r="D64" s="4" t="s">
        <v>179</v>
      </c>
      <c r="E64" s="4" t="s">
        <v>155</v>
      </c>
      <c r="F64" s="3" t="str">
        <f>Q64&amp;":"&amp;M64&amp;R64&amp;"-"&amp;H64&amp;L64</f>
        <v>H4:E74-R545</v>
      </c>
      <c r="G64" s="4">
        <v>0.5783</v>
      </c>
      <c r="H64" s="3" t="s">
        <v>21</v>
      </c>
      <c r="I64" s="4" t="s">
        <v>151</v>
      </c>
      <c r="J64" s="5">
        <v>1067</v>
      </c>
      <c r="K64" s="4" t="s">
        <v>23</v>
      </c>
      <c r="L64" s="4">
        <v>545</v>
      </c>
      <c r="M64" s="3" t="s">
        <v>30</v>
      </c>
      <c r="N64" s="4" t="s">
        <v>156</v>
      </c>
      <c r="O64" s="5">
        <v>154</v>
      </c>
      <c r="P64" s="4" t="s">
        <v>145</v>
      </c>
      <c r="Q64" s="4" t="s">
        <v>67</v>
      </c>
      <c r="R64" s="4">
        <v>74</v>
      </c>
    </row>
    <row r="65" spans="1:18">
      <c r="A65" s="4" t="s">
        <v>137</v>
      </c>
      <c r="B65" s="4" t="s">
        <v>24</v>
      </c>
      <c r="C65" s="4" t="s">
        <v>178</v>
      </c>
      <c r="D65" s="4" t="s">
        <v>179</v>
      </c>
      <c r="E65" s="4" t="s">
        <v>168</v>
      </c>
      <c r="F65" s="3" t="str">
        <f>Q65&amp;":"&amp;M65&amp;R65&amp;"-"&amp;H65&amp;L65</f>
        <v>H2A:E62-T523</v>
      </c>
      <c r="G65" s="4">
        <v>0.5746</v>
      </c>
      <c r="H65" s="3" t="s">
        <v>88</v>
      </c>
      <c r="I65" s="4" t="s">
        <v>169</v>
      </c>
      <c r="J65" s="5">
        <v>1045</v>
      </c>
      <c r="K65" s="4" t="s">
        <v>23</v>
      </c>
      <c r="L65" s="4">
        <v>523</v>
      </c>
      <c r="M65" s="3" t="s">
        <v>30</v>
      </c>
      <c r="N65" s="4" t="s">
        <v>148</v>
      </c>
      <c r="O65" s="5">
        <v>233</v>
      </c>
      <c r="P65" s="4" t="s">
        <v>141</v>
      </c>
      <c r="Q65" s="4" t="s">
        <v>27</v>
      </c>
      <c r="R65" s="4">
        <v>62</v>
      </c>
    </row>
    <row r="66" spans="1:18">
      <c r="A66" s="4" t="s">
        <v>137</v>
      </c>
      <c r="B66" s="4" t="s">
        <v>24</v>
      </c>
      <c r="C66" s="4" t="s">
        <v>178</v>
      </c>
      <c r="D66" s="4" t="s">
        <v>179</v>
      </c>
      <c r="E66" s="4" t="s">
        <v>160</v>
      </c>
      <c r="F66" s="3" t="str">
        <f>Q66&amp;":"&amp;M66&amp;R66&amp;"-"&amp;H66&amp;L66</f>
        <v>H2A:E65-R524</v>
      </c>
      <c r="G66" s="4">
        <v>0.3517</v>
      </c>
      <c r="H66" s="3" t="s">
        <v>21</v>
      </c>
      <c r="I66" s="4" t="s">
        <v>161</v>
      </c>
      <c r="J66" s="5">
        <v>1046</v>
      </c>
      <c r="K66" s="4" t="s">
        <v>23</v>
      </c>
      <c r="L66" s="4">
        <v>524</v>
      </c>
      <c r="M66" s="3" t="s">
        <v>30</v>
      </c>
      <c r="N66" s="4" t="s">
        <v>162</v>
      </c>
      <c r="O66" s="5">
        <v>236</v>
      </c>
      <c r="P66" s="4" t="s">
        <v>141</v>
      </c>
      <c r="Q66" s="4" t="s">
        <v>27</v>
      </c>
      <c r="R66" s="4">
        <v>65</v>
      </c>
    </row>
    <row r="67" spans="1:18">
      <c r="A67" s="4" t="s">
        <v>137</v>
      </c>
      <c r="B67" s="4" t="s">
        <v>24</v>
      </c>
      <c r="C67" s="4" t="s">
        <v>178</v>
      </c>
      <c r="D67" s="4" t="s">
        <v>179</v>
      </c>
      <c r="E67" s="4" t="s">
        <v>163</v>
      </c>
      <c r="F67" s="3" t="str">
        <f>Q67&amp;":"&amp;H67&amp;L67&amp;"-"&amp;M67&amp;R67</f>
        <v>H2A:E92-K530</v>
      </c>
      <c r="G67" s="4">
        <v>0.3315</v>
      </c>
      <c r="H67" s="3" t="s">
        <v>30</v>
      </c>
      <c r="I67" s="4" t="s">
        <v>164</v>
      </c>
      <c r="J67" s="5">
        <v>263</v>
      </c>
      <c r="K67" s="4" t="s">
        <v>141</v>
      </c>
      <c r="L67" s="4">
        <v>92</v>
      </c>
      <c r="M67" s="3" t="s">
        <v>23</v>
      </c>
      <c r="N67" s="4" t="s">
        <v>165</v>
      </c>
      <c r="O67" s="5">
        <v>1052</v>
      </c>
      <c r="P67" s="4" t="s">
        <v>23</v>
      </c>
      <c r="Q67" s="4" t="s">
        <v>27</v>
      </c>
      <c r="R67" s="4">
        <v>530</v>
      </c>
    </row>
    <row r="68" spans="1:18">
      <c r="A68" s="4" t="s">
        <v>137</v>
      </c>
      <c r="B68" s="4" t="s">
        <v>24</v>
      </c>
      <c r="C68" s="4" t="s">
        <v>178</v>
      </c>
      <c r="D68" s="4" t="s">
        <v>179</v>
      </c>
      <c r="E68" s="4" t="s">
        <v>166</v>
      </c>
      <c r="F68" s="3" t="str">
        <f>Q68&amp;":"&amp;M68&amp;R68&amp;"-"&amp;H68&amp;L68</f>
        <v>H2A:E92-L533</v>
      </c>
      <c r="G68" s="4">
        <v>0.2063</v>
      </c>
      <c r="H68" s="3" t="s">
        <v>60</v>
      </c>
      <c r="I68" s="4" t="s">
        <v>167</v>
      </c>
      <c r="J68" s="5">
        <v>1055</v>
      </c>
      <c r="K68" s="4" t="s">
        <v>23</v>
      </c>
      <c r="L68" s="4">
        <v>533</v>
      </c>
      <c r="M68" s="3" t="s">
        <v>30</v>
      </c>
      <c r="N68" s="4" t="s">
        <v>164</v>
      </c>
      <c r="O68" s="5">
        <v>263</v>
      </c>
      <c r="P68" s="4" t="s">
        <v>141</v>
      </c>
      <c r="Q68" s="4" t="s">
        <v>27</v>
      </c>
      <c r="R68" s="4">
        <v>92</v>
      </c>
    </row>
  </sheetData>
  <autoFilter xmlns:etc="http://www.wps.cn/officeDocument/2017/etCustomData" ref="A1:R68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"/>
  <sheetViews>
    <sheetView tabSelected="1" zoomScale="70" zoomScaleNormal="70" workbookViewId="0">
      <selection activeCell="A1" sqref="A1:R36"/>
    </sheetView>
  </sheetViews>
  <sheetFormatPr defaultColWidth="8.8" defaultRowHeight="18"/>
  <cols>
    <col min="1" max="1" width="6.9" customWidth="1"/>
    <col min="2" max="2" width="16.4" customWidth="1"/>
    <col min="3" max="3" width="9.9" customWidth="1"/>
    <col min="4" max="4" width="18.6" customWidth="1"/>
    <col min="5" max="5" width="28.3" customWidth="1"/>
    <col min="6" max="6" width="13.4" customWidth="1"/>
    <col min="7" max="7" width="11.8" customWidth="1"/>
    <col min="8" max="8" width="15.7" style="1" customWidth="1"/>
    <col min="9" max="9" width="8.5" customWidth="1"/>
    <col min="10" max="10" width="11.7" customWidth="1"/>
    <col min="11" max="11" width="23.7" customWidth="1"/>
    <col min="12" max="12" width="21.7" customWidth="1"/>
    <col min="13" max="13" width="17.9" style="1" customWidth="1"/>
    <col min="14" max="14" width="9.5" customWidth="1"/>
    <col min="15" max="15" width="14.2" customWidth="1"/>
    <col min="16" max="16" width="26.4" customWidth="1"/>
    <col min="17" max="17" width="13.4" customWidth="1"/>
    <col min="18" max="18" width="24.4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4" t="s">
        <v>180</v>
      </c>
      <c r="B2" s="4" t="s">
        <v>19</v>
      </c>
      <c r="C2" s="4" t="s">
        <v>19</v>
      </c>
      <c r="D2" s="4" t="s">
        <v>19</v>
      </c>
      <c r="E2" s="4" t="s">
        <v>181</v>
      </c>
      <c r="F2" s="3" t="str">
        <f>Q2&amp;":"&amp;M2&amp;R2&amp;"-"&amp;H2&amp;L2</f>
        <v>H2A:D90-R98</v>
      </c>
      <c r="G2" s="4">
        <v>0.9669</v>
      </c>
      <c r="H2" s="3" t="s">
        <v>21</v>
      </c>
      <c r="I2" s="4" t="s">
        <v>182</v>
      </c>
      <c r="J2" s="5">
        <v>955</v>
      </c>
      <c r="K2" s="4" t="s">
        <v>63</v>
      </c>
      <c r="L2" s="4">
        <v>98</v>
      </c>
      <c r="M2" s="3" t="s">
        <v>24</v>
      </c>
      <c r="N2" s="4" t="s">
        <v>183</v>
      </c>
      <c r="O2" s="5">
        <v>647</v>
      </c>
      <c r="P2" s="4" t="s">
        <v>26</v>
      </c>
      <c r="Q2" s="4" t="s">
        <v>27</v>
      </c>
      <c r="R2" s="4">
        <v>90</v>
      </c>
    </row>
    <row r="3" spans="1:18">
      <c r="A3" s="4" t="s">
        <v>180</v>
      </c>
      <c r="B3" s="4" t="s">
        <v>19</v>
      </c>
      <c r="C3" s="4" t="s">
        <v>19</v>
      </c>
      <c r="D3" s="4" t="s">
        <v>19</v>
      </c>
      <c r="E3" s="4" t="s">
        <v>184</v>
      </c>
      <c r="F3" s="3" t="str">
        <f t="shared" ref="F3:F36" si="0">Q3&amp;":"&amp;M3&amp;R3&amp;"-"&amp;H3&amp;L3</f>
        <v>H3:E73-R64</v>
      </c>
      <c r="G3" s="4">
        <v>0.8766</v>
      </c>
      <c r="H3" s="3" t="s">
        <v>21</v>
      </c>
      <c r="I3" s="4" t="s">
        <v>185</v>
      </c>
      <c r="J3" s="5">
        <v>834</v>
      </c>
      <c r="K3" s="4" t="s">
        <v>186</v>
      </c>
      <c r="L3" s="4">
        <v>64</v>
      </c>
      <c r="M3" s="3" t="s">
        <v>30</v>
      </c>
      <c r="N3" s="4" t="s">
        <v>187</v>
      </c>
      <c r="O3" s="5">
        <v>421</v>
      </c>
      <c r="P3" s="4" t="s">
        <v>30</v>
      </c>
      <c r="Q3" s="4" t="s">
        <v>91</v>
      </c>
      <c r="R3" s="4">
        <v>73</v>
      </c>
    </row>
    <row r="4" spans="1:18">
      <c r="A4" s="4" t="s">
        <v>180</v>
      </c>
      <c r="B4" s="4" t="s">
        <v>19</v>
      </c>
      <c r="C4" s="4" t="s">
        <v>19</v>
      </c>
      <c r="D4" s="4" t="s">
        <v>19</v>
      </c>
      <c r="E4" s="4" t="s">
        <v>188</v>
      </c>
      <c r="F4" s="3" t="str">
        <f t="shared" si="0"/>
        <v>H3:Q76-T63</v>
      </c>
      <c r="G4" s="4">
        <v>0.8582</v>
      </c>
      <c r="H4" s="3" t="s">
        <v>88</v>
      </c>
      <c r="I4" s="4" t="s">
        <v>189</v>
      </c>
      <c r="J4" s="5">
        <v>833</v>
      </c>
      <c r="K4" s="4" t="s">
        <v>186</v>
      </c>
      <c r="L4" s="4">
        <v>63</v>
      </c>
      <c r="M4" s="3" t="s">
        <v>109</v>
      </c>
      <c r="N4" s="4" t="s">
        <v>190</v>
      </c>
      <c r="O4" s="5">
        <v>424</v>
      </c>
      <c r="P4" s="4" t="s">
        <v>30</v>
      </c>
      <c r="Q4" s="4" t="s">
        <v>91</v>
      </c>
      <c r="R4" s="4">
        <v>76</v>
      </c>
    </row>
    <row r="5" spans="1:18">
      <c r="A5" s="4" t="s">
        <v>180</v>
      </c>
      <c r="B5" s="4" t="s">
        <v>19</v>
      </c>
      <c r="C5" s="4" t="s">
        <v>19</v>
      </c>
      <c r="D5" s="4" t="s">
        <v>19</v>
      </c>
      <c r="E5" s="4" t="s">
        <v>191</v>
      </c>
      <c r="F5" s="3" t="str">
        <f t="shared" si="0"/>
        <v>H2A:E61-R98</v>
      </c>
      <c r="G5" s="4">
        <v>0.7937</v>
      </c>
      <c r="H5" s="3" t="s">
        <v>21</v>
      </c>
      <c r="I5" s="4" t="s">
        <v>182</v>
      </c>
      <c r="J5" s="5">
        <v>955</v>
      </c>
      <c r="K5" s="4" t="s">
        <v>63</v>
      </c>
      <c r="L5" s="4">
        <v>98</v>
      </c>
      <c r="M5" s="3" t="s">
        <v>30</v>
      </c>
      <c r="N5" s="4" t="s">
        <v>192</v>
      </c>
      <c r="O5" s="5">
        <v>618</v>
      </c>
      <c r="P5" s="4" t="s">
        <v>26</v>
      </c>
      <c r="Q5" s="4" t="s">
        <v>27</v>
      </c>
      <c r="R5" s="4">
        <v>61</v>
      </c>
    </row>
    <row r="6" spans="1:18">
      <c r="A6" s="4" t="s">
        <v>180</v>
      </c>
      <c r="B6" s="4" t="s">
        <v>19</v>
      </c>
      <c r="C6" s="4" t="s">
        <v>19</v>
      </c>
      <c r="D6" s="4" t="s">
        <v>19</v>
      </c>
      <c r="E6" s="4" t="s">
        <v>193</v>
      </c>
      <c r="F6" s="3" t="str">
        <f t="shared" si="0"/>
        <v>H3:D77-R64</v>
      </c>
      <c r="G6" s="4">
        <v>0.7716</v>
      </c>
      <c r="H6" s="3" t="s">
        <v>21</v>
      </c>
      <c r="I6" s="4" t="s">
        <v>185</v>
      </c>
      <c r="J6" s="5">
        <v>834</v>
      </c>
      <c r="K6" s="4" t="s">
        <v>186</v>
      </c>
      <c r="L6" s="4">
        <v>64</v>
      </c>
      <c r="M6" s="3" t="s">
        <v>24</v>
      </c>
      <c r="N6" s="4" t="s">
        <v>194</v>
      </c>
      <c r="O6" s="5">
        <v>425</v>
      </c>
      <c r="P6" s="4" t="s">
        <v>30</v>
      </c>
      <c r="Q6" s="4" t="s">
        <v>91</v>
      </c>
      <c r="R6" s="4">
        <v>77</v>
      </c>
    </row>
    <row r="7" spans="1:18">
      <c r="A7" s="4" t="s">
        <v>180</v>
      </c>
      <c r="B7" s="4" t="s">
        <v>19</v>
      </c>
      <c r="C7" s="4" t="s">
        <v>19</v>
      </c>
      <c r="D7" s="4" t="s">
        <v>19</v>
      </c>
      <c r="E7" s="4" t="s">
        <v>195</v>
      </c>
      <c r="F7" s="3" t="str">
        <f t="shared" si="0"/>
        <v>H2A:D72-R81</v>
      </c>
      <c r="G7" s="4">
        <v>0.4254</v>
      </c>
      <c r="H7" s="3" t="s">
        <v>21</v>
      </c>
      <c r="I7" s="4" t="s">
        <v>196</v>
      </c>
      <c r="J7" s="5">
        <v>938</v>
      </c>
      <c r="K7" s="4" t="s">
        <v>63</v>
      </c>
      <c r="L7" s="4">
        <v>81</v>
      </c>
      <c r="M7" s="3" t="s">
        <v>24</v>
      </c>
      <c r="N7" s="4" t="s">
        <v>197</v>
      </c>
      <c r="O7" s="5">
        <v>629</v>
      </c>
      <c r="P7" s="4" t="s">
        <v>26</v>
      </c>
      <c r="Q7" s="4" t="s">
        <v>27</v>
      </c>
      <c r="R7" s="4">
        <v>72</v>
      </c>
    </row>
    <row r="8" spans="1:18">
      <c r="A8" s="4" t="s">
        <v>180</v>
      </c>
      <c r="B8" s="4" t="s">
        <v>19</v>
      </c>
      <c r="C8" s="4" t="s">
        <v>19</v>
      </c>
      <c r="D8" s="4" t="s">
        <v>19</v>
      </c>
      <c r="E8" s="4" t="s">
        <v>198</v>
      </c>
      <c r="F8" s="3" t="str">
        <f t="shared" si="0"/>
        <v>H4:E74-K62</v>
      </c>
      <c r="G8" s="4">
        <v>0.1289</v>
      </c>
      <c r="H8" s="3" t="s">
        <v>23</v>
      </c>
      <c r="I8" s="4" t="s">
        <v>199</v>
      </c>
      <c r="J8" s="5">
        <v>832</v>
      </c>
      <c r="K8" s="4" t="s">
        <v>186</v>
      </c>
      <c r="L8" s="4">
        <v>62</v>
      </c>
      <c r="M8" s="3" t="s">
        <v>30</v>
      </c>
      <c r="N8" s="4" t="s">
        <v>200</v>
      </c>
      <c r="O8" s="5">
        <v>539</v>
      </c>
      <c r="P8" s="4" t="s">
        <v>66</v>
      </c>
      <c r="Q8" s="4" t="s">
        <v>67</v>
      </c>
      <c r="R8" s="4">
        <v>74</v>
      </c>
    </row>
    <row r="9" spans="1:18">
      <c r="A9" s="4" t="s">
        <v>180</v>
      </c>
      <c r="B9" s="4" t="s">
        <v>30</v>
      </c>
      <c r="C9" s="4" t="s">
        <v>201</v>
      </c>
      <c r="D9" s="4" t="s">
        <v>202</v>
      </c>
      <c r="E9" s="4" t="s">
        <v>181</v>
      </c>
      <c r="F9" s="3" t="str">
        <f t="shared" si="0"/>
        <v>H2A:D90-R98</v>
      </c>
      <c r="G9" s="4">
        <v>0.919</v>
      </c>
      <c r="H9" s="3" t="s">
        <v>21</v>
      </c>
      <c r="I9" s="4" t="s">
        <v>182</v>
      </c>
      <c r="J9" s="5">
        <v>955</v>
      </c>
      <c r="K9" s="4" t="s">
        <v>63</v>
      </c>
      <c r="L9" s="4">
        <v>98</v>
      </c>
      <c r="M9" s="3" t="s">
        <v>24</v>
      </c>
      <c r="N9" s="4" t="s">
        <v>183</v>
      </c>
      <c r="O9" s="5">
        <v>647</v>
      </c>
      <c r="P9" s="4" t="s">
        <v>26</v>
      </c>
      <c r="Q9" s="4" t="s">
        <v>27</v>
      </c>
      <c r="R9" s="4">
        <v>90</v>
      </c>
    </row>
    <row r="10" spans="1:18">
      <c r="A10" s="4" t="s">
        <v>180</v>
      </c>
      <c r="B10" s="4" t="s">
        <v>30</v>
      </c>
      <c r="C10" s="4" t="s">
        <v>201</v>
      </c>
      <c r="D10" s="4" t="s">
        <v>202</v>
      </c>
      <c r="E10" s="4" t="s">
        <v>195</v>
      </c>
      <c r="F10" s="3" t="str">
        <f t="shared" si="0"/>
        <v>H2A:D72-R81</v>
      </c>
      <c r="G10" s="4">
        <v>0.8785</v>
      </c>
      <c r="H10" s="3" t="s">
        <v>21</v>
      </c>
      <c r="I10" s="4" t="s">
        <v>196</v>
      </c>
      <c r="J10" s="5">
        <v>938</v>
      </c>
      <c r="K10" s="4" t="s">
        <v>63</v>
      </c>
      <c r="L10" s="4">
        <v>81</v>
      </c>
      <c r="M10" s="3" t="s">
        <v>24</v>
      </c>
      <c r="N10" s="4" t="s">
        <v>197</v>
      </c>
      <c r="O10" s="5">
        <v>629</v>
      </c>
      <c r="P10" s="4" t="s">
        <v>26</v>
      </c>
      <c r="Q10" s="4" t="s">
        <v>27</v>
      </c>
      <c r="R10" s="4">
        <v>72</v>
      </c>
    </row>
    <row r="11" spans="1:18">
      <c r="A11" s="4" t="s">
        <v>180</v>
      </c>
      <c r="B11" s="4" t="s">
        <v>30</v>
      </c>
      <c r="C11" s="4" t="s">
        <v>201</v>
      </c>
      <c r="D11" s="4" t="s">
        <v>202</v>
      </c>
      <c r="E11" s="4" t="s">
        <v>191</v>
      </c>
      <c r="F11" s="3" t="str">
        <f t="shared" si="0"/>
        <v>H2A:E61-R98</v>
      </c>
      <c r="G11" s="4">
        <v>0.7882</v>
      </c>
      <c r="H11" s="3" t="s">
        <v>21</v>
      </c>
      <c r="I11" s="4" t="s">
        <v>182</v>
      </c>
      <c r="J11" s="5">
        <v>955</v>
      </c>
      <c r="K11" s="4" t="s">
        <v>63</v>
      </c>
      <c r="L11" s="4">
        <v>98</v>
      </c>
      <c r="M11" s="3" t="s">
        <v>30</v>
      </c>
      <c r="N11" s="4" t="s">
        <v>192</v>
      </c>
      <c r="O11" s="5">
        <v>618</v>
      </c>
      <c r="P11" s="4" t="s">
        <v>26</v>
      </c>
      <c r="Q11" s="4" t="s">
        <v>27</v>
      </c>
      <c r="R11" s="4">
        <v>61</v>
      </c>
    </row>
    <row r="12" spans="1:18">
      <c r="A12" s="4" t="s">
        <v>180</v>
      </c>
      <c r="B12" s="4" t="s">
        <v>30</v>
      </c>
      <c r="C12" s="4" t="s">
        <v>201</v>
      </c>
      <c r="D12" s="4" t="s">
        <v>202</v>
      </c>
      <c r="E12" s="4" t="s">
        <v>184</v>
      </c>
      <c r="F12" s="3" t="str">
        <f t="shared" si="0"/>
        <v>H3:E73-R64</v>
      </c>
      <c r="G12" s="4">
        <v>0.4438</v>
      </c>
      <c r="H12" s="3" t="s">
        <v>21</v>
      </c>
      <c r="I12" s="4" t="s">
        <v>185</v>
      </c>
      <c r="J12" s="5">
        <v>834</v>
      </c>
      <c r="K12" s="4" t="s">
        <v>186</v>
      </c>
      <c r="L12" s="4">
        <v>64</v>
      </c>
      <c r="M12" s="3" t="s">
        <v>30</v>
      </c>
      <c r="N12" s="4" t="s">
        <v>187</v>
      </c>
      <c r="O12" s="5">
        <v>421</v>
      </c>
      <c r="P12" s="4" t="s">
        <v>30</v>
      </c>
      <c r="Q12" s="4" t="s">
        <v>91</v>
      </c>
      <c r="R12" s="4">
        <v>73</v>
      </c>
    </row>
    <row r="13" spans="1:18">
      <c r="A13" s="4" t="s">
        <v>180</v>
      </c>
      <c r="B13" s="4" t="s">
        <v>30</v>
      </c>
      <c r="C13" s="4" t="s">
        <v>201</v>
      </c>
      <c r="D13" s="4" t="s">
        <v>202</v>
      </c>
      <c r="E13" s="4" t="s">
        <v>188</v>
      </c>
      <c r="F13" s="3" t="str">
        <f t="shared" si="0"/>
        <v>H3:Q76-T63</v>
      </c>
      <c r="G13" s="4">
        <v>0.3665</v>
      </c>
      <c r="H13" s="3" t="s">
        <v>88</v>
      </c>
      <c r="I13" s="4" t="s">
        <v>189</v>
      </c>
      <c r="J13" s="5">
        <v>833</v>
      </c>
      <c r="K13" s="4" t="s">
        <v>186</v>
      </c>
      <c r="L13" s="4">
        <v>63</v>
      </c>
      <c r="M13" s="3" t="s">
        <v>109</v>
      </c>
      <c r="N13" s="4" t="s">
        <v>190</v>
      </c>
      <c r="O13" s="5">
        <v>424</v>
      </c>
      <c r="P13" s="4" t="s">
        <v>30</v>
      </c>
      <c r="Q13" s="4" t="s">
        <v>91</v>
      </c>
      <c r="R13" s="4">
        <v>76</v>
      </c>
    </row>
    <row r="14" spans="1:18">
      <c r="A14" s="4" t="s">
        <v>180</v>
      </c>
      <c r="B14" s="4" t="s">
        <v>30</v>
      </c>
      <c r="C14" s="4" t="s">
        <v>203</v>
      </c>
      <c r="D14" s="4" t="s">
        <v>204</v>
      </c>
      <c r="E14" s="4" t="s">
        <v>181</v>
      </c>
      <c r="F14" s="3" t="str">
        <f t="shared" si="0"/>
        <v>H2A:D90-R98</v>
      </c>
      <c r="G14" s="4">
        <v>0.9779</v>
      </c>
      <c r="H14" s="3" t="s">
        <v>21</v>
      </c>
      <c r="I14" s="4" t="s">
        <v>182</v>
      </c>
      <c r="J14" s="5">
        <v>955</v>
      </c>
      <c r="K14" s="4" t="s">
        <v>63</v>
      </c>
      <c r="L14" s="4">
        <v>98</v>
      </c>
      <c r="M14" s="3" t="s">
        <v>24</v>
      </c>
      <c r="N14" s="4" t="s">
        <v>183</v>
      </c>
      <c r="O14" s="5">
        <v>647</v>
      </c>
      <c r="P14" s="4" t="s">
        <v>26</v>
      </c>
      <c r="Q14" s="4" t="s">
        <v>27</v>
      </c>
      <c r="R14" s="4">
        <v>90</v>
      </c>
    </row>
    <row r="15" spans="1:18">
      <c r="A15" s="4" t="s">
        <v>180</v>
      </c>
      <c r="B15" s="4" t="s">
        <v>30</v>
      </c>
      <c r="C15" s="4" t="s">
        <v>203</v>
      </c>
      <c r="D15" s="4" t="s">
        <v>204</v>
      </c>
      <c r="E15" s="4" t="s">
        <v>184</v>
      </c>
      <c r="F15" s="3" t="str">
        <f t="shared" si="0"/>
        <v>H3:E73-R64</v>
      </c>
      <c r="G15" s="4">
        <v>0.9429</v>
      </c>
      <c r="H15" s="3" t="s">
        <v>21</v>
      </c>
      <c r="I15" s="4" t="s">
        <v>185</v>
      </c>
      <c r="J15" s="5">
        <v>834</v>
      </c>
      <c r="K15" s="4" t="s">
        <v>186</v>
      </c>
      <c r="L15" s="4">
        <v>64</v>
      </c>
      <c r="M15" s="3" t="s">
        <v>30</v>
      </c>
      <c r="N15" s="4" t="s">
        <v>187</v>
      </c>
      <c r="O15" s="5">
        <v>421</v>
      </c>
      <c r="P15" s="4" t="s">
        <v>30</v>
      </c>
      <c r="Q15" s="4" t="s">
        <v>91</v>
      </c>
      <c r="R15" s="4">
        <v>73</v>
      </c>
    </row>
    <row r="16" spans="1:18">
      <c r="A16" s="4" t="s">
        <v>180</v>
      </c>
      <c r="B16" s="4" t="s">
        <v>30</v>
      </c>
      <c r="C16" s="4" t="s">
        <v>203</v>
      </c>
      <c r="D16" s="4" t="s">
        <v>204</v>
      </c>
      <c r="E16" s="4" t="s">
        <v>188</v>
      </c>
      <c r="F16" s="3" t="str">
        <f t="shared" si="0"/>
        <v>H3:Q76-T63</v>
      </c>
      <c r="G16" s="4">
        <v>0.6169</v>
      </c>
      <c r="H16" s="3" t="s">
        <v>88</v>
      </c>
      <c r="I16" s="4" t="s">
        <v>189</v>
      </c>
      <c r="J16" s="5">
        <v>833</v>
      </c>
      <c r="K16" s="4" t="s">
        <v>186</v>
      </c>
      <c r="L16" s="4">
        <v>63</v>
      </c>
      <c r="M16" s="3" t="s">
        <v>109</v>
      </c>
      <c r="N16" s="4" t="s">
        <v>190</v>
      </c>
      <c r="O16" s="5">
        <v>424</v>
      </c>
      <c r="P16" s="4" t="s">
        <v>30</v>
      </c>
      <c r="Q16" s="4" t="s">
        <v>91</v>
      </c>
      <c r="R16" s="4">
        <v>76</v>
      </c>
    </row>
    <row r="17" spans="1:18">
      <c r="A17" s="4" t="s">
        <v>180</v>
      </c>
      <c r="B17" s="4" t="s">
        <v>30</v>
      </c>
      <c r="C17" s="4" t="s">
        <v>203</v>
      </c>
      <c r="D17" s="4" t="s">
        <v>204</v>
      </c>
      <c r="E17" s="4" t="s">
        <v>191</v>
      </c>
      <c r="F17" s="3" t="str">
        <f t="shared" si="0"/>
        <v>H2A:E61-R98</v>
      </c>
      <c r="G17" s="4">
        <v>0.5175</v>
      </c>
      <c r="H17" s="3" t="s">
        <v>21</v>
      </c>
      <c r="I17" s="4" t="s">
        <v>182</v>
      </c>
      <c r="J17" s="5">
        <v>955</v>
      </c>
      <c r="K17" s="4" t="s">
        <v>63</v>
      </c>
      <c r="L17" s="4">
        <v>98</v>
      </c>
      <c r="M17" s="3" t="s">
        <v>30</v>
      </c>
      <c r="N17" s="4" t="s">
        <v>192</v>
      </c>
      <c r="O17" s="5">
        <v>618</v>
      </c>
      <c r="P17" s="4" t="s">
        <v>26</v>
      </c>
      <c r="Q17" s="4" t="s">
        <v>27</v>
      </c>
      <c r="R17" s="4">
        <v>61</v>
      </c>
    </row>
    <row r="18" spans="1:18">
      <c r="A18" s="4" t="s">
        <v>180</v>
      </c>
      <c r="B18" s="4" t="s">
        <v>30</v>
      </c>
      <c r="C18" s="4" t="s">
        <v>203</v>
      </c>
      <c r="D18" s="4" t="s">
        <v>204</v>
      </c>
      <c r="E18" s="4" t="s">
        <v>195</v>
      </c>
      <c r="F18" s="3" t="str">
        <f t="shared" si="0"/>
        <v>H2A:D72-R81</v>
      </c>
      <c r="G18" s="4">
        <v>0.5083</v>
      </c>
      <c r="H18" s="3" t="s">
        <v>21</v>
      </c>
      <c r="I18" s="4" t="s">
        <v>196</v>
      </c>
      <c r="J18" s="5">
        <v>938</v>
      </c>
      <c r="K18" s="4" t="s">
        <v>63</v>
      </c>
      <c r="L18" s="4">
        <v>81</v>
      </c>
      <c r="M18" s="3" t="s">
        <v>24</v>
      </c>
      <c r="N18" s="4" t="s">
        <v>197</v>
      </c>
      <c r="O18" s="5">
        <v>629</v>
      </c>
      <c r="P18" s="4" t="s">
        <v>26</v>
      </c>
      <c r="Q18" s="4" t="s">
        <v>27</v>
      </c>
      <c r="R18" s="4">
        <v>72</v>
      </c>
    </row>
    <row r="19" spans="1:18">
      <c r="A19" s="4" t="s">
        <v>180</v>
      </c>
      <c r="B19" s="4" t="s">
        <v>30</v>
      </c>
      <c r="C19" s="4" t="s">
        <v>203</v>
      </c>
      <c r="D19" s="4" t="s">
        <v>204</v>
      </c>
      <c r="E19" s="4" t="s">
        <v>198</v>
      </c>
      <c r="F19" s="3" t="str">
        <f t="shared" si="0"/>
        <v>H4:E74-K62</v>
      </c>
      <c r="G19" s="4">
        <v>0.1344</v>
      </c>
      <c r="H19" s="3" t="s">
        <v>23</v>
      </c>
      <c r="I19" s="4" t="s">
        <v>199</v>
      </c>
      <c r="J19" s="5">
        <v>832</v>
      </c>
      <c r="K19" s="4" t="s">
        <v>186</v>
      </c>
      <c r="L19" s="4">
        <v>62</v>
      </c>
      <c r="M19" s="3" t="s">
        <v>30</v>
      </c>
      <c r="N19" s="4" t="s">
        <v>200</v>
      </c>
      <c r="O19" s="5">
        <v>539</v>
      </c>
      <c r="P19" s="4" t="s">
        <v>66</v>
      </c>
      <c r="Q19" s="4" t="s">
        <v>67</v>
      </c>
      <c r="R19" s="4">
        <v>74</v>
      </c>
    </row>
    <row r="20" spans="1:18">
      <c r="A20" s="4" t="s">
        <v>180</v>
      </c>
      <c r="B20" s="4" t="s">
        <v>30</v>
      </c>
      <c r="C20" s="4" t="s">
        <v>94</v>
      </c>
      <c r="D20" s="4" t="s">
        <v>95</v>
      </c>
      <c r="E20" s="4" t="s">
        <v>181</v>
      </c>
      <c r="F20" s="3" t="str">
        <f t="shared" si="0"/>
        <v>H2A:D90-R98</v>
      </c>
      <c r="G20" s="4">
        <v>0.9024</v>
      </c>
      <c r="H20" s="3" t="s">
        <v>21</v>
      </c>
      <c r="I20" s="4" t="s">
        <v>182</v>
      </c>
      <c r="J20" s="5">
        <v>955</v>
      </c>
      <c r="K20" s="4" t="s">
        <v>63</v>
      </c>
      <c r="L20" s="4">
        <v>98</v>
      </c>
      <c r="M20" s="3" t="s">
        <v>24</v>
      </c>
      <c r="N20" s="4" t="s">
        <v>183</v>
      </c>
      <c r="O20" s="5">
        <v>647</v>
      </c>
      <c r="P20" s="4" t="s">
        <v>26</v>
      </c>
      <c r="Q20" s="4" t="s">
        <v>27</v>
      </c>
      <c r="R20" s="4">
        <v>90</v>
      </c>
    </row>
    <row r="21" spans="1:18">
      <c r="A21" s="4" t="s">
        <v>180</v>
      </c>
      <c r="B21" s="4" t="s">
        <v>30</v>
      </c>
      <c r="C21" s="4" t="s">
        <v>94</v>
      </c>
      <c r="D21" s="4" t="s">
        <v>95</v>
      </c>
      <c r="E21" s="4" t="s">
        <v>184</v>
      </c>
      <c r="F21" s="3" t="str">
        <f t="shared" si="0"/>
        <v>H3:E73-R64</v>
      </c>
      <c r="G21" s="4">
        <v>0.9024</v>
      </c>
      <c r="H21" s="3" t="s">
        <v>21</v>
      </c>
      <c r="I21" s="4" t="s">
        <v>185</v>
      </c>
      <c r="J21" s="5">
        <v>834</v>
      </c>
      <c r="K21" s="4" t="s">
        <v>186</v>
      </c>
      <c r="L21" s="4">
        <v>64</v>
      </c>
      <c r="M21" s="3" t="s">
        <v>30</v>
      </c>
      <c r="N21" s="4" t="s">
        <v>187</v>
      </c>
      <c r="O21" s="5">
        <v>421</v>
      </c>
      <c r="P21" s="4" t="s">
        <v>30</v>
      </c>
      <c r="Q21" s="4" t="s">
        <v>91</v>
      </c>
      <c r="R21" s="4">
        <v>73</v>
      </c>
    </row>
    <row r="22" spans="1:18">
      <c r="A22" s="4" t="s">
        <v>180</v>
      </c>
      <c r="B22" s="4" t="s">
        <v>30</v>
      </c>
      <c r="C22" s="4" t="s">
        <v>94</v>
      </c>
      <c r="D22" s="4" t="s">
        <v>95</v>
      </c>
      <c r="E22" s="4" t="s">
        <v>191</v>
      </c>
      <c r="F22" s="3" t="str">
        <f t="shared" si="0"/>
        <v>H2A:E61-R98</v>
      </c>
      <c r="G22" s="4">
        <v>0.7348</v>
      </c>
      <c r="H22" s="3" t="s">
        <v>21</v>
      </c>
      <c r="I22" s="4" t="s">
        <v>182</v>
      </c>
      <c r="J22" s="5">
        <v>955</v>
      </c>
      <c r="K22" s="4" t="s">
        <v>63</v>
      </c>
      <c r="L22" s="4">
        <v>98</v>
      </c>
      <c r="M22" s="3" t="s">
        <v>30</v>
      </c>
      <c r="N22" s="4" t="s">
        <v>192</v>
      </c>
      <c r="O22" s="5">
        <v>618</v>
      </c>
      <c r="P22" s="4" t="s">
        <v>26</v>
      </c>
      <c r="Q22" s="4" t="s">
        <v>27</v>
      </c>
      <c r="R22" s="4">
        <v>61</v>
      </c>
    </row>
    <row r="23" spans="1:18">
      <c r="A23" s="4" t="s">
        <v>180</v>
      </c>
      <c r="B23" s="4" t="s">
        <v>30</v>
      </c>
      <c r="C23" s="4" t="s">
        <v>94</v>
      </c>
      <c r="D23" s="4" t="s">
        <v>95</v>
      </c>
      <c r="E23" s="4" t="s">
        <v>195</v>
      </c>
      <c r="F23" s="3" t="str">
        <f t="shared" si="0"/>
        <v>H2A:D72-R81</v>
      </c>
      <c r="G23" s="4">
        <v>0.7311</v>
      </c>
      <c r="H23" s="3" t="s">
        <v>21</v>
      </c>
      <c r="I23" s="4" t="s">
        <v>196</v>
      </c>
      <c r="J23" s="5">
        <v>938</v>
      </c>
      <c r="K23" s="4" t="s">
        <v>63</v>
      </c>
      <c r="L23" s="4">
        <v>81</v>
      </c>
      <c r="M23" s="3" t="s">
        <v>24</v>
      </c>
      <c r="N23" s="4" t="s">
        <v>197</v>
      </c>
      <c r="O23" s="5">
        <v>629</v>
      </c>
      <c r="P23" s="4" t="s">
        <v>26</v>
      </c>
      <c r="Q23" s="4" t="s">
        <v>27</v>
      </c>
      <c r="R23" s="4">
        <v>72</v>
      </c>
    </row>
    <row r="24" spans="1:18">
      <c r="A24" s="4" t="s">
        <v>180</v>
      </c>
      <c r="B24" s="4" t="s">
        <v>30</v>
      </c>
      <c r="C24" s="4" t="s">
        <v>94</v>
      </c>
      <c r="D24" s="4" t="s">
        <v>95</v>
      </c>
      <c r="E24" s="4" t="s">
        <v>188</v>
      </c>
      <c r="F24" s="3" t="str">
        <f t="shared" si="0"/>
        <v>H3:Q76-T63</v>
      </c>
      <c r="G24" s="4">
        <v>0.6169</v>
      </c>
      <c r="H24" s="3" t="s">
        <v>88</v>
      </c>
      <c r="I24" s="4" t="s">
        <v>189</v>
      </c>
      <c r="J24" s="5">
        <v>833</v>
      </c>
      <c r="K24" s="4" t="s">
        <v>186</v>
      </c>
      <c r="L24" s="4">
        <v>63</v>
      </c>
      <c r="M24" s="3" t="s">
        <v>109</v>
      </c>
      <c r="N24" s="4" t="s">
        <v>190</v>
      </c>
      <c r="O24" s="5">
        <v>424</v>
      </c>
      <c r="P24" s="4" t="s">
        <v>30</v>
      </c>
      <c r="Q24" s="4" t="s">
        <v>91</v>
      </c>
      <c r="R24" s="4">
        <v>76</v>
      </c>
    </row>
    <row r="25" spans="1:18">
      <c r="A25" s="4" t="s">
        <v>180</v>
      </c>
      <c r="B25" s="4" t="s">
        <v>30</v>
      </c>
      <c r="C25" s="4" t="s">
        <v>94</v>
      </c>
      <c r="D25" s="4" t="s">
        <v>95</v>
      </c>
      <c r="E25" s="4" t="s">
        <v>198</v>
      </c>
      <c r="F25" s="3" t="str">
        <f t="shared" si="0"/>
        <v>H4:E74-K62</v>
      </c>
      <c r="G25" s="4">
        <v>0.2431</v>
      </c>
      <c r="H25" s="3" t="s">
        <v>23</v>
      </c>
      <c r="I25" s="4" t="s">
        <v>199</v>
      </c>
      <c r="J25" s="5">
        <v>832</v>
      </c>
      <c r="K25" s="4" t="s">
        <v>186</v>
      </c>
      <c r="L25" s="4">
        <v>62</v>
      </c>
      <c r="M25" s="3" t="s">
        <v>30</v>
      </c>
      <c r="N25" s="4" t="s">
        <v>200</v>
      </c>
      <c r="O25" s="5">
        <v>539</v>
      </c>
      <c r="P25" s="4" t="s">
        <v>66</v>
      </c>
      <c r="Q25" s="4" t="s">
        <v>67</v>
      </c>
      <c r="R25" s="4">
        <v>74</v>
      </c>
    </row>
    <row r="26" spans="1:18">
      <c r="A26" s="4" t="s">
        <v>180</v>
      </c>
      <c r="B26" s="4" t="s">
        <v>26</v>
      </c>
      <c r="C26" s="4" t="s">
        <v>46</v>
      </c>
      <c r="D26" s="4" t="s">
        <v>47</v>
      </c>
      <c r="E26" s="4" t="s">
        <v>181</v>
      </c>
      <c r="F26" s="3" t="str">
        <f t="shared" si="0"/>
        <v>H2A:D90-R98</v>
      </c>
      <c r="G26" s="4">
        <v>0.9355</v>
      </c>
      <c r="H26" s="3" t="s">
        <v>21</v>
      </c>
      <c r="I26" s="4" t="s">
        <v>182</v>
      </c>
      <c r="J26" s="5">
        <v>955</v>
      </c>
      <c r="K26" s="4" t="s">
        <v>63</v>
      </c>
      <c r="L26" s="4">
        <v>98</v>
      </c>
      <c r="M26" s="3" t="s">
        <v>24</v>
      </c>
      <c r="N26" s="4" t="s">
        <v>183</v>
      </c>
      <c r="O26" s="5">
        <v>647</v>
      </c>
      <c r="P26" s="4" t="s">
        <v>26</v>
      </c>
      <c r="Q26" s="4" t="s">
        <v>27</v>
      </c>
      <c r="R26" s="4">
        <v>90</v>
      </c>
    </row>
    <row r="27" spans="1:18">
      <c r="A27" s="4" t="s">
        <v>180</v>
      </c>
      <c r="B27" s="4" t="s">
        <v>26</v>
      </c>
      <c r="C27" s="4" t="s">
        <v>46</v>
      </c>
      <c r="D27" s="4" t="s">
        <v>47</v>
      </c>
      <c r="E27" s="4" t="s">
        <v>184</v>
      </c>
      <c r="F27" s="3" t="str">
        <f t="shared" si="0"/>
        <v>H3:E73-R64</v>
      </c>
      <c r="G27" s="4">
        <v>0.9061</v>
      </c>
      <c r="H27" s="3" t="s">
        <v>21</v>
      </c>
      <c r="I27" s="4" t="s">
        <v>185</v>
      </c>
      <c r="J27" s="5">
        <v>834</v>
      </c>
      <c r="K27" s="4" t="s">
        <v>186</v>
      </c>
      <c r="L27" s="4">
        <v>64</v>
      </c>
      <c r="M27" s="3" t="s">
        <v>30</v>
      </c>
      <c r="N27" s="4" t="s">
        <v>187</v>
      </c>
      <c r="O27" s="5">
        <v>421</v>
      </c>
      <c r="P27" s="4" t="s">
        <v>30</v>
      </c>
      <c r="Q27" s="4" t="s">
        <v>91</v>
      </c>
      <c r="R27" s="4">
        <v>73</v>
      </c>
    </row>
    <row r="28" spans="1:18">
      <c r="A28" s="4" t="s">
        <v>180</v>
      </c>
      <c r="B28" s="4" t="s">
        <v>26</v>
      </c>
      <c r="C28" s="4" t="s">
        <v>46</v>
      </c>
      <c r="D28" s="4" t="s">
        <v>47</v>
      </c>
      <c r="E28" s="4" t="s">
        <v>188</v>
      </c>
      <c r="F28" s="3" t="str">
        <f t="shared" si="0"/>
        <v>H3:Q76-T63</v>
      </c>
      <c r="G28" s="4">
        <v>0.8508</v>
      </c>
      <c r="H28" s="3" t="s">
        <v>88</v>
      </c>
      <c r="I28" s="4" t="s">
        <v>189</v>
      </c>
      <c r="J28" s="5">
        <v>833</v>
      </c>
      <c r="K28" s="4" t="s">
        <v>186</v>
      </c>
      <c r="L28" s="4">
        <v>63</v>
      </c>
      <c r="M28" s="3" t="s">
        <v>109</v>
      </c>
      <c r="N28" s="4" t="s">
        <v>190</v>
      </c>
      <c r="O28" s="5">
        <v>424</v>
      </c>
      <c r="P28" s="4" t="s">
        <v>30</v>
      </c>
      <c r="Q28" s="4" t="s">
        <v>91</v>
      </c>
      <c r="R28" s="4">
        <v>76</v>
      </c>
    </row>
    <row r="29" spans="1:18">
      <c r="A29" s="4" t="s">
        <v>180</v>
      </c>
      <c r="B29" s="4" t="s">
        <v>26</v>
      </c>
      <c r="C29" s="4" t="s">
        <v>46</v>
      </c>
      <c r="D29" s="4" t="s">
        <v>47</v>
      </c>
      <c r="E29" s="4" t="s">
        <v>191</v>
      </c>
      <c r="F29" s="3" t="str">
        <f t="shared" si="0"/>
        <v>H2A:E61-R98</v>
      </c>
      <c r="G29" s="4">
        <v>0.7827</v>
      </c>
      <c r="H29" s="3" t="s">
        <v>21</v>
      </c>
      <c r="I29" s="4" t="s">
        <v>182</v>
      </c>
      <c r="J29" s="5">
        <v>955</v>
      </c>
      <c r="K29" s="4" t="s">
        <v>63</v>
      </c>
      <c r="L29" s="4">
        <v>98</v>
      </c>
      <c r="M29" s="3" t="s">
        <v>30</v>
      </c>
      <c r="N29" s="4" t="s">
        <v>192</v>
      </c>
      <c r="O29" s="5">
        <v>618</v>
      </c>
      <c r="P29" s="4" t="s">
        <v>26</v>
      </c>
      <c r="Q29" s="4" t="s">
        <v>27</v>
      </c>
      <c r="R29" s="4">
        <v>61</v>
      </c>
    </row>
    <row r="30" spans="1:18">
      <c r="A30" s="4" t="s">
        <v>180</v>
      </c>
      <c r="B30" s="4" t="s">
        <v>26</v>
      </c>
      <c r="C30" s="4" t="s">
        <v>46</v>
      </c>
      <c r="D30" s="4" t="s">
        <v>47</v>
      </c>
      <c r="E30" s="4" t="s">
        <v>193</v>
      </c>
      <c r="F30" s="3" t="str">
        <f t="shared" si="0"/>
        <v>H3:D77-R64</v>
      </c>
      <c r="G30" s="4">
        <v>0.6648</v>
      </c>
      <c r="H30" s="3" t="s">
        <v>21</v>
      </c>
      <c r="I30" s="4" t="s">
        <v>185</v>
      </c>
      <c r="J30" s="5">
        <v>834</v>
      </c>
      <c r="K30" s="4" t="s">
        <v>186</v>
      </c>
      <c r="L30" s="4">
        <v>64</v>
      </c>
      <c r="M30" s="3" t="s">
        <v>24</v>
      </c>
      <c r="N30" s="4" t="s">
        <v>194</v>
      </c>
      <c r="O30" s="5">
        <v>425</v>
      </c>
      <c r="P30" s="4" t="s">
        <v>30</v>
      </c>
      <c r="Q30" s="4" t="s">
        <v>91</v>
      </c>
      <c r="R30" s="4">
        <v>77</v>
      </c>
    </row>
    <row r="31" spans="1:18">
      <c r="A31" s="4" t="s">
        <v>180</v>
      </c>
      <c r="B31" s="4" t="s">
        <v>26</v>
      </c>
      <c r="C31" s="4" t="s">
        <v>46</v>
      </c>
      <c r="D31" s="4" t="s">
        <v>47</v>
      </c>
      <c r="E31" s="4" t="s">
        <v>198</v>
      </c>
      <c r="F31" s="3" t="str">
        <f t="shared" si="0"/>
        <v>H4:E74-K62</v>
      </c>
      <c r="G31" s="4">
        <v>0.5414</v>
      </c>
      <c r="H31" s="3" t="s">
        <v>23</v>
      </c>
      <c r="I31" s="4" t="s">
        <v>199</v>
      </c>
      <c r="J31" s="5">
        <v>832</v>
      </c>
      <c r="K31" s="4" t="s">
        <v>186</v>
      </c>
      <c r="L31" s="4">
        <v>62</v>
      </c>
      <c r="M31" s="3" t="s">
        <v>30</v>
      </c>
      <c r="N31" s="4" t="s">
        <v>200</v>
      </c>
      <c r="O31" s="5">
        <v>539</v>
      </c>
      <c r="P31" s="4" t="s">
        <v>66</v>
      </c>
      <c r="Q31" s="4" t="s">
        <v>67</v>
      </c>
      <c r="R31" s="4">
        <v>74</v>
      </c>
    </row>
    <row r="32" spans="1:18">
      <c r="A32" s="4" t="s">
        <v>180</v>
      </c>
      <c r="B32" s="4" t="s">
        <v>26</v>
      </c>
      <c r="C32" s="4" t="s">
        <v>48</v>
      </c>
      <c r="D32" s="4" t="s">
        <v>49</v>
      </c>
      <c r="E32" s="4" t="s">
        <v>184</v>
      </c>
      <c r="F32" s="3" t="str">
        <f t="shared" si="0"/>
        <v>H3:E73-R64</v>
      </c>
      <c r="G32" s="4">
        <v>0.7864</v>
      </c>
      <c r="H32" s="3" t="s">
        <v>21</v>
      </c>
      <c r="I32" s="4" t="s">
        <v>185</v>
      </c>
      <c r="J32" s="5">
        <v>834</v>
      </c>
      <c r="K32" s="4" t="s">
        <v>186</v>
      </c>
      <c r="L32" s="4">
        <v>64</v>
      </c>
      <c r="M32" s="3" t="s">
        <v>30</v>
      </c>
      <c r="N32" s="4" t="s">
        <v>187</v>
      </c>
      <c r="O32" s="5">
        <v>421</v>
      </c>
      <c r="P32" s="4" t="s">
        <v>30</v>
      </c>
      <c r="Q32" s="4" t="s">
        <v>91</v>
      </c>
      <c r="R32" s="4">
        <v>73</v>
      </c>
    </row>
    <row r="33" spans="1:18">
      <c r="A33" s="4" t="s">
        <v>180</v>
      </c>
      <c r="B33" s="4" t="s">
        <v>26</v>
      </c>
      <c r="C33" s="4" t="s">
        <v>48</v>
      </c>
      <c r="D33" s="4" t="s">
        <v>49</v>
      </c>
      <c r="E33" s="4" t="s">
        <v>188</v>
      </c>
      <c r="F33" s="3" t="str">
        <f t="shared" si="0"/>
        <v>H3:Q76-T63</v>
      </c>
      <c r="G33" s="4">
        <v>0.779</v>
      </c>
      <c r="H33" s="3" t="s">
        <v>88</v>
      </c>
      <c r="I33" s="4" t="s">
        <v>189</v>
      </c>
      <c r="J33" s="5">
        <v>833</v>
      </c>
      <c r="K33" s="4" t="s">
        <v>186</v>
      </c>
      <c r="L33" s="4">
        <v>63</v>
      </c>
      <c r="M33" s="3" t="s">
        <v>109</v>
      </c>
      <c r="N33" s="4" t="s">
        <v>190</v>
      </c>
      <c r="O33" s="5">
        <v>424</v>
      </c>
      <c r="P33" s="4" t="s">
        <v>30</v>
      </c>
      <c r="Q33" s="4" t="s">
        <v>91</v>
      </c>
      <c r="R33" s="4">
        <v>76</v>
      </c>
    </row>
    <row r="34" spans="1:18">
      <c r="A34" s="4" t="s">
        <v>180</v>
      </c>
      <c r="B34" s="4" t="s">
        <v>26</v>
      </c>
      <c r="C34" s="4" t="s">
        <v>48</v>
      </c>
      <c r="D34" s="4" t="s">
        <v>49</v>
      </c>
      <c r="E34" s="4" t="s">
        <v>193</v>
      </c>
      <c r="F34" s="3" t="str">
        <f t="shared" si="0"/>
        <v>H3:D77-R64</v>
      </c>
      <c r="G34" s="4">
        <v>0.663</v>
      </c>
      <c r="H34" s="3" t="s">
        <v>21</v>
      </c>
      <c r="I34" s="4" t="s">
        <v>185</v>
      </c>
      <c r="J34" s="5">
        <v>834</v>
      </c>
      <c r="K34" s="4" t="s">
        <v>186</v>
      </c>
      <c r="L34" s="4">
        <v>64</v>
      </c>
      <c r="M34" s="3" t="s">
        <v>24</v>
      </c>
      <c r="N34" s="4" t="s">
        <v>194</v>
      </c>
      <c r="O34" s="5">
        <v>425</v>
      </c>
      <c r="P34" s="4" t="s">
        <v>30</v>
      </c>
      <c r="Q34" s="4" t="s">
        <v>91</v>
      </c>
      <c r="R34" s="4">
        <v>77</v>
      </c>
    </row>
    <row r="35" spans="1:18">
      <c r="A35" s="4" t="s">
        <v>180</v>
      </c>
      <c r="B35" s="4" t="s">
        <v>26</v>
      </c>
      <c r="C35" s="4" t="s">
        <v>48</v>
      </c>
      <c r="D35" s="4" t="s">
        <v>49</v>
      </c>
      <c r="E35" s="4" t="s">
        <v>181</v>
      </c>
      <c r="F35" s="3" t="str">
        <f t="shared" si="0"/>
        <v>H2A:D90-R98</v>
      </c>
      <c r="G35" s="4">
        <v>0.5801</v>
      </c>
      <c r="H35" s="3" t="s">
        <v>21</v>
      </c>
      <c r="I35" s="4" t="s">
        <v>182</v>
      </c>
      <c r="J35" s="5">
        <v>955</v>
      </c>
      <c r="K35" s="4" t="s">
        <v>63</v>
      </c>
      <c r="L35" s="4">
        <v>98</v>
      </c>
      <c r="M35" s="3" t="s">
        <v>24</v>
      </c>
      <c r="N35" s="4" t="s">
        <v>183</v>
      </c>
      <c r="O35" s="5">
        <v>647</v>
      </c>
      <c r="P35" s="4" t="s">
        <v>26</v>
      </c>
      <c r="Q35" s="4" t="s">
        <v>27</v>
      </c>
      <c r="R35" s="4">
        <v>90</v>
      </c>
    </row>
    <row r="36" spans="1:18">
      <c r="A36" s="4" t="s">
        <v>180</v>
      </c>
      <c r="B36" s="4" t="s">
        <v>26</v>
      </c>
      <c r="C36" s="4" t="s">
        <v>48</v>
      </c>
      <c r="D36" s="4" t="s">
        <v>49</v>
      </c>
      <c r="E36" s="4" t="s">
        <v>195</v>
      </c>
      <c r="F36" s="3" t="str">
        <f t="shared" si="0"/>
        <v>H2A:D72-R81</v>
      </c>
      <c r="G36" s="4">
        <v>0.3186</v>
      </c>
      <c r="H36" s="3" t="s">
        <v>21</v>
      </c>
      <c r="I36" s="4" t="s">
        <v>196</v>
      </c>
      <c r="J36" s="5">
        <v>938</v>
      </c>
      <c r="K36" s="4" t="s">
        <v>63</v>
      </c>
      <c r="L36" s="4">
        <v>81</v>
      </c>
      <c r="M36" s="3" t="s">
        <v>24</v>
      </c>
      <c r="N36" s="4" t="s">
        <v>197</v>
      </c>
      <c r="O36" s="5">
        <v>629</v>
      </c>
      <c r="P36" s="4" t="s">
        <v>26</v>
      </c>
      <c r="Q36" s="4" t="s">
        <v>27</v>
      </c>
      <c r="R36" s="4">
        <v>72</v>
      </c>
    </row>
  </sheetData>
  <autoFilter xmlns:etc="http://www.wps.cn/officeDocument/2017/etCustomData" ref="A1:R3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3MVD</vt:lpstr>
      <vt:lpstr>3TU4</vt:lpstr>
      <vt:lpstr>5KGF</vt:lpstr>
      <vt:lpstr>7Y7I</vt:lpstr>
      <vt:lpstr>8GRM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张后芳</cp:lastModifiedBy>
  <dcterms:created xsi:type="dcterms:W3CDTF">2025-11-04T02:49:00Z</dcterms:created>
  <dcterms:modified xsi:type="dcterms:W3CDTF">2025-12-19T11:30:01Z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503D3FD73D01A324AD360469A11DC5CF_42</vt:lpwstr>
  </property>
  <property fmtid="{D5CDD505-2E9C-101B-9397-08002B2CF9AE}" pid="3" name="KSOProductBuildVer">
    <vt:lpwstr>2052-12.1.2.23578</vt:lpwstr>
  </property>
</Properties>
</file>